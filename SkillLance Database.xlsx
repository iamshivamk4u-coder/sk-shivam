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aacce00cfd4e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3b3ddaa0d5b470a"/>
    <x:sheet xmlns:r="http://schemas.openxmlformats.org/officeDocument/2006/relationships" name="Customers" sheetId="2" r:id="R3e0b65102c7d4362"/>
    <x:sheet xmlns:r="http://schemas.openxmlformats.org/officeDocument/2006/relationships" name="Enrollments" sheetId="3" r:id="R860ad2e202eb4ba2"/>
    <x:sheet xmlns:r="http://schemas.openxmlformats.org/officeDocument/2006/relationships" name="Courses" sheetId="4" r:id="Rfc2b7b6c37fa4fdc"/>
    <x:sheet xmlns:r="http://schemas.openxmlformats.org/officeDocument/2006/relationships" name="Sales" sheetId="5" r:id="R563991c233ab4447"/>
    <x:sheet xmlns:r="http://schemas.openxmlformats.org/officeDocument/2006/relationships" name="Affiliates" sheetId="6" r:id="Rd417224a691546be"/>
    <x:sheet xmlns:r="http://schemas.openxmlformats.org/officeDocument/2006/relationships" name="Payouts" sheetId="7" r:id="R28affc82339b4e79"/>
    <x:sheet xmlns:r="http://schemas.openxmlformats.org/officeDocument/2006/relationships" name="Lists" sheetId="8" r:id="Rdb33591422194b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₹#,##0"/>
    <x:numFmt numFmtId="201" formatCode="0%"/>
    <x:numFmt numFmtId="202" formatCode="dd-mmm-yyyy"/>
  </x:numFmts>
  <x:fonts count="8">
    <x:font>
      <x:sz val="11"/>
      <x:name val="Carlito"/>
    </x:font>
    <x:font>
      <x:sz val="10"/>
      <x:color rgb="FF17231F"/>
      <x:name val="Aptos"/>
    </x:font>
    <x:font>
      <x:b/>
      <x:sz val="16"/>
      <x:color rgb="FF17231F"/>
      <x:name val="Aptos"/>
    </x:font>
    <x:font>
      <x:i/>
      <x:sz val="10"/>
      <x:color rgb="FF63736A"/>
      <x:name val="Aptos"/>
    </x:font>
    <x:font>
      <x:b/>
      <x:sz val="10"/>
      <x:color rgb="FF63736A"/>
      <x:name val="Aptos"/>
    </x:font>
    <x:font>
      <x:b/>
      <x:sz val="18"/>
      <x:color rgb="FF17231F"/>
      <x:name val="Aptos"/>
    </x:font>
    <x:font>
      <x:b/>
      <x:sz val="10"/>
      <x:color rgb="FFFFFFFF"/>
      <x:name val="Aptos"/>
    </x:font>
    <x:font>
      <x:b/>
      <x:sz val="10"/>
      <x:color rgb="FFFF6847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EDF5EE"/>
      </x:patternFill>
    </x:fill>
    <x:fill>
      <x:patternFill patternType="solid">
        <x:fgColor rgb="FFEAF3F8"/>
      </x:patternFill>
    </x:fill>
    <x:fill>
      <x:patternFill patternType="solid">
        <x:fgColor rgb="FFFFF0EB"/>
      </x:patternFill>
    </x:fill>
    <x:fill>
      <x:patternFill patternType="solid">
        <x:fgColor rgb="FFFFF6D9"/>
      </x:patternFill>
    </x:fill>
    <x:fill>
      <x:patternFill patternType="solid">
        <x:fgColor rgb="FF243C32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DCE5DE"/>
      </x:bottom>
      <x:diagonal/>
    </x:border>
    <x:border>
      <x:left style="thin">
        <x:color rgb="FFDCE5DE"/>
      </x:left>
      <x:right/>
      <x:top style="thin">
        <x:color rgb="FFDCE5DE"/>
      </x:top>
      <x:bottom/>
      <x:diagonal/>
    </x:border>
    <x:border>
      <x:left/>
      <x:right/>
      <x:top style="thin">
        <x:color rgb="FFDCE5DE"/>
      </x:top>
      <x:bottom/>
      <x:diagonal/>
    </x:border>
    <x:border>
      <x:left/>
      <x:right style="thin">
        <x:color rgb="FFDCE5DE"/>
      </x:right>
      <x:top style="thin">
        <x:color rgb="FFDCE5DE"/>
      </x:top>
      <x:bottom/>
      <x:diagonal/>
    </x:border>
    <x:border>
      <x:left style="thin">
        <x:color rgb="FFDCE5DE"/>
      </x:left>
      <x:right/>
      <x:top/>
      <x:bottom style="thin">
        <x:color rgb="FFDCE5DE"/>
      </x:bottom>
      <x:diagonal/>
    </x:border>
    <x:border>
      <x:left/>
      <x:right style="thin">
        <x:color rgb="FFDCE5DE"/>
      </x:right>
      <x:top/>
      <x:bottom style="thin">
        <x:color rgb="FFDCE5DE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thin">
        <x:color rgb="FFDCE5DE"/>
      </x:top>
      <x:bottom style="thin">
        <x:color rgb="FFDCE5DE"/>
      </x:bottom>
      <x:diagonal/>
    </x:border>
  </x:borders>
  <x:cellStyleXfs count="1">
    <x:xf numFmtId="0" fontId="0" fillId="0" borderId="0"/>
  </x:cellStyleXfs>
  <x:cellXfs count="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" fillId="2" borderId="5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5" borderId="6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vertical="center"/>
    </x:xf>
    <x:xf numFmtId="0" fontId="5" fillId="2" borderId="5" xfId="0" applyNumberFormat="1" applyFont="1" applyFill="1" applyBorder="1" applyAlignment="1">
      <x:alignment vertical="center"/>
    </x:xf>
    <x:xf numFmtId="200" fontId="1" fillId="4" borderId="1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7" xfId="0" applyNumberFormat="1" applyFont="1" applyFill="1" applyBorder="1" applyAlignment="1">
      <x:alignment vertical="center"/>
    </x:xf>
    <x:xf numFmtId="0" fontId="6" fillId="6" borderId="7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200" fontId="1" fillId="0" borderId="8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7" fillId="4" borderId="1" xfId="0" applyNumberFormat="1" applyFont="1" applyFill="1" applyBorder="1" applyAlignment="1">
      <x:alignment horizontal="center" vertical="center"/>
    </x:xf>
    <x:xf numFmtId="0" fontId="7" fillId="4" borderId="8" xfId="0" applyNumberFormat="1" applyFont="1" applyFill="1" applyBorder="1" applyAlignment="1">
      <x:alignment horizontal="center" vertical="center"/>
    </x:xf>
    <x:xf numFmtId="202" fontId="1" fillId="5" borderId="0" xfId="0" applyNumberFormat="1" applyFont="1" applyFill="1" applyBorder="1" applyAlignment="1">
      <x:alignment vertical="center"/>
    </x:xf>
    <x:xf numFmtId="202" fontId="1" fillId="5" borderId="1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201" fontId="1" fillId="5" borderId="1" xfId="0" applyNumberFormat="1" applyFont="1" applyFill="1" applyBorder="1" applyAlignment="1">
      <x:alignment vertical="center"/>
    </x:xf>
    <x:xf numFmtId="200" fontId="1" fillId="2" borderId="1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1" fontId="1" fillId="2" borderId="1" xfId="0" applyNumberFormat="1" applyFont="1" applyFill="1" applyBorder="1" applyAlignment="1">
      <x:alignment vertical="center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4b2e23d9144962" /><Relationship Type="http://schemas.openxmlformats.org/officeDocument/2006/relationships/theme" Target="/xl/theme/theme1.xml" Id="R373d6783f9ca4919" /><Relationship Type="http://schemas.openxmlformats.org/officeDocument/2006/relationships/sharedStrings" Target="/xl/sharedStrings.xml" Id="R64d66c712abf43f2" /><Relationship Type="http://schemas.openxmlformats.org/officeDocument/2006/relationships/worksheet" Target="/xl/worksheets/sheet1.xml" Id="Rb3b3ddaa0d5b470a" /><Relationship Type="http://schemas.openxmlformats.org/officeDocument/2006/relationships/worksheet" Target="/xl/worksheets/sheet2.xml" Id="R3e0b65102c7d4362" /><Relationship Type="http://schemas.openxmlformats.org/officeDocument/2006/relationships/worksheet" Target="/xl/worksheets/sheet3.xml" Id="R860ad2e202eb4ba2" /><Relationship Type="http://schemas.openxmlformats.org/officeDocument/2006/relationships/worksheet" Target="/xl/worksheets/sheet4.xml" Id="Rfc2b7b6c37fa4fdc" /><Relationship Type="http://schemas.openxmlformats.org/officeDocument/2006/relationships/worksheet" Target="/xl/worksheets/sheet5.xml" Id="R563991c233ab4447" /><Relationship Type="http://schemas.openxmlformats.org/officeDocument/2006/relationships/worksheet" Target="/xl/worksheets/sheet6.xml" Id="Rd417224a691546be" /><Relationship Type="http://schemas.openxmlformats.org/officeDocument/2006/relationships/worksheet" Target="/xl/worksheets/sheet7.xml" Id="R28affc82339b4e79" /><Relationship Type="http://schemas.openxmlformats.org/officeDocument/2006/relationships/worksheet" Target="/xl/worksheets/sheet8.xml" Id="Rdb33591422194b9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32"/>
  </x:sheetPr>
  <x:sheetViews>
    <x:sheetView showGridLines="0" workbookViewId="0"/>
  </x:sheetViews>
  <x:sheetFormatPr defaultRowHeight="15"/>
  <x:cols>
    <x:col min="1" max="1" width="27" hidden="0" customWidth="1"/>
    <x:col min="2" max="2" width="16" hidden="0" customWidth="1"/>
    <x:col min="3" max="3" width="4" hidden="0" customWidth="1"/>
    <x:col min="4" max="4" width="26" hidden="0" customWidth="1"/>
    <x:col min="5" max="5" width="21" hidden="0" customWidth="1"/>
    <x:col min="6" max="6" width="4" hidden="0" customWidth="1"/>
    <x:col min="7" max="7" width="20" hidden="0" customWidth="1"/>
    <x:col min="8" max="8" width="27" hidden="0" customWidth="1"/>
    <x:col min="9" max="9" width="16" hidden="0" customWidth="1"/>
    <x:col min="10" max="10" width="25" hidden="0" customWidth="1"/>
    <x:col min="11" max="11" width="16" hidden="0" customWidth="1"/>
  </x:cols>
  <x:sheetData>
    <x:row r="1" ht="25" customHeight="1">
      <x:c r="A1" s="3" t="str">
        <x:v>SkillLance Operations Database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9" customHeight="1">
      <x:c r="A2" s="4" t="str">
        <x:v>Summary of customers, paid enrollments, sales, affiliate commissions, and payouts.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3" t="str">
        <x:v>Customers</x:v>
      </x:c>
      <x:c r="B5" s="11" t="str"/>
      <x:c r="C5" s="12" t="str"/>
      <x:c r="D5" s="24" t="str">
        <x:v>Active enrollments</x:v>
      </x:c>
      <x:c r="E5" s="13" t="str"/>
      <x:c r="F5" s="12" t="str"/>
      <x:c r="G5" s="25" t="str">
        <x:v>Paid course revenue</x:v>
      </x:c>
      <x:c r="H5" s="14" t="str"/>
      <x:c r="I5" s="12" t="str"/>
      <x:c r="J5" s="26" t="str">
        <x:v>Available affiliate payout</x:v>
      </x:c>
      <x:c r="K5" s="16" t="str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7" t="n">
        <x:f>COUNTA(Customers!$A$5:$A$504)</x:f>
        <x:v>0</x:v>
      </x:c>
      <x:c r="B6" s="18" t="str"/>
      <x:c r="C6" s="5" t="str"/>
      <x:c r="D6" s="19" t="n">
        <x:f>COUNTIFS(Enrollments!$I$5:$I$504,"Granted")</x:f>
        <x:v>0</x:v>
      </x:c>
      <x:c r="E6" s="19" t="str"/>
      <x:c r="F6" s="5" t="str"/>
      <x:c r="G6" s="28" t="n">
        <x:f>SUMIFS(Sales!$G$5:$G$504,Sales!$H$5:$H$504,"Paid")</x:f>
        <x:v>0</x:v>
      </x:c>
      <x:c r="H6" s="20" t="str"/>
      <x:c r="I6" s="5" t="str"/>
      <x:c r="J6" s="21" t="n">
        <x:f>SUM(Affiliates!$J$5:$J$504)</x:f>
        <x:v>0</x:v>
      </x:c>
      <x:c r="K6" s="22" t="str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24" customHeight="1">
      <x:c r="A9" s="32" t="str">
        <x:v>Sales and commission</x:v>
      </x:c>
      <x:c r="B9" s="32" t="str">
        <x:v>Amount</x:v>
      </x:c>
      <x:c r="C9" s="2"/>
      <x:c r="D9" s="32" t="str">
        <x:v>Database controls</x:v>
      </x:c>
      <x:c r="E9" s="32" t="str">
        <x:v>Value</x:v>
      </x:c>
      <x:c r="F9" s="2"/>
      <x:c r="G9" s="32" t="str">
        <x:v>Data entry order</x:v>
      </x:c>
      <x:c r="H9" s="32"/>
      <x:c r="I9" s="32"/>
      <x:c r="J9" s="32"/>
      <x:c r="K9" s="3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5" t="str">
        <x:v>Paid sales</x:v>
      </x:c>
      <x:c r="B10" s="34" t="n">
        <x:f>COUNTIFS(Sales!$H$5:$H$504,"Paid")</x:f>
        <x:v>0</x:v>
      </x:c>
      <x:c r="C10" s="2"/>
      <x:c r="D10" s="5" t="str">
        <x:v>Affiliate commission rate</x:v>
      </x:c>
      <x:c r="E10" s="38" t="n">
        <x:v>0.7</x:v>
      </x:c>
      <x:c r="F10" s="2"/>
      <x:c r="G10" s="41" t="str">
        <x:v>1</x:v>
      </x:c>
      <x:c r="H10" s="5" t="str">
        <x:v>Add or update customer details on Customers</x:v>
      </x:c>
      <x:c r="I10" s="5" t="str"/>
      <x:c r="J10" s="5" t="str"/>
      <x:c r="K10" s="5" t="str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35" t="str">
        <x:v>Paid course revenue</x:v>
      </x:c>
      <x:c r="B11" s="36" t="n">
        <x:f>SUMIFS(Sales!$G$5:$G$504,Sales!$H$5:$H$504,"Paid")</x:f>
        <x:v>0</x:v>
      </x:c>
      <x:c r="C11" s="2"/>
      <x:c r="D11" s="35" t="str">
        <x:v>Minimum payout</x:v>
      </x:c>
      <x:c r="E11" s="36" t="n">
        <x:v>500</x:v>
      </x:c>
      <x:c r="F11" s="2"/>
      <x:c r="G11" s="42" t="str">
        <x:v>2</x:v>
      </x:c>
      <x:c r="H11" s="35" t="str">
        <x:v>Record the paid course purchase in Sales</x:v>
      </x:c>
      <x:c r="I11" s="35" t="str"/>
      <x:c r="J11" s="35" t="str"/>
      <x:c r="K11" s="35" t="str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35" t="str">
        <x:v>Approved affiliate commission</x:v>
      </x:c>
      <x:c r="B12" s="36" t="n">
        <x:f>SUMIFS(Sales!$K$5:$K$504,Sales!$L$5:$L$504,"Approved")</x:f>
        <x:v>0</x:v>
      </x:c>
      <x:c r="C12" s="2"/>
      <x:c r="D12" s="35" t="str">
        <x:v>Login user ID</x:v>
      </x:c>
      <x:c r="E12" s="35" t="str">
        <x:v>Customer e-mail</x:v>
      </x:c>
      <x:c r="F12" s="2"/>
      <x:c r="G12" s="42" t="str">
        <x:v>3</x:v>
      </x:c>
      <x:c r="H12" s="35" t="str">
        <x:v>Grant course access in Enrollments</x:v>
      </x:c>
      <x:c r="I12" s="35" t="str"/>
      <x:c r="J12" s="35" t="str"/>
      <x:c r="K12" s="35" t="str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35" t="str">
        <x:v>Paid affiliate payouts</x:v>
      </x:c>
      <x:c r="B13" s="36" t="n">
        <x:f>SUMIFS(Payouts!$G$5:$G$504,Payouts!$H$5:$H$504,"Paid")</x:f>
        <x:v>0</x:v>
      </x:c>
      <x:c r="C13" s="2"/>
      <x:c r="D13" s="35" t="str">
        <x:v>Password storage</x:v>
      </x:c>
      <x:c r="E13" s="35" t="str">
        <x:v>Do not store passwords</x:v>
      </x:c>
      <x:c r="F13" s="2"/>
      <x:c r="G13" s="42" t="str">
        <x:v>4</x:v>
      </x:c>
      <x:c r="H13" s="35" t="str">
        <x:v>Create the affiliate record and referral code</x:v>
      </x:c>
      <x:c r="I13" s="35" t="str"/>
      <x:c r="J13" s="35" t="str"/>
      <x:c r="K13" s="35" t="str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35" t="str">
        <x:v>Commission awaiting payout</x:v>
      </x:c>
      <x:c r="B14" s="36" t="n">
        <x:f>SUM(Affiliates!$J$5:$J$504)</x:f>
        <x:v>0</x:v>
      </x:c>
      <x:c r="C14" s="2"/>
      <x:c r="D14" s="35" t="str">
        <x:v>Sales source</x:v>
      </x:c>
      <x:c r="E14" s="35" t="str">
        <x:v>Razorpay payment export</x:v>
      </x:c>
      <x:c r="F14" s="2"/>
      <x:c r="G14" s="42" t="str">
        <x:v>5</x:v>
      </x:c>
      <x:c r="H14" s="35" t="str">
        <x:v>Record payout payments after approval</x:v>
      </x:c>
      <x:c r="I14" s="35" t="str"/>
      <x:c r="J14" s="35" t="str"/>
      <x:c r="K14" s="35" t="str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</x:sheetData>
  <x:mergeCells>
    <x:mergeCell ref="A1:K1"/>
    <x:mergeCell ref="A2:K2"/>
    <x:mergeCell ref="G9:K9"/>
    <x:mergeCell ref="H10:K10"/>
    <x:mergeCell ref="H11:K11"/>
    <x:mergeCell ref="H12:K12"/>
    <x:mergeCell ref="H13:K13"/>
    <x:mergeCell ref="H14:K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24" hidden="0" customWidth="1"/>
    <x:col min="4" max="4" width="30" hidden="0" customWidth="1"/>
    <x:col min="5" max="5" width="16" hidden="0" customWidth="1"/>
    <x:col min="6" max="6" width="19" hidden="0" customWidth="1"/>
    <x:col min="7" max="7" width="30" hidden="0" customWidth="1"/>
    <x:col min="8" max="8" width="16" hidden="0" customWidth="1"/>
    <x:col min="9" max="9" width="18" hidden="0" customWidth="1"/>
    <x:col min="10" max="10" width="28" hidden="0" customWidth="1"/>
  </x:cols>
  <x:sheetData>
    <x:row r="1" ht="25" customHeight="1">
      <x:c r="A1" s="3" t="str">
        <x:v>Customers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9" customHeight="1">
      <x:c r="A2" s="4" t="str">
        <x:v>One row per learner. Their e-mail is also their affiliate dashboard user ID.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53" t="str">
        <x:v>Customer ID</x:v>
      </x:c>
      <x:c r="B4" s="53" t="str">
        <x:v>Created date</x:v>
      </x:c>
      <x:c r="C4" s="53" t="str">
        <x:v>Full name</x:v>
      </x:c>
      <x:c r="D4" s="53" t="str">
        <x:v>E-mail</x:v>
      </x:c>
      <x:c r="E4" s="53" t="str">
        <x:v>Mobile no.</x:v>
      </x:c>
      <x:c r="F4" s="53" t="str">
        <x:v>State</x:v>
      </x:c>
      <x:c r="G4" s="53" t="str">
        <x:v>Login user ID</x:v>
      </x:c>
      <x:c r="H4" s="53" t="str">
        <x:v>Account status</x:v>
      </x:c>
      <x:c r="I4" s="53" t="str">
        <x:v>Password setup</x:v>
      </x:c>
      <x:c r="J4" s="53" t="str">
        <x:v>Notes</x:v>
      </x:c>
      <x:c r="K4" s="54"/>
      <x:c r="L4" s="54"/>
      <x:c r="M4" s="54"/>
      <x:c r="N4" s="54"/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</x:row>
    <x:row r="5">
      <x:c r="A5" s="9"/>
      <x:c r="B5" s="43"/>
      <x:c r="C5" s="9"/>
      <x:c r="D5" s="9"/>
      <x:c r="E5" s="9"/>
      <x:c r="F5" s="9"/>
      <x:c r="G5" s="6" t="str">
        <x:f>IF(D5="","",D5)</x:f>
      </x:c>
      <x:c r="H5" s="9"/>
      <x:c r="I5" s="9"/>
      <x:c r="J5" s="9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9"/>
      <x:c r="B6" s="43"/>
      <x:c r="C6" s="9"/>
      <x:c r="D6" s="9"/>
      <x:c r="E6" s="9"/>
      <x:c r="F6" s="9"/>
      <x:c r="G6" s="6" t="str">
        <x:f>IF(D6="","",D6)</x:f>
      </x:c>
      <x:c r="H6" s="9"/>
      <x:c r="I6" s="9"/>
      <x:c r="J6" s="9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9"/>
      <x:c r="B7" s="43"/>
      <x:c r="C7" s="9"/>
      <x:c r="D7" s="9"/>
      <x:c r="E7" s="9"/>
      <x:c r="F7" s="9"/>
      <x:c r="G7" s="6" t="str">
        <x:f>IF(D7="","",D7)</x:f>
      </x:c>
      <x:c r="H7" s="9"/>
      <x:c r="I7" s="9"/>
      <x:c r="J7" s="9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9"/>
      <x:c r="B8" s="43"/>
      <x:c r="C8" s="9"/>
      <x:c r="D8" s="9"/>
      <x:c r="E8" s="9"/>
      <x:c r="F8" s="9"/>
      <x:c r="G8" s="6" t="str">
        <x:f>IF(D8="","",D8)</x:f>
      </x:c>
      <x:c r="H8" s="9"/>
      <x:c r="I8" s="9"/>
      <x:c r="J8" s="9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9"/>
      <x:c r="B9" s="43"/>
      <x:c r="C9" s="9"/>
      <x:c r="D9" s="9"/>
      <x:c r="E9" s="9"/>
      <x:c r="F9" s="9"/>
      <x:c r="G9" s="6" t="str">
        <x:f>IF(D9="","",D9)</x:f>
      </x:c>
      <x:c r="H9" s="9"/>
      <x:c r="I9" s="9"/>
      <x:c r="J9" s="9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9"/>
      <x:c r="B10" s="43"/>
      <x:c r="C10" s="9"/>
      <x:c r="D10" s="9"/>
      <x:c r="E10" s="9"/>
      <x:c r="F10" s="9"/>
      <x:c r="G10" s="6" t="str">
        <x:f>IF(D10="","",D10)</x:f>
      </x:c>
      <x:c r="H10" s="9"/>
      <x:c r="I10" s="9"/>
      <x:c r="J10" s="9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9"/>
      <x:c r="B11" s="43"/>
      <x:c r="C11" s="9"/>
      <x:c r="D11" s="9"/>
      <x:c r="E11" s="9"/>
      <x:c r="F11" s="9"/>
      <x:c r="G11" s="6" t="str">
        <x:f>IF(D11="","",D11)</x:f>
      </x:c>
      <x:c r="H11" s="9"/>
      <x:c r="I11" s="9"/>
      <x:c r="J11" s="9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9"/>
      <x:c r="B12" s="43"/>
      <x:c r="C12" s="9"/>
      <x:c r="D12" s="9"/>
      <x:c r="E12" s="9"/>
      <x:c r="F12" s="9"/>
      <x:c r="G12" s="6" t="str">
        <x:f>IF(D12="","",D12)</x:f>
      </x:c>
      <x:c r="H12" s="9"/>
      <x:c r="I12" s="9"/>
      <x:c r="J12" s="9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9"/>
      <x:c r="B13" s="43"/>
      <x:c r="C13" s="9"/>
      <x:c r="D13" s="9"/>
      <x:c r="E13" s="9"/>
      <x:c r="F13" s="9"/>
      <x:c r="G13" s="6" t="str">
        <x:f>IF(D13="","",D13)</x:f>
      </x:c>
      <x:c r="H13" s="9"/>
      <x:c r="I13" s="9"/>
      <x:c r="J13" s="9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9"/>
      <x:c r="B14" s="43"/>
      <x:c r="C14" s="9"/>
      <x:c r="D14" s="9"/>
      <x:c r="E14" s="9"/>
      <x:c r="F14" s="9"/>
      <x:c r="G14" s="6" t="str">
        <x:f>IF(D14="","",D14)</x:f>
      </x:c>
      <x:c r="H14" s="9"/>
      <x:c r="I14" s="9"/>
      <x:c r="J14" s="9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9"/>
      <x:c r="B15" s="43"/>
      <x:c r="C15" s="9"/>
      <x:c r="D15" s="9"/>
      <x:c r="E15" s="9"/>
      <x:c r="F15" s="9"/>
      <x:c r="G15" s="6" t="str">
        <x:f>IF(D15="","",D15)</x:f>
      </x:c>
      <x:c r="H15" s="9"/>
      <x:c r="I15" s="9"/>
      <x:c r="J15" s="9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9"/>
      <x:c r="B16" s="43"/>
      <x:c r="C16" s="9"/>
      <x:c r="D16" s="9"/>
      <x:c r="E16" s="9"/>
      <x:c r="F16" s="9"/>
      <x:c r="G16" s="6" t="str">
        <x:f>IF(D16="","",D16)</x:f>
      </x:c>
      <x:c r="H16" s="9"/>
      <x:c r="I16" s="9"/>
      <x:c r="J16" s="9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9"/>
      <x:c r="B17" s="43"/>
      <x:c r="C17" s="9"/>
      <x:c r="D17" s="9"/>
      <x:c r="E17" s="9"/>
      <x:c r="F17" s="9"/>
      <x:c r="G17" s="6" t="str">
        <x:f>IF(D17="","",D17)</x:f>
      </x:c>
      <x:c r="H17" s="9"/>
      <x:c r="I17" s="9"/>
      <x:c r="J17" s="9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9"/>
      <x:c r="B18" s="43"/>
      <x:c r="C18" s="9"/>
      <x:c r="D18" s="9"/>
      <x:c r="E18" s="9"/>
      <x:c r="F18" s="9"/>
      <x:c r="G18" s="6" t="str">
        <x:f>IF(D18="","",D18)</x:f>
      </x:c>
      <x:c r="H18" s="9"/>
      <x:c r="I18" s="9"/>
      <x:c r="J18" s="9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9"/>
      <x:c r="B19" s="43"/>
      <x:c r="C19" s="9"/>
      <x:c r="D19" s="9"/>
      <x:c r="E19" s="9"/>
      <x:c r="F19" s="9"/>
      <x:c r="G19" s="6" t="str">
        <x:f>IF(D19="","",D19)</x:f>
      </x:c>
      <x:c r="H19" s="9"/>
      <x:c r="I19" s="9"/>
      <x:c r="J19" s="9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9"/>
      <x:c r="B20" s="43"/>
      <x:c r="C20" s="9"/>
      <x:c r="D20" s="9"/>
      <x:c r="E20" s="9"/>
      <x:c r="F20" s="9"/>
      <x:c r="G20" s="6" t="str">
        <x:f>IF(D20="","",D20)</x:f>
      </x:c>
      <x:c r="H20" s="9"/>
      <x:c r="I20" s="9"/>
      <x:c r="J20" s="9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9"/>
      <x:c r="B21" s="43"/>
      <x:c r="C21" s="9"/>
      <x:c r="D21" s="9"/>
      <x:c r="E21" s="9"/>
      <x:c r="F21" s="9"/>
      <x:c r="G21" s="6" t="str">
        <x:f>IF(D21="","",D21)</x:f>
      </x:c>
      <x:c r="H21" s="9"/>
      <x:c r="I21" s="9"/>
      <x:c r="J21" s="9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9"/>
      <x:c r="B22" s="43"/>
      <x:c r="C22" s="9"/>
      <x:c r="D22" s="9"/>
      <x:c r="E22" s="9"/>
      <x:c r="F22" s="9"/>
      <x:c r="G22" s="6" t="str">
        <x:f>IF(D22="","",D22)</x:f>
      </x:c>
      <x:c r="H22" s="9"/>
      <x:c r="I22" s="9"/>
      <x:c r="J22" s="9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9"/>
      <x:c r="B23" s="43"/>
      <x:c r="C23" s="9"/>
      <x:c r="D23" s="9"/>
      <x:c r="E23" s="9"/>
      <x:c r="F23" s="9"/>
      <x:c r="G23" s="6" t="str">
        <x:f>IF(D23="","",D23)</x:f>
      </x:c>
      <x:c r="H23" s="9"/>
      <x:c r="I23" s="9"/>
      <x:c r="J23" s="9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9"/>
      <x:c r="B24" s="43"/>
      <x:c r="C24" s="9"/>
      <x:c r="D24" s="9"/>
      <x:c r="E24" s="9"/>
      <x:c r="F24" s="9"/>
      <x:c r="G24" s="6" t="str">
        <x:f>IF(D24="","",D24)</x:f>
      </x:c>
      <x:c r="H24" s="9"/>
      <x:c r="I24" s="9"/>
      <x:c r="J24" s="9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9"/>
      <x:c r="B25" s="43"/>
      <x:c r="C25" s="9"/>
      <x:c r="D25" s="9"/>
      <x:c r="E25" s="9"/>
      <x:c r="F25" s="9"/>
      <x:c r="G25" s="6" t="str">
        <x:f>IF(D25="","",D25)</x:f>
      </x:c>
      <x:c r="H25" s="9"/>
      <x:c r="I25" s="9"/>
      <x:c r="J25" s="9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9"/>
      <x:c r="B26" s="43"/>
      <x:c r="C26" s="9"/>
      <x:c r="D26" s="9"/>
      <x:c r="E26" s="9"/>
      <x:c r="F26" s="9"/>
      <x:c r="G26" s="6" t="str">
        <x:f>IF(D26="","",D26)</x:f>
      </x:c>
      <x:c r="H26" s="9"/>
      <x:c r="I26" s="9"/>
      <x:c r="J26" s="9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9"/>
      <x:c r="B27" s="43"/>
      <x:c r="C27" s="9"/>
      <x:c r="D27" s="9"/>
      <x:c r="E27" s="9"/>
      <x:c r="F27" s="9"/>
      <x:c r="G27" s="6" t="str">
        <x:f>IF(D27="","",D27)</x:f>
      </x:c>
      <x:c r="H27" s="9"/>
      <x:c r="I27" s="9"/>
      <x:c r="J27" s="9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9"/>
      <x:c r="B28" s="43"/>
      <x:c r="C28" s="9"/>
      <x:c r="D28" s="9"/>
      <x:c r="E28" s="9"/>
      <x:c r="F28" s="9"/>
      <x:c r="G28" s="6" t="str">
        <x:f>IF(D28="","",D28)</x:f>
      </x:c>
      <x:c r="H28" s="9"/>
      <x:c r="I28" s="9"/>
      <x:c r="J28" s="9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9"/>
      <x:c r="B29" s="43"/>
      <x:c r="C29" s="9"/>
      <x:c r="D29" s="9"/>
      <x:c r="E29" s="9"/>
      <x:c r="F29" s="9"/>
      <x:c r="G29" s="6" t="str">
        <x:f>IF(D29="","",D29)</x:f>
      </x:c>
      <x:c r="H29" s="9"/>
      <x:c r="I29" s="9"/>
      <x:c r="J29" s="9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9"/>
      <x:c r="B30" s="43"/>
      <x:c r="C30" s="9"/>
      <x:c r="D30" s="9"/>
      <x:c r="E30" s="9"/>
      <x:c r="F30" s="9"/>
      <x:c r="G30" s="6" t="str">
        <x:f>IF(D30="","",D30)</x:f>
      </x:c>
      <x:c r="H30" s="9"/>
      <x:c r="I30" s="9"/>
      <x:c r="J30" s="9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9"/>
      <x:c r="B31" s="43"/>
      <x:c r="C31" s="9"/>
      <x:c r="D31" s="9"/>
      <x:c r="E31" s="9"/>
      <x:c r="F31" s="9"/>
      <x:c r="G31" s="6" t="str">
        <x:f>IF(D31="","",D31)</x:f>
      </x:c>
      <x:c r="H31" s="9"/>
      <x:c r="I31" s="9"/>
      <x:c r="J31" s="9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9"/>
      <x:c r="B32" s="43"/>
      <x:c r="C32" s="9"/>
      <x:c r="D32" s="9"/>
      <x:c r="E32" s="9"/>
      <x:c r="F32" s="9"/>
      <x:c r="G32" s="6" t="str">
        <x:f>IF(D32="","",D32)</x:f>
      </x:c>
      <x:c r="H32" s="9"/>
      <x:c r="I32" s="9"/>
      <x:c r="J32" s="9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9"/>
      <x:c r="B33" s="43"/>
      <x:c r="C33" s="9"/>
      <x:c r="D33" s="9"/>
      <x:c r="E33" s="9"/>
      <x:c r="F33" s="9"/>
      <x:c r="G33" s="6" t="str">
        <x:f>IF(D33="","",D33)</x:f>
      </x:c>
      <x:c r="H33" s="9"/>
      <x:c r="I33" s="9"/>
      <x:c r="J33" s="9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9"/>
      <x:c r="B34" s="43"/>
      <x:c r="C34" s="9"/>
      <x:c r="D34" s="9"/>
      <x:c r="E34" s="9"/>
      <x:c r="F34" s="9"/>
      <x:c r="G34" s="6" t="str">
        <x:f>IF(D34="","",D34)</x:f>
      </x:c>
      <x:c r="H34" s="9"/>
      <x:c r="I34" s="9"/>
      <x:c r="J34" s="9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9"/>
      <x:c r="B35" s="43"/>
      <x:c r="C35" s="9"/>
      <x:c r="D35" s="9"/>
      <x:c r="E35" s="9"/>
      <x:c r="F35" s="9"/>
      <x:c r="G35" s="6" t="str">
        <x:f>IF(D35="","",D35)</x:f>
      </x:c>
      <x:c r="H35" s="9"/>
      <x:c r="I35" s="9"/>
      <x:c r="J35" s="9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9"/>
      <x:c r="B36" s="43"/>
      <x:c r="C36" s="9"/>
      <x:c r="D36" s="9"/>
      <x:c r="E36" s="9"/>
      <x:c r="F36" s="9"/>
      <x:c r="G36" s="6" t="str">
        <x:f>IF(D36="","",D36)</x:f>
      </x:c>
      <x:c r="H36" s="9"/>
      <x:c r="I36" s="9"/>
      <x:c r="J36" s="9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9"/>
      <x:c r="B37" s="43"/>
      <x:c r="C37" s="9"/>
      <x:c r="D37" s="9"/>
      <x:c r="E37" s="9"/>
      <x:c r="F37" s="9"/>
      <x:c r="G37" s="6" t="str">
        <x:f>IF(D37="","",D37)</x:f>
      </x:c>
      <x:c r="H37" s="9"/>
      <x:c r="I37" s="9"/>
      <x:c r="J37" s="9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9"/>
      <x:c r="B38" s="43"/>
      <x:c r="C38" s="9"/>
      <x:c r="D38" s="9"/>
      <x:c r="E38" s="9"/>
      <x:c r="F38" s="9"/>
      <x:c r="G38" s="6" t="str">
        <x:f>IF(D38="","",D38)</x:f>
      </x:c>
      <x:c r="H38" s="9"/>
      <x:c r="I38" s="9"/>
      <x:c r="J38" s="9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9"/>
      <x:c r="B39" s="43"/>
      <x:c r="C39" s="9"/>
      <x:c r="D39" s="9"/>
      <x:c r="E39" s="9"/>
      <x:c r="F39" s="9"/>
      <x:c r="G39" s="6" t="str">
        <x:f>IF(D39="","",D39)</x:f>
      </x:c>
      <x:c r="H39" s="9"/>
      <x:c r="I39" s="9"/>
      <x:c r="J39" s="9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9"/>
      <x:c r="B40" s="43"/>
      <x:c r="C40" s="9"/>
      <x:c r="D40" s="9"/>
      <x:c r="E40" s="9"/>
      <x:c r="F40" s="9"/>
      <x:c r="G40" s="6" t="str">
        <x:f>IF(D40="","",D40)</x:f>
      </x:c>
      <x:c r="H40" s="9"/>
      <x:c r="I40" s="9"/>
      <x:c r="J40" s="9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9"/>
      <x:c r="B41" s="43"/>
      <x:c r="C41" s="9"/>
      <x:c r="D41" s="9"/>
      <x:c r="E41" s="9"/>
      <x:c r="F41" s="9"/>
      <x:c r="G41" s="6" t="str">
        <x:f>IF(D41="","",D41)</x:f>
      </x:c>
      <x:c r="H41" s="9"/>
      <x:c r="I41" s="9"/>
      <x:c r="J41" s="9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9"/>
      <x:c r="B42" s="43"/>
      <x:c r="C42" s="9"/>
      <x:c r="D42" s="9"/>
      <x:c r="E42" s="9"/>
      <x:c r="F42" s="9"/>
      <x:c r="G42" s="6" t="str">
        <x:f>IF(D42="","",D42)</x:f>
      </x:c>
      <x:c r="H42" s="9"/>
      <x:c r="I42" s="9"/>
      <x:c r="J42" s="9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9"/>
      <x:c r="B43" s="43"/>
      <x:c r="C43" s="9"/>
      <x:c r="D43" s="9"/>
      <x:c r="E43" s="9"/>
      <x:c r="F43" s="9"/>
      <x:c r="G43" s="6" t="str">
        <x:f>IF(D43="","",D43)</x:f>
      </x:c>
      <x:c r="H43" s="9"/>
      <x:c r="I43" s="9"/>
      <x:c r="J43" s="9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9"/>
      <x:c r="B44" s="43"/>
      <x:c r="C44" s="9"/>
      <x:c r="D44" s="9"/>
      <x:c r="E44" s="9"/>
      <x:c r="F44" s="9"/>
      <x:c r="G44" s="6" t="str">
        <x:f>IF(D44="","",D44)</x:f>
      </x:c>
      <x:c r="H44" s="9"/>
      <x:c r="I44" s="9"/>
      <x:c r="J44" s="9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9"/>
      <x:c r="B45" s="43"/>
      <x:c r="C45" s="9"/>
      <x:c r="D45" s="9"/>
      <x:c r="E45" s="9"/>
      <x:c r="F45" s="9"/>
      <x:c r="G45" s="6" t="str">
        <x:f>IF(D45="","",D45)</x:f>
      </x:c>
      <x:c r="H45" s="9"/>
      <x:c r="I45" s="9"/>
      <x:c r="J45" s="9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9"/>
      <x:c r="B46" s="43"/>
      <x:c r="C46" s="9"/>
      <x:c r="D46" s="9"/>
      <x:c r="E46" s="9"/>
      <x:c r="F46" s="9"/>
      <x:c r="G46" s="6" t="str">
        <x:f>IF(D46="","",D46)</x:f>
      </x:c>
      <x:c r="H46" s="9"/>
      <x:c r="I46" s="9"/>
      <x:c r="J46" s="9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9"/>
      <x:c r="B47" s="43"/>
      <x:c r="C47" s="9"/>
      <x:c r="D47" s="9"/>
      <x:c r="E47" s="9"/>
      <x:c r="F47" s="9"/>
      <x:c r="G47" s="6" t="str">
        <x:f>IF(D47="","",D47)</x:f>
      </x:c>
      <x:c r="H47" s="9"/>
      <x:c r="I47" s="9"/>
      <x:c r="J47" s="9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9"/>
      <x:c r="B48" s="43"/>
      <x:c r="C48" s="9"/>
      <x:c r="D48" s="9"/>
      <x:c r="E48" s="9"/>
      <x:c r="F48" s="9"/>
      <x:c r="G48" s="6" t="str">
        <x:f>IF(D48="","",D48)</x:f>
      </x:c>
      <x:c r="H48" s="9"/>
      <x:c r="I48" s="9"/>
      <x:c r="J48" s="9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9"/>
      <x:c r="B49" s="43"/>
      <x:c r="C49" s="9"/>
      <x:c r="D49" s="9"/>
      <x:c r="E49" s="9"/>
      <x:c r="F49" s="9"/>
      <x:c r="G49" s="6" t="str">
        <x:f>IF(D49="","",D49)</x:f>
      </x:c>
      <x:c r="H49" s="9"/>
      <x:c r="I49" s="9"/>
      <x:c r="J49" s="9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9"/>
      <x:c r="B50" s="43"/>
      <x:c r="C50" s="9"/>
      <x:c r="D50" s="9"/>
      <x:c r="E50" s="9"/>
      <x:c r="F50" s="9"/>
      <x:c r="G50" s="6" t="str">
        <x:f>IF(D50="","",D50)</x:f>
      </x:c>
      <x:c r="H50" s="9"/>
      <x:c r="I50" s="9"/>
      <x:c r="J50" s="9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9"/>
      <x:c r="B51" s="43"/>
      <x:c r="C51" s="9"/>
      <x:c r="D51" s="9"/>
      <x:c r="E51" s="9"/>
      <x:c r="F51" s="9"/>
      <x:c r="G51" s="6" t="str">
        <x:f>IF(D51="","",D51)</x:f>
      </x:c>
      <x:c r="H51" s="9"/>
      <x:c r="I51" s="9"/>
      <x:c r="J51" s="9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9"/>
      <x:c r="B52" s="43"/>
      <x:c r="C52" s="9"/>
      <x:c r="D52" s="9"/>
      <x:c r="E52" s="9"/>
      <x:c r="F52" s="9"/>
      <x:c r="G52" s="6" t="str">
        <x:f>IF(D52="","",D52)</x:f>
      </x:c>
      <x:c r="H52" s="9"/>
      <x:c r="I52" s="9"/>
      <x:c r="J52" s="9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9"/>
      <x:c r="B53" s="43"/>
      <x:c r="C53" s="9"/>
      <x:c r="D53" s="9"/>
      <x:c r="E53" s="9"/>
      <x:c r="F53" s="9"/>
      <x:c r="G53" s="6" t="str">
        <x:f>IF(D53="","",D53)</x:f>
      </x:c>
      <x:c r="H53" s="9"/>
      <x:c r="I53" s="9"/>
      <x:c r="J53" s="9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9"/>
      <x:c r="B54" s="43"/>
      <x:c r="C54" s="9"/>
      <x:c r="D54" s="9"/>
      <x:c r="E54" s="9"/>
      <x:c r="F54" s="9"/>
      <x:c r="G54" s="6" t="str">
        <x:f>IF(D54="","",D54)</x:f>
      </x:c>
      <x:c r="H54" s="9"/>
      <x:c r="I54" s="9"/>
      <x:c r="J54" s="9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9"/>
      <x:c r="B55" s="43"/>
      <x:c r="C55" s="9"/>
      <x:c r="D55" s="9"/>
      <x:c r="E55" s="9"/>
      <x:c r="F55" s="9"/>
      <x:c r="G55" s="6" t="str">
        <x:f>IF(D55="","",D55)</x:f>
      </x:c>
      <x:c r="H55" s="9"/>
      <x:c r="I55" s="9"/>
      <x:c r="J55" s="9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9"/>
      <x:c r="B56" s="43"/>
      <x:c r="C56" s="9"/>
      <x:c r="D56" s="9"/>
      <x:c r="E56" s="9"/>
      <x:c r="F56" s="9"/>
      <x:c r="G56" s="6" t="str">
        <x:f>IF(D56="","",D56)</x:f>
      </x:c>
      <x:c r="H56" s="9"/>
      <x:c r="I56" s="9"/>
      <x:c r="J56" s="9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9"/>
      <x:c r="B57" s="43"/>
      <x:c r="C57" s="9"/>
      <x:c r="D57" s="9"/>
      <x:c r="E57" s="9"/>
      <x:c r="F57" s="9"/>
      <x:c r="G57" s="6" t="str">
        <x:f>IF(D57="","",D57)</x:f>
      </x:c>
      <x:c r="H57" s="9"/>
      <x:c r="I57" s="9"/>
      <x:c r="J57" s="9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9"/>
      <x:c r="B58" s="43"/>
      <x:c r="C58" s="9"/>
      <x:c r="D58" s="9"/>
      <x:c r="E58" s="9"/>
      <x:c r="F58" s="9"/>
      <x:c r="G58" s="6" t="str">
        <x:f>IF(D58="","",D58)</x:f>
      </x:c>
      <x:c r="H58" s="9"/>
      <x:c r="I58" s="9"/>
      <x:c r="J58" s="9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9"/>
      <x:c r="B59" s="43"/>
      <x:c r="C59" s="9"/>
      <x:c r="D59" s="9"/>
      <x:c r="E59" s="9"/>
      <x:c r="F59" s="9"/>
      <x:c r="G59" s="6" t="str">
        <x:f>IF(D59="","",D59)</x:f>
      </x:c>
      <x:c r="H59" s="9"/>
      <x:c r="I59" s="9"/>
      <x:c r="J59" s="9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9"/>
      <x:c r="B60" s="43"/>
      <x:c r="C60" s="9"/>
      <x:c r="D60" s="9"/>
      <x:c r="E60" s="9"/>
      <x:c r="F60" s="9"/>
      <x:c r="G60" s="6" t="str">
        <x:f>IF(D60="","",D60)</x:f>
      </x:c>
      <x:c r="H60" s="9"/>
      <x:c r="I60" s="9"/>
      <x:c r="J60" s="9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9"/>
      <x:c r="B61" s="43"/>
      <x:c r="C61" s="9"/>
      <x:c r="D61" s="9"/>
      <x:c r="E61" s="9"/>
      <x:c r="F61" s="9"/>
      <x:c r="G61" s="6" t="str">
        <x:f>IF(D61="","",D61)</x:f>
      </x:c>
      <x:c r="H61" s="9"/>
      <x:c r="I61" s="9"/>
      <x:c r="J61" s="9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9"/>
      <x:c r="B62" s="43"/>
      <x:c r="C62" s="9"/>
      <x:c r="D62" s="9"/>
      <x:c r="E62" s="9"/>
      <x:c r="F62" s="9"/>
      <x:c r="G62" s="6" t="str">
        <x:f>IF(D62="","",D62)</x:f>
      </x:c>
      <x:c r="H62" s="9"/>
      <x:c r="I62" s="9"/>
      <x:c r="J62" s="9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9"/>
      <x:c r="B63" s="43"/>
      <x:c r="C63" s="9"/>
      <x:c r="D63" s="9"/>
      <x:c r="E63" s="9"/>
      <x:c r="F63" s="9"/>
      <x:c r="G63" s="6" t="str">
        <x:f>IF(D63="","",D63)</x:f>
      </x:c>
      <x:c r="H63" s="9"/>
      <x:c r="I63" s="9"/>
      <x:c r="J63" s="9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9"/>
      <x:c r="B64" s="43"/>
      <x:c r="C64" s="9"/>
      <x:c r="D64" s="9"/>
      <x:c r="E64" s="9"/>
      <x:c r="F64" s="9"/>
      <x:c r="G64" s="6" t="str">
        <x:f>IF(D64="","",D64)</x:f>
      </x:c>
      <x:c r="H64" s="9"/>
      <x:c r="I64" s="9"/>
      <x:c r="J64" s="9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9"/>
      <x:c r="B65" s="43"/>
      <x:c r="C65" s="9"/>
      <x:c r="D65" s="9"/>
      <x:c r="E65" s="9"/>
      <x:c r="F65" s="9"/>
      <x:c r="G65" s="6" t="str">
        <x:f>IF(D65="","",D65)</x:f>
      </x:c>
      <x:c r="H65" s="9"/>
      <x:c r="I65" s="9"/>
      <x:c r="J65" s="9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9"/>
      <x:c r="B66" s="43"/>
      <x:c r="C66" s="9"/>
      <x:c r="D66" s="9"/>
      <x:c r="E66" s="9"/>
      <x:c r="F66" s="9"/>
      <x:c r="G66" s="6" t="str">
        <x:f>IF(D66="","",D66)</x:f>
      </x:c>
      <x:c r="H66" s="9"/>
      <x:c r="I66" s="9"/>
      <x:c r="J66" s="9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9"/>
      <x:c r="B67" s="43"/>
      <x:c r="C67" s="9"/>
      <x:c r="D67" s="9"/>
      <x:c r="E67" s="9"/>
      <x:c r="F67" s="9"/>
      <x:c r="G67" s="6" t="str">
        <x:f>IF(D67="","",D67)</x:f>
      </x:c>
      <x:c r="H67" s="9"/>
      <x:c r="I67" s="9"/>
      <x:c r="J67" s="9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9"/>
      <x:c r="B68" s="43"/>
      <x:c r="C68" s="9"/>
      <x:c r="D68" s="9"/>
      <x:c r="E68" s="9"/>
      <x:c r="F68" s="9"/>
      <x:c r="G68" s="6" t="str">
        <x:f>IF(D68="","",D68)</x:f>
      </x:c>
      <x:c r="H68" s="9"/>
      <x:c r="I68" s="9"/>
      <x:c r="J68" s="9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9"/>
      <x:c r="B69" s="43"/>
      <x:c r="C69" s="9"/>
      <x:c r="D69" s="9"/>
      <x:c r="E69" s="9"/>
      <x:c r="F69" s="9"/>
      <x:c r="G69" s="6" t="str">
        <x:f>IF(D69="","",D69)</x:f>
      </x:c>
      <x:c r="H69" s="9"/>
      <x:c r="I69" s="9"/>
      <x:c r="J69" s="9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9"/>
      <x:c r="B70" s="43"/>
      <x:c r="C70" s="9"/>
      <x:c r="D70" s="9"/>
      <x:c r="E70" s="9"/>
      <x:c r="F70" s="9"/>
      <x:c r="G70" s="6" t="str">
        <x:f>IF(D70="","",D70)</x:f>
      </x:c>
      <x:c r="H70" s="9"/>
      <x:c r="I70" s="9"/>
      <x:c r="J70" s="9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9"/>
      <x:c r="B71" s="43"/>
      <x:c r="C71" s="9"/>
      <x:c r="D71" s="9"/>
      <x:c r="E71" s="9"/>
      <x:c r="F71" s="9"/>
      <x:c r="G71" s="6" t="str">
        <x:f>IF(D71="","",D71)</x:f>
      </x:c>
      <x:c r="H71" s="9"/>
      <x:c r="I71" s="9"/>
      <x:c r="J71" s="9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9"/>
      <x:c r="B72" s="43"/>
      <x:c r="C72" s="9"/>
      <x:c r="D72" s="9"/>
      <x:c r="E72" s="9"/>
      <x:c r="F72" s="9"/>
      <x:c r="G72" s="6" t="str">
        <x:f>IF(D72="","",D72)</x:f>
      </x:c>
      <x:c r="H72" s="9"/>
      <x:c r="I72" s="9"/>
      <x:c r="J72" s="9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9"/>
      <x:c r="B73" s="43"/>
      <x:c r="C73" s="9"/>
      <x:c r="D73" s="9"/>
      <x:c r="E73" s="9"/>
      <x:c r="F73" s="9"/>
      <x:c r="G73" s="6" t="str">
        <x:f>IF(D73="","",D73)</x:f>
      </x:c>
      <x:c r="H73" s="9"/>
      <x:c r="I73" s="9"/>
      <x:c r="J73" s="9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9"/>
      <x:c r="B74" s="43"/>
      <x:c r="C74" s="9"/>
      <x:c r="D74" s="9"/>
      <x:c r="E74" s="9"/>
      <x:c r="F74" s="9"/>
      <x:c r="G74" s="6" t="str">
        <x:f>IF(D74="","",D74)</x:f>
      </x:c>
      <x:c r="H74" s="9"/>
      <x:c r="I74" s="9"/>
      <x:c r="J74" s="9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9"/>
      <x:c r="B75" s="43"/>
      <x:c r="C75" s="9"/>
      <x:c r="D75" s="9"/>
      <x:c r="E75" s="9"/>
      <x:c r="F75" s="9"/>
      <x:c r="G75" s="6" t="str">
        <x:f>IF(D75="","",D75)</x:f>
      </x:c>
      <x:c r="H75" s="9"/>
      <x:c r="I75" s="9"/>
      <x:c r="J75" s="9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9"/>
      <x:c r="B76" s="43"/>
      <x:c r="C76" s="9"/>
      <x:c r="D76" s="9"/>
      <x:c r="E76" s="9"/>
      <x:c r="F76" s="9"/>
      <x:c r="G76" s="6" t="str">
        <x:f>IF(D76="","",D76)</x:f>
      </x:c>
      <x:c r="H76" s="9"/>
      <x:c r="I76" s="9"/>
      <x:c r="J76" s="9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9"/>
      <x:c r="B77" s="43"/>
      <x:c r="C77" s="9"/>
      <x:c r="D77" s="9"/>
      <x:c r="E77" s="9"/>
      <x:c r="F77" s="9"/>
      <x:c r="G77" s="6" t="str">
        <x:f>IF(D77="","",D77)</x:f>
      </x:c>
      <x:c r="H77" s="9"/>
      <x:c r="I77" s="9"/>
      <x:c r="J77" s="9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9"/>
      <x:c r="B78" s="43"/>
      <x:c r="C78" s="9"/>
      <x:c r="D78" s="9"/>
      <x:c r="E78" s="9"/>
      <x:c r="F78" s="9"/>
      <x:c r="G78" s="6" t="str">
        <x:f>IF(D78="","",D78)</x:f>
      </x:c>
      <x:c r="H78" s="9"/>
      <x:c r="I78" s="9"/>
      <x:c r="J78" s="9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9"/>
      <x:c r="B79" s="43"/>
      <x:c r="C79" s="9"/>
      <x:c r="D79" s="9"/>
      <x:c r="E79" s="9"/>
      <x:c r="F79" s="9"/>
      <x:c r="G79" s="6" t="str">
        <x:f>IF(D79="","",D79)</x:f>
      </x:c>
      <x:c r="H79" s="9"/>
      <x:c r="I79" s="9"/>
      <x:c r="J79" s="9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9"/>
      <x:c r="B80" s="43"/>
      <x:c r="C80" s="9"/>
      <x:c r="D80" s="9"/>
      <x:c r="E80" s="9"/>
      <x:c r="F80" s="9"/>
      <x:c r="G80" s="6" t="str">
        <x:f>IF(D80="","",D80)</x:f>
      </x:c>
      <x:c r="H80" s="9"/>
      <x:c r="I80" s="9"/>
      <x:c r="J80" s="9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9"/>
      <x:c r="B81" s="43"/>
      <x:c r="C81" s="9"/>
      <x:c r="D81" s="9"/>
      <x:c r="E81" s="9"/>
      <x:c r="F81" s="9"/>
      <x:c r="G81" s="6" t="str">
        <x:f>IF(D81="","",D81)</x:f>
      </x:c>
      <x:c r="H81" s="9"/>
      <x:c r="I81" s="9"/>
      <x:c r="J81" s="9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9"/>
      <x:c r="B82" s="43"/>
      <x:c r="C82" s="9"/>
      <x:c r="D82" s="9"/>
      <x:c r="E82" s="9"/>
      <x:c r="F82" s="9"/>
      <x:c r="G82" s="6" t="str">
        <x:f>IF(D82="","",D82)</x:f>
      </x:c>
      <x:c r="H82" s="9"/>
      <x:c r="I82" s="9"/>
      <x:c r="J82" s="9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9"/>
      <x:c r="B83" s="43"/>
      <x:c r="C83" s="9"/>
      <x:c r="D83" s="9"/>
      <x:c r="E83" s="9"/>
      <x:c r="F83" s="9"/>
      <x:c r="G83" s="6" t="str">
        <x:f>IF(D83="","",D83)</x:f>
      </x:c>
      <x:c r="H83" s="9"/>
      <x:c r="I83" s="9"/>
      <x:c r="J83" s="9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9"/>
      <x:c r="B84" s="43"/>
      <x:c r="C84" s="9"/>
      <x:c r="D84" s="9"/>
      <x:c r="E84" s="9"/>
      <x:c r="F84" s="9"/>
      <x:c r="G84" s="6" t="str">
        <x:f>IF(D84="","",D84)</x:f>
      </x:c>
      <x:c r="H84" s="9"/>
      <x:c r="I84" s="9"/>
      <x:c r="J84" s="9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9"/>
      <x:c r="B85" s="43"/>
      <x:c r="C85" s="9"/>
      <x:c r="D85" s="9"/>
      <x:c r="E85" s="9"/>
      <x:c r="F85" s="9"/>
      <x:c r="G85" s="6" t="str">
        <x:f>IF(D85="","",D85)</x:f>
      </x:c>
      <x:c r="H85" s="9"/>
      <x:c r="I85" s="9"/>
      <x:c r="J85" s="9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9"/>
      <x:c r="B86" s="43"/>
      <x:c r="C86" s="9"/>
      <x:c r="D86" s="9"/>
      <x:c r="E86" s="9"/>
      <x:c r="F86" s="9"/>
      <x:c r="G86" s="6" t="str">
        <x:f>IF(D86="","",D86)</x:f>
      </x:c>
      <x:c r="H86" s="9"/>
      <x:c r="I86" s="9"/>
      <x:c r="J86" s="9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9"/>
      <x:c r="B87" s="43"/>
      <x:c r="C87" s="9"/>
      <x:c r="D87" s="9"/>
      <x:c r="E87" s="9"/>
      <x:c r="F87" s="9"/>
      <x:c r="G87" s="6" t="str">
        <x:f>IF(D87="","",D87)</x:f>
      </x:c>
      <x:c r="H87" s="9"/>
      <x:c r="I87" s="9"/>
      <x:c r="J87" s="9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9"/>
      <x:c r="B88" s="43"/>
      <x:c r="C88" s="9"/>
      <x:c r="D88" s="9"/>
      <x:c r="E88" s="9"/>
      <x:c r="F88" s="9"/>
      <x:c r="G88" s="6" t="str">
        <x:f>IF(D88="","",D88)</x:f>
      </x:c>
      <x:c r="H88" s="9"/>
      <x:c r="I88" s="9"/>
      <x:c r="J88" s="9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9"/>
      <x:c r="B89" s="43"/>
      <x:c r="C89" s="9"/>
      <x:c r="D89" s="9"/>
      <x:c r="E89" s="9"/>
      <x:c r="F89" s="9"/>
      <x:c r="G89" s="6" t="str">
        <x:f>IF(D89="","",D89)</x:f>
      </x:c>
      <x:c r="H89" s="9"/>
      <x:c r="I89" s="9"/>
      <x:c r="J89" s="9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9"/>
      <x:c r="B90" s="43"/>
      <x:c r="C90" s="9"/>
      <x:c r="D90" s="9"/>
      <x:c r="E90" s="9"/>
      <x:c r="F90" s="9"/>
      <x:c r="G90" s="6" t="str">
        <x:f>IF(D90="","",D90)</x:f>
      </x:c>
      <x:c r="H90" s="9"/>
      <x:c r="I90" s="9"/>
      <x:c r="J90" s="9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9"/>
      <x:c r="B91" s="43"/>
      <x:c r="C91" s="9"/>
      <x:c r="D91" s="9"/>
      <x:c r="E91" s="9"/>
      <x:c r="F91" s="9"/>
      <x:c r="G91" s="6" t="str">
        <x:f>IF(D91="","",D91)</x:f>
      </x:c>
      <x:c r="H91" s="9"/>
      <x:c r="I91" s="9"/>
      <x:c r="J91" s="9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9"/>
      <x:c r="B92" s="43"/>
      <x:c r="C92" s="9"/>
      <x:c r="D92" s="9"/>
      <x:c r="E92" s="9"/>
      <x:c r="F92" s="9"/>
      <x:c r="G92" s="6" t="str">
        <x:f>IF(D92="","",D92)</x:f>
      </x:c>
      <x:c r="H92" s="9"/>
      <x:c r="I92" s="9"/>
      <x:c r="J92" s="9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9"/>
      <x:c r="B93" s="43"/>
      <x:c r="C93" s="9"/>
      <x:c r="D93" s="9"/>
      <x:c r="E93" s="9"/>
      <x:c r="F93" s="9"/>
      <x:c r="G93" s="6" t="str">
        <x:f>IF(D93="","",D93)</x:f>
      </x:c>
      <x:c r="H93" s="9"/>
      <x:c r="I93" s="9"/>
      <x:c r="J93" s="9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9"/>
      <x:c r="B94" s="43"/>
      <x:c r="C94" s="9"/>
      <x:c r="D94" s="9"/>
      <x:c r="E94" s="9"/>
      <x:c r="F94" s="9"/>
      <x:c r="G94" s="6" t="str">
        <x:f>IF(D94="","",D94)</x:f>
      </x:c>
      <x:c r="H94" s="9"/>
      <x:c r="I94" s="9"/>
      <x:c r="J94" s="9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9"/>
      <x:c r="B95" s="43"/>
      <x:c r="C95" s="9"/>
      <x:c r="D95" s="9"/>
      <x:c r="E95" s="9"/>
      <x:c r="F95" s="9"/>
      <x:c r="G95" s="6" t="str">
        <x:f>IF(D95="","",D95)</x:f>
      </x:c>
      <x:c r="H95" s="9"/>
      <x:c r="I95" s="9"/>
      <x:c r="J95" s="9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9"/>
      <x:c r="B96" s="43"/>
      <x:c r="C96" s="9"/>
      <x:c r="D96" s="9"/>
      <x:c r="E96" s="9"/>
      <x:c r="F96" s="9"/>
      <x:c r="G96" s="6" t="str">
        <x:f>IF(D96="","",D96)</x:f>
      </x:c>
      <x:c r="H96" s="9"/>
      <x:c r="I96" s="9"/>
      <x:c r="J96" s="9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9"/>
      <x:c r="B97" s="43"/>
      <x:c r="C97" s="9"/>
      <x:c r="D97" s="9"/>
      <x:c r="E97" s="9"/>
      <x:c r="F97" s="9"/>
      <x:c r="G97" s="6" t="str">
        <x:f>IF(D97="","",D97)</x:f>
      </x:c>
      <x:c r="H97" s="9"/>
      <x:c r="I97" s="9"/>
      <x:c r="J97" s="9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9"/>
      <x:c r="B98" s="43"/>
      <x:c r="C98" s="9"/>
      <x:c r="D98" s="9"/>
      <x:c r="E98" s="9"/>
      <x:c r="F98" s="9"/>
      <x:c r="G98" s="6" t="str">
        <x:f>IF(D98="","",D98)</x:f>
      </x:c>
      <x:c r="H98" s="9"/>
      <x:c r="I98" s="9"/>
      <x:c r="J98" s="9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9"/>
      <x:c r="B99" s="43"/>
      <x:c r="C99" s="9"/>
      <x:c r="D99" s="9"/>
      <x:c r="E99" s="9"/>
      <x:c r="F99" s="9"/>
      <x:c r="G99" s="6" t="str">
        <x:f>IF(D99="","",D99)</x:f>
      </x:c>
      <x:c r="H99" s="9"/>
      <x:c r="I99" s="9"/>
      <x:c r="J99" s="9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9"/>
      <x:c r="B100" s="43"/>
      <x:c r="C100" s="9"/>
      <x:c r="D100" s="9"/>
      <x:c r="E100" s="9"/>
      <x:c r="F100" s="9"/>
      <x:c r="G100" s="6" t="str">
        <x:f>IF(D100="","",D100)</x:f>
      </x:c>
      <x:c r="H100" s="9"/>
      <x:c r="I100" s="9"/>
      <x:c r="J100" s="9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9"/>
      <x:c r="B101" s="43"/>
      <x:c r="C101" s="9"/>
      <x:c r="D101" s="9"/>
      <x:c r="E101" s="9"/>
      <x:c r="F101" s="9"/>
      <x:c r="G101" s="6" t="str">
        <x:f>IF(D101="","",D101)</x:f>
      </x:c>
      <x:c r="H101" s="9"/>
      <x:c r="I101" s="9"/>
      <x:c r="J101" s="9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9"/>
      <x:c r="B102" s="43"/>
      <x:c r="C102" s="9"/>
      <x:c r="D102" s="9"/>
      <x:c r="E102" s="9"/>
      <x:c r="F102" s="9"/>
      <x:c r="G102" s="6" t="str">
        <x:f>IF(D102="","",D102)</x:f>
      </x:c>
      <x:c r="H102" s="9"/>
      <x:c r="I102" s="9"/>
      <x:c r="J102" s="9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9"/>
      <x:c r="B103" s="43"/>
      <x:c r="C103" s="9"/>
      <x:c r="D103" s="9"/>
      <x:c r="E103" s="9"/>
      <x:c r="F103" s="9"/>
      <x:c r="G103" s="6" t="str">
        <x:f>IF(D103="","",D103)</x:f>
      </x:c>
      <x:c r="H103" s="9"/>
      <x:c r="I103" s="9"/>
      <x:c r="J103" s="9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9"/>
      <x:c r="B104" s="43"/>
      <x:c r="C104" s="9"/>
      <x:c r="D104" s="9"/>
      <x:c r="E104" s="9"/>
      <x:c r="F104" s="9"/>
      <x:c r="G104" s="6" t="str">
        <x:f>IF(D104="","",D104)</x:f>
      </x:c>
      <x:c r="H104" s="9"/>
      <x:c r="I104" s="9"/>
      <x:c r="J104" s="9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9"/>
      <x:c r="B105" s="43"/>
      <x:c r="C105" s="9"/>
      <x:c r="D105" s="9"/>
      <x:c r="E105" s="9"/>
      <x:c r="F105" s="9"/>
      <x:c r="G105" s="6" t="str">
        <x:f>IF(D105="","",D105)</x:f>
      </x:c>
      <x:c r="H105" s="9"/>
      <x:c r="I105" s="9"/>
      <x:c r="J105" s="9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9"/>
      <x:c r="B106" s="43"/>
      <x:c r="C106" s="9"/>
      <x:c r="D106" s="9"/>
      <x:c r="E106" s="9"/>
      <x:c r="F106" s="9"/>
      <x:c r="G106" s="6" t="str">
        <x:f>IF(D106="","",D106)</x:f>
      </x:c>
      <x:c r="H106" s="9"/>
      <x:c r="I106" s="9"/>
      <x:c r="J106" s="9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9"/>
      <x:c r="B107" s="43"/>
      <x:c r="C107" s="9"/>
      <x:c r="D107" s="9"/>
      <x:c r="E107" s="9"/>
      <x:c r="F107" s="9"/>
      <x:c r="G107" s="6" t="str">
        <x:f>IF(D107="","",D107)</x:f>
      </x:c>
      <x:c r="H107" s="9"/>
      <x:c r="I107" s="9"/>
      <x:c r="J107" s="9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9"/>
      <x:c r="B108" s="43"/>
      <x:c r="C108" s="9"/>
      <x:c r="D108" s="9"/>
      <x:c r="E108" s="9"/>
      <x:c r="F108" s="9"/>
      <x:c r="G108" s="6" t="str">
        <x:f>IF(D108="","",D108)</x:f>
      </x:c>
      <x:c r="H108" s="9"/>
      <x:c r="I108" s="9"/>
      <x:c r="J108" s="9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9"/>
      <x:c r="B109" s="43"/>
      <x:c r="C109" s="9"/>
      <x:c r="D109" s="9"/>
      <x:c r="E109" s="9"/>
      <x:c r="F109" s="9"/>
      <x:c r="G109" s="6" t="str">
        <x:f>IF(D109="","",D109)</x:f>
      </x:c>
      <x:c r="H109" s="9"/>
      <x:c r="I109" s="9"/>
      <x:c r="J109" s="9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9"/>
      <x:c r="B110" s="43"/>
      <x:c r="C110" s="9"/>
      <x:c r="D110" s="9"/>
      <x:c r="E110" s="9"/>
      <x:c r="F110" s="9"/>
      <x:c r="G110" s="6" t="str">
        <x:f>IF(D110="","",D110)</x:f>
      </x:c>
      <x:c r="H110" s="9"/>
      <x:c r="I110" s="9"/>
      <x:c r="J110" s="9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9"/>
      <x:c r="B111" s="43"/>
      <x:c r="C111" s="9"/>
      <x:c r="D111" s="9"/>
      <x:c r="E111" s="9"/>
      <x:c r="F111" s="9"/>
      <x:c r="G111" s="6" t="str">
        <x:f>IF(D111="","",D111)</x:f>
      </x:c>
      <x:c r="H111" s="9"/>
      <x:c r="I111" s="9"/>
      <x:c r="J111" s="9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9"/>
      <x:c r="B112" s="43"/>
      <x:c r="C112" s="9"/>
      <x:c r="D112" s="9"/>
      <x:c r="E112" s="9"/>
      <x:c r="F112" s="9"/>
      <x:c r="G112" s="6" t="str">
        <x:f>IF(D112="","",D112)</x:f>
      </x:c>
      <x:c r="H112" s="9"/>
      <x:c r="I112" s="9"/>
      <x:c r="J112" s="9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9"/>
      <x:c r="B113" s="43"/>
      <x:c r="C113" s="9"/>
      <x:c r="D113" s="9"/>
      <x:c r="E113" s="9"/>
      <x:c r="F113" s="9"/>
      <x:c r="G113" s="6" t="str">
        <x:f>IF(D113="","",D113)</x:f>
      </x:c>
      <x:c r="H113" s="9"/>
      <x:c r="I113" s="9"/>
      <x:c r="J113" s="9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9"/>
      <x:c r="B114" s="43"/>
      <x:c r="C114" s="9"/>
      <x:c r="D114" s="9"/>
      <x:c r="E114" s="9"/>
      <x:c r="F114" s="9"/>
      <x:c r="G114" s="6" t="str">
        <x:f>IF(D114="","",D114)</x:f>
      </x:c>
      <x:c r="H114" s="9"/>
      <x:c r="I114" s="9"/>
      <x:c r="J114" s="9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9"/>
      <x:c r="B115" s="43"/>
      <x:c r="C115" s="9"/>
      <x:c r="D115" s="9"/>
      <x:c r="E115" s="9"/>
      <x:c r="F115" s="9"/>
      <x:c r="G115" s="6" t="str">
        <x:f>IF(D115="","",D115)</x:f>
      </x:c>
      <x:c r="H115" s="9"/>
      <x:c r="I115" s="9"/>
      <x:c r="J115" s="9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9"/>
      <x:c r="B116" s="43"/>
      <x:c r="C116" s="9"/>
      <x:c r="D116" s="9"/>
      <x:c r="E116" s="9"/>
      <x:c r="F116" s="9"/>
      <x:c r="G116" s="6" t="str">
        <x:f>IF(D116="","",D116)</x:f>
      </x:c>
      <x:c r="H116" s="9"/>
      <x:c r="I116" s="9"/>
      <x:c r="J116" s="9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9"/>
      <x:c r="B117" s="43"/>
      <x:c r="C117" s="9"/>
      <x:c r="D117" s="9"/>
      <x:c r="E117" s="9"/>
      <x:c r="F117" s="9"/>
      <x:c r="G117" s="6" t="str">
        <x:f>IF(D117="","",D117)</x:f>
      </x:c>
      <x:c r="H117" s="9"/>
      <x:c r="I117" s="9"/>
      <x:c r="J117" s="9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9"/>
      <x:c r="B118" s="43"/>
      <x:c r="C118" s="9"/>
      <x:c r="D118" s="9"/>
      <x:c r="E118" s="9"/>
      <x:c r="F118" s="9"/>
      <x:c r="G118" s="6" t="str">
        <x:f>IF(D118="","",D118)</x:f>
      </x:c>
      <x:c r="H118" s="9"/>
      <x:c r="I118" s="9"/>
      <x:c r="J118" s="9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9"/>
      <x:c r="B119" s="43"/>
      <x:c r="C119" s="9"/>
      <x:c r="D119" s="9"/>
      <x:c r="E119" s="9"/>
      <x:c r="F119" s="9"/>
      <x:c r="G119" s="6" t="str">
        <x:f>IF(D119="","",D119)</x:f>
      </x:c>
      <x:c r="H119" s="9"/>
      <x:c r="I119" s="9"/>
      <x:c r="J119" s="9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9"/>
      <x:c r="B120" s="43"/>
      <x:c r="C120" s="9"/>
      <x:c r="D120" s="9"/>
      <x:c r="E120" s="9"/>
      <x:c r="F120" s="9"/>
      <x:c r="G120" s="6" t="str">
        <x:f>IF(D120="","",D120)</x:f>
      </x:c>
      <x:c r="H120" s="9"/>
      <x:c r="I120" s="9"/>
      <x:c r="J120" s="9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9"/>
      <x:c r="B121" s="43"/>
      <x:c r="C121" s="9"/>
      <x:c r="D121" s="9"/>
      <x:c r="E121" s="9"/>
      <x:c r="F121" s="9"/>
      <x:c r="G121" s="6" t="str">
        <x:f>IF(D121="","",D121)</x:f>
      </x:c>
      <x:c r="H121" s="9"/>
      <x:c r="I121" s="9"/>
      <x:c r="J121" s="9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9"/>
      <x:c r="B122" s="43"/>
      <x:c r="C122" s="9"/>
      <x:c r="D122" s="9"/>
      <x:c r="E122" s="9"/>
      <x:c r="F122" s="9"/>
      <x:c r="G122" s="6" t="str">
        <x:f>IF(D122="","",D122)</x:f>
      </x:c>
      <x:c r="H122" s="9"/>
      <x:c r="I122" s="9"/>
      <x:c r="J122" s="9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9"/>
      <x:c r="B123" s="43"/>
      <x:c r="C123" s="9"/>
      <x:c r="D123" s="9"/>
      <x:c r="E123" s="9"/>
      <x:c r="F123" s="9"/>
      <x:c r="G123" s="6" t="str">
        <x:f>IF(D123="","",D123)</x:f>
      </x:c>
      <x:c r="H123" s="9"/>
      <x:c r="I123" s="9"/>
      <x:c r="J123" s="9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9"/>
      <x:c r="B124" s="43"/>
      <x:c r="C124" s="9"/>
      <x:c r="D124" s="9"/>
      <x:c r="E124" s="9"/>
      <x:c r="F124" s="9"/>
      <x:c r="G124" s="6" t="str">
        <x:f>IF(D124="","",D124)</x:f>
      </x:c>
      <x:c r="H124" s="9"/>
      <x:c r="I124" s="9"/>
      <x:c r="J124" s="9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9"/>
      <x:c r="B125" s="43"/>
      <x:c r="C125" s="9"/>
      <x:c r="D125" s="9"/>
      <x:c r="E125" s="9"/>
      <x:c r="F125" s="9"/>
      <x:c r="G125" s="6" t="str">
        <x:f>IF(D125="","",D125)</x:f>
      </x:c>
      <x:c r="H125" s="9"/>
      <x:c r="I125" s="9"/>
      <x:c r="J125" s="9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9"/>
      <x:c r="B126" s="43"/>
      <x:c r="C126" s="9"/>
      <x:c r="D126" s="9"/>
      <x:c r="E126" s="9"/>
      <x:c r="F126" s="9"/>
      <x:c r="G126" s="6" t="str">
        <x:f>IF(D126="","",D126)</x:f>
      </x:c>
      <x:c r="H126" s="9"/>
      <x:c r="I126" s="9"/>
      <x:c r="J126" s="9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9"/>
      <x:c r="B127" s="43"/>
      <x:c r="C127" s="9"/>
      <x:c r="D127" s="9"/>
      <x:c r="E127" s="9"/>
      <x:c r="F127" s="9"/>
      <x:c r="G127" s="6" t="str">
        <x:f>IF(D127="","",D127)</x:f>
      </x:c>
      <x:c r="H127" s="9"/>
      <x:c r="I127" s="9"/>
      <x:c r="J127" s="9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9"/>
      <x:c r="B128" s="43"/>
      <x:c r="C128" s="9"/>
      <x:c r="D128" s="9"/>
      <x:c r="E128" s="9"/>
      <x:c r="F128" s="9"/>
      <x:c r="G128" s="6" t="str">
        <x:f>IF(D128="","",D128)</x:f>
      </x:c>
      <x:c r="H128" s="9"/>
      <x:c r="I128" s="9"/>
      <x:c r="J128" s="9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9"/>
      <x:c r="B129" s="43"/>
      <x:c r="C129" s="9"/>
      <x:c r="D129" s="9"/>
      <x:c r="E129" s="9"/>
      <x:c r="F129" s="9"/>
      <x:c r="G129" s="6" t="str">
        <x:f>IF(D129="","",D129)</x:f>
      </x:c>
      <x:c r="H129" s="9"/>
      <x:c r="I129" s="9"/>
      <x:c r="J129" s="9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9"/>
      <x:c r="B130" s="43"/>
      <x:c r="C130" s="9"/>
      <x:c r="D130" s="9"/>
      <x:c r="E130" s="9"/>
      <x:c r="F130" s="9"/>
      <x:c r="G130" s="6" t="str">
        <x:f>IF(D130="","",D130)</x:f>
      </x:c>
      <x:c r="H130" s="9"/>
      <x:c r="I130" s="9"/>
      <x:c r="J130" s="9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9"/>
      <x:c r="B131" s="43"/>
      <x:c r="C131" s="9"/>
      <x:c r="D131" s="9"/>
      <x:c r="E131" s="9"/>
      <x:c r="F131" s="9"/>
      <x:c r="G131" s="6" t="str">
        <x:f>IF(D131="","",D131)</x:f>
      </x:c>
      <x:c r="H131" s="9"/>
      <x:c r="I131" s="9"/>
      <x:c r="J131" s="9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9"/>
      <x:c r="B132" s="43"/>
      <x:c r="C132" s="9"/>
      <x:c r="D132" s="9"/>
      <x:c r="E132" s="9"/>
      <x:c r="F132" s="9"/>
      <x:c r="G132" s="6" t="str">
        <x:f>IF(D132="","",D132)</x:f>
      </x:c>
      <x:c r="H132" s="9"/>
      <x:c r="I132" s="9"/>
      <x:c r="J132" s="9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9"/>
      <x:c r="B133" s="43"/>
      <x:c r="C133" s="9"/>
      <x:c r="D133" s="9"/>
      <x:c r="E133" s="9"/>
      <x:c r="F133" s="9"/>
      <x:c r="G133" s="6" t="str">
        <x:f>IF(D133="","",D133)</x:f>
      </x:c>
      <x:c r="H133" s="9"/>
      <x:c r="I133" s="9"/>
      <x:c r="J133" s="9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9"/>
      <x:c r="B134" s="43"/>
      <x:c r="C134" s="9"/>
      <x:c r="D134" s="9"/>
      <x:c r="E134" s="9"/>
      <x:c r="F134" s="9"/>
      <x:c r="G134" s="6" t="str">
        <x:f>IF(D134="","",D134)</x:f>
      </x:c>
      <x:c r="H134" s="9"/>
      <x:c r="I134" s="9"/>
      <x:c r="J134" s="9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9"/>
      <x:c r="B135" s="43"/>
      <x:c r="C135" s="9"/>
      <x:c r="D135" s="9"/>
      <x:c r="E135" s="9"/>
      <x:c r="F135" s="9"/>
      <x:c r="G135" s="6" t="str">
        <x:f>IF(D135="","",D135)</x:f>
      </x:c>
      <x:c r="H135" s="9"/>
      <x:c r="I135" s="9"/>
      <x:c r="J135" s="9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9"/>
      <x:c r="B136" s="43"/>
      <x:c r="C136" s="9"/>
      <x:c r="D136" s="9"/>
      <x:c r="E136" s="9"/>
      <x:c r="F136" s="9"/>
      <x:c r="G136" s="6" t="str">
        <x:f>IF(D136="","",D136)</x:f>
      </x:c>
      <x:c r="H136" s="9"/>
      <x:c r="I136" s="9"/>
      <x:c r="J136" s="9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9"/>
      <x:c r="B137" s="43"/>
      <x:c r="C137" s="9"/>
      <x:c r="D137" s="9"/>
      <x:c r="E137" s="9"/>
      <x:c r="F137" s="9"/>
      <x:c r="G137" s="6" t="str">
        <x:f>IF(D137="","",D137)</x:f>
      </x:c>
      <x:c r="H137" s="9"/>
      <x:c r="I137" s="9"/>
      <x:c r="J137" s="9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9"/>
      <x:c r="B138" s="43"/>
      <x:c r="C138" s="9"/>
      <x:c r="D138" s="9"/>
      <x:c r="E138" s="9"/>
      <x:c r="F138" s="9"/>
      <x:c r="G138" s="6" t="str">
        <x:f>IF(D138="","",D138)</x:f>
      </x:c>
      <x:c r="H138" s="9"/>
      <x:c r="I138" s="9"/>
      <x:c r="J138" s="9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9"/>
      <x:c r="B139" s="43"/>
      <x:c r="C139" s="9"/>
      <x:c r="D139" s="9"/>
      <x:c r="E139" s="9"/>
      <x:c r="F139" s="9"/>
      <x:c r="G139" s="6" t="str">
        <x:f>IF(D139="","",D139)</x:f>
      </x:c>
      <x:c r="H139" s="9"/>
      <x:c r="I139" s="9"/>
      <x:c r="J139" s="9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9"/>
      <x:c r="B140" s="43"/>
      <x:c r="C140" s="9"/>
      <x:c r="D140" s="9"/>
      <x:c r="E140" s="9"/>
      <x:c r="F140" s="9"/>
      <x:c r="G140" s="6" t="str">
        <x:f>IF(D140="","",D140)</x:f>
      </x:c>
      <x:c r="H140" s="9"/>
      <x:c r="I140" s="9"/>
      <x:c r="J140" s="9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9"/>
      <x:c r="B141" s="43"/>
      <x:c r="C141" s="9"/>
      <x:c r="D141" s="9"/>
      <x:c r="E141" s="9"/>
      <x:c r="F141" s="9"/>
      <x:c r="G141" s="6" t="str">
        <x:f>IF(D141="","",D141)</x:f>
      </x:c>
      <x:c r="H141" s="9"/>
      <x:c r="I141" s="9"/>
      <x:c r="J141" s="9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9"/>
      <x:c r="B142" s="43"/>
      <x:c r="C142" s="9"/>
      <x:c r="D142" s="9"/>
      <x:c r="E142" s="9"/>
      <x:c r="F142" s="9"/>
      <x:c r="G142" s="6" t="str">
        <x:f>IF(D142="","",D142)</x:f>
      </x:c>
      <x:c r="H142" s="9"/>
      <x:c r="I142" s="9"/>
      <x:c r="J142" s="9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9"/>
      <x:c r="B143" s="43"/>
      <x:c r="C143" s="9"/>
      <x:c r="D143" s="9"/>
      <x:c r="E143" s="9"/>
      <x:c r="F143" s="9"/>
      <x:c r="G143" s="6" t="str">
        <x:f>IF(D143="","",D143)</x:f>
      </x:c>
      <x:c r="H143" s="9"/>
      <x:c r="I143" s="9"/>
      <x:c r="J143" s="9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9"/>
      <x:c r="B144" s="43"/>
      <x:c r="C144" s="9"/>
      <x:c r="D144" s="9"/>
      <x:c r="E144" s="9"/>
      <x:c r="F144" s="9"/>
      <x:c r="G144" s="6" t="str">
        <x:f>IF(D144="","",D144)</x:f>
      </x:c>
      <x:c r="H144" s="9"/>
      <x:c r="I144" s="9"/>
      <x:c r="J144" s="9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9"/>
      <x:c r="B145" s="43"/>
      <x:c r="C145" s="9"/>
      <x:c r="D145" s="9"/>
      <x:c r="E145" s="9"/>
      <x:c r="F145" s="9"/>
      <x:c r="G145" s="6" t="str">
        <x:f>IF(D145="","",D145)</x:f>
      </x:c>
      <x:c r="H145" s="9"/>
      <x:c r="I145" s="9"/>
      <x:c r="J145" s="9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9"/>
      <x:c r="B146" s="43"/>
      <x:c r="C146" s="9"/>
      <x:c r="D146" s="9"/>
      <x:c r="E146" s="9"/>
      <x:c r="F146" s="9"/>
      <x:c r="G146" s="6" t="str">
        <x:f>IF(D146="","",D146)</x:f>
      </x:c>
      <x:c r="H146" s="9"/>
      <x:c r="I146" s="9"/>
      <x:c r="J146" s="9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9"/>
      <x:c r="B147" s="43"/>
      <x:c r="C147" s="9"/>
      <x:c r="D147" s="9"/>
      <x:c r="E147" s="9"/>
      <x:c r="F147" s="9"/>
      <x:c r="G147" s="6" t="str">
        <x:f>IF(D147="","",D147)</x:f>
      </x:c>
      <x:c r="H147" s="9"/>
      <x:c r="I147" s="9"/>
      <x:c r="J147" s="9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9"/>
      <x:c r="B148" s="43"/>
      <x:c r="C148" s="9"/>
      <x:c r="D148" s="9"/>
      <x:c r="E148" s="9"/>
      <x:c r="F148" s="9"/>
      <x:c r="G148" s="6" t="str">
        <x:f>IF(D148="","",D148)</x:f>
      </x:c>
      <x:c r="H148" s="9"/>
      <x:c r="I148" s="9"/>
      <x:c r="J148" s="9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9"/>
      <x:c r="B149" s="43"/>
      <x:c r="C149" s="9"/>
      <x:c r="D149" s="9"/>
      <x:c r="E149" s="9"/>
      <x:c r="F149" s="9"/>
      <x:c r="G149" s="6" t="str">
        <x:f>IF(D149="","",D149)</x:f>
      </x:c>
      <x:c r="H149" s="9"/>
      <x:c r="I149" s="9"/>
      <x:c r="J149" s="9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9"/>
      <x:c r="B150" s="43"/>
      <x:c r="C150" s="9"/>
      <x:c r="D150" s="9"/>
      <x:c r="E150" s="9"/>
      <x:c r="F150" s="9"/>
      <x:c r="G150" s="6" t="str">
        <x:f>IF(D150="","",D150)</x:f>
      </x:c>
      <x:c r="H150" s="9"/>
      <x:c r="I150" s="9"/>
      <x:c r="J150" s="9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9"/>
      <x:c r="B151" s="43"/>
      <x:c r="C151" s="9"/>
      <x:c r="D151" s="9"/>
      <x:c r="E151" s="9"/>
      <x:c r="F151" s="9"/>
      <x:c r="G151" s="6" t="str">
        <x:f>IF(D151="","",D151)</x:f>
      </x:c>
      <x:c r="H151" s="9"/>
      <x:c r="I151" s="9"/>
      <x:c r="J151" s="9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9"/>
      <x:c r="B152" s="43"/>
      <x:c r="C152" s="9"/>
      <x:c r="D152" s="9"/>
      <x:c r="E152" s="9"/>
      <x:c r="F152" s="9"/>
      <x:c r="G152" s="6" t="str">
        <x:f>IF(D152="","",D152)</x:f>
      </x:c>
      <x:c r="H152" s="9"/>
      <x:c r="I152" s="9"/>
      <x:c r="J152" s="9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9"/>
      <x:c r="B153" s="43"/>
      <x:c r="C153" s="9"/>
      <x:c r="D153" s="9"/>
      <x:c r="E153" s="9"/>
      <x:c r="F153" s="9"/>
      <x:c r="G153" s="6" t="str">
        <x:f>IF(D153="","",D153)</x:f>
      </x:c>
      <x:c r="H153" s="9"/>
      <x:c r="I153" s="9"/>
      <x:c r="J153" s="9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9"/>
      <x:c r="B154" s="43"/>
      <x:c r="C154" s="9"/>
      <x:c r="D154" s="9"/>
      <x:c r="E154" s="9"/>
      <x:c r="F154" s="9"/>
      <x:c r="G154" s="6" t="str">
        <x:f>IF(D154="","",D154)</x:f>
      </x:c>
      <x:c r="H154" s="9"/>
      <x:c r="I154" s="9"/>
      <x:c r="J154" s="9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9"/>
      <x:c r="B155" s="43"/>
      <x:c r="C155" s="9"/>
      <x:c r="D155" s="9"/>
      <x:c r="E155" s="9"/>
      <x:c r="F155" s="9"/>
      <x:c r="G155" s="6" t="str">
        <x:f>IF(D155="","",D155)</x:f>
      </x:c>
      <x:c r="H155" s="9"/>
      <x:c r="I155" s="9"/>
      <x:c r="J155" s="9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9"/>
      <x:c r="B156" s="43"/>
      <x:c r="C156" s="9"/>
      <x:c r="D156" s="9"/>
      <x:c r="E156" s="9"/>
      <x:c r="F156" s="9"/>
      <x:c r="G156" s="6" t="str">
        <x:f>IF(D156="","",D156)</x:f>
      </x:c>
      <x:c r="H156" s="9"/>
      <x:c r="I156" s="9"/>
      <x:c r="J156" s="9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9"/>
      <x:c r="B157" s="43"/>
      <x:c r="C157" s="9"/>
      <x:c r="D157" s="9"/>
      <x:c r="E157" s="9"/>
      <x:c r="F157" s="9"/>
      <x:c r="G157" s="6" t="str">
        <x:f>IF(D157="","",D157)</x:f>
      </x:c>
      <x:c r="H157" s="9"/>
      <x:c r="I157" s="9"/>
      <x:c r="J157" s="9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9"/>
      <x:c r="B158" s="43"/>
      <x:c r="C158" s="9"/>
      <x:c r="D158" s="9"/>
      <x:c r="E158" s="9"/>
      <x:c r="F158" s="9"/>
      <x:c r="G158" s="6" t="str">
        <x:f>IF(D158="","",D158)</x:f>
      </x:c>
      <x:c r="H158" s="9"/>
      <x:c r="I158" s="9"/>
      <x:c r="J158" s="9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9"/>
      <x:c r="B159" s="43"/>
      <x:c r="C159" s="9"/>
      <x:c r="D159" s="9"/>
      <x:c r="E159" s="9"/>
      <x:c r="F159" s="9"/>
      <x:c r="G159" s="6" t="str">
        <x:f>IF(D159="","",D159)</x:f>
      </x:c>
      <x:c r="H159" s="9"/>
      <x:c r="I159" s="9"/>
      <x:c r="J159" s="9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9"/>
      <x:c r="B160" s="43"/>
      <x:c r="C160" s="9"/>
      <x:c r="D160" s="9"/>
      <x:c r="E160" s="9"/>
      <x:c r="F160" s="9"/>
      <x:c r="G160" s="6" t="str">
        <x:f>IF(D160="","",D160)</x:f>
      </x:c>
      <x:c r="H160" s="9"/>
      <x:c r="I160" s="9"/>
      <x:c r="J160" s="9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9"/>
      <x:c r="B161" s="43"/>
      <x:c r="C161" s="9"/>
      <x:c r="D161" s="9"/>
      <x:c r="E161" s="9"/>
      <x:c r="F161" s="9"/>
      <x:c r="G161" s="6" t="str">
        <x:f>IF(D161="","",D161)</x:f>
      </x:c>
      <x:c r="H161" s="9"/>
      <x:c r="I161" s="9"/>
      <x:c r="J161" s="9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9"/>
      <x:c r="B162" s="43"/>
      <x:c r="C162" s="9"/>
      <x:c r="D162" s="9"/>
      <x:c r="E162" s="9"/>
      <x:c r="F162" s="9"/>
      <x:c r="G162" s="6" t="str">
        <x:f>IF(D162="","",D162)</x:f>
      </x:c>
      <x:c r="H162" s="9"/>
      <x:c r="I162" s="9"/>
      <x:c r="J162" s="9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9"/>
      <x:c r="B163" s="43"/>
      <x:c r="C163" s="9"/>
      <x:c r="D163" s="9"/>
      <x:c r="E163" s="9"/>
      <x:c r="F163" s="9"/>
      <x:c r="G163" s="6" t="str">
        <x:f>IF(D163="","",D163)</x:f>
      </x:c>
      <x:c r="H163" s="9"/>
      <x:c r="I163" s="9"/>
      <x:c r="J163" s="9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9"/>
      <x:c r="B164" s="43"/>
      <x:c r="C164" s="9"/>
      <x:c r="D164" s="9"/>
      <x:c r="E164" s="9"/>
      <x:c r="F164" s="9"/>
      <x:c r="G164" s="6" t="str">
        <x:f>IF(D164="","",D164)</x:f>
      </x:c>
      <x:c r="H164" s="9"/>
      <x:c r="I164" s="9"/>
      <x:c r="J164" s="9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9"/>
      <x:c r="B165" s="43"/>
      <x:c r="C165" s="9"/>
      <x:c r="D165" s="9"/>
      <x:c r="E165" s="9"/>
      <x:c r="F165" s="9"/>
      <x:c r="G165" s="6" t="str">
        <x:f>IF(D165="","",D165)</x:f>
      </x:c>
      <x:c r="H165" s="9"/>
      <x:c r="I165" s="9"/>
      <x:c r="J165" s="9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9"/>
      <x:c r="B166" s="43"/>
      <x:c r="C166" s="9"/>
      <x:c r="D166" s="9"/>
      <x:c r="E166" s="9"/>
      <x:c r="F166" s="9"/>
      <x:c r="G166" s="6" t="str">
        <x:f>IF(D166="","",D166)</x:f>
      </x:c>
      <x:c r="H166" s="9"/>
      <x:c r="I166" s="9"/>
      <x:c r="J166" s="9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9"/>
      <x:c r="B167" s="43"/>
      <x:c r="C167" s="9"/>
      <x:c r="D167" s="9"/>
      <x:c r="E167" s="9"/>
      <x:c r="F167" s="9"/>
      <x:c r="G167" s="6" t="str">
        <x:f>IF(D167="","",D167)</x:f>
      </x:c>
      <x:c r="H167" s="9"/>
      <x:c r="I167" s="9"/>
      <x:c r="J167" s="9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9"/>
      <x:c r="B168" s="43"/>
      <x:c r="C168" s="9"/>
      <x:c r="D168" s="9"/>
      <x:c r="E168" s="9"/>
      <x:c r="F168" s="9"/>
      <x:c r="G168" s="6" t="str">
        <x:f>IF(D168="","",D168)</x:f>
      </x:c>
      <x:c r="H168" s="9"/>
      <x:c r="I168" s="9"/>
      <x:c r="J168" s="9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9"/>
      <x:c r="B169" s="43"/>
      <x:c r="C169" s="9"/>
      <x:c r="D169" s="9"/>
      <x:c r="E169" s="9"/>
      <x:c r="F169" s="9"/>
      <x:c r="G169" s="6" t="str">
        <x:f>IF(D169="","",D169)</x:f>
      </x:c>
      <x:c r="H169" s="9"/>
      <x:c r="I169" s="9"/>
      <x:c r="J169" s="9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9"/>
      <x:c r="B170" s="43"/>
      <x:c r="C170" s="9"/>
      <x:c r="D170" s="9"/>
      <x:c r="E170" s="9"/>
      <x:c r="F170" s="9"/>
      <x:c r="G170" s="6" t="str">
        <x:f>IF(D170="","",D170)</x:f>
      </x:c>
      <x:c r="H170" s="9"/>
      <x:c r="I170" s="9"/>
      <x:c r="J170" s="9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9"/>
      <x:c r="B171" s="43"/>
      <x:c r="C171" s="9"/>
      <x:c r="D171" s="9"/>
      <x:c r="E171" s="9"/>
      <x:c r="F171" s="9"/>
      <x:c r="G171" s="6" t="str">
        <x:f>IF(D171="","",D171)</x:f>
      </x:c>
      <x:c r="H171" s="9"/>
      <x:c r="I171" s="9"/>
      <x:c r="J171" s="9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9"/>
      <x:c r="B172" s="43"/>
      <x:c r="C172" s="9"/>
      <x:c r="D172" s="9"/>
      <x:c r="E172" s="9"/>
      <x:c r="F172" s="9"/>
      <x:c r="G172" s="6" t="str">
        <x:f>IF(D172="","",D172)</x:f>
      </x:c>
      <x:c r="H172" s="9"/>
      <x:c r="I172" s="9"/>
      <x:c r="J172" s="9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9"/>
      <x:c r="B173" s="43"/>
      <x:c r="C173" s="9"/>
      <x:c r="D173" s="9"/>
      <x:c r="E173" s="9"/>
      <x:c r="F173" s="9"/>
      <x:c r="G173" s="6" t="str">
        <x:f>IF(D173="","",D173)</x:f>
      </x:c>
      <x:c r="H173" s="9"/>
      <x:c r="I173" s="9"/>
      <x:c r="J173" s="9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9"/>
      <x:c r="B174" s="43"/>
      <x:c r="C174" s="9"/>
      <x:c r="D174" s="9"/>
      <x:c r="E174" s="9"/>
      <x:c r="F174" s="9"/>
      <x:c r="G174" s="6" t="str">
        <x:f>IF(D174="","",D174)</x:f>
      </x:c>
      <x:c r="H174" s="9"/>
      <x:c r="I174" s="9"/>
      <x:c r="J174" s="9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9"/>
      <x:c r="B175" s="43"/>
      <x:c r="C175" s="9"/>
      <x:c r="D175" s="9"/>
      <x:c r="E175" s="9"/>
      <x:c r="F175" s="9"/>
      <x:c r="G175" s="6" t="str">
        <x:f>IF(D175="","",D175)</x:f>
      </x:c>
      <x:c r="H175" s="9"/>
      <x:c r="I175" s="9"/>
      <x:c r="J175" s="9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9"/>
      <x:c r="B176" s="43"/>
      <x:c r="C176" s="9"/>
      <x:c r="D176" s="9"/>
      <x:c r="E176" s="9"/>
      <x:c r="F176" s="9"/>
      <x:c r="G176" s="6" t="str">
        <x:f>IF(D176="","",D176)</x:f>
      </x:c>
      <x:c r="H176" s="9"/>
      <x:c r="I176" s="9"/>
      <x:c r="J176" s="9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9"/>
      <x:c r="B177" s="43"/>
      <x:c r="C177" s="9"/>
      <x:c r="D177" s="9"/>
      <x:c r="E177" s="9"/>
      <x:c r="F177" s="9"/>
      <x:c r="G177" s="6" t="str">
        <x:f>IF(D177="","",D177)</x:f>
      </x:c>
      <x:c r="H177" s="9"/>
      <x:c r="I177" s="9"/>
      <x:c r="J177" s="9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9"/>
      <x:c r="B178" s="43"/>
      <x:c r="C178" s="9"/>
      <x:c r="D178" s="9"/>
      <x:c r="E178" s="9"/>
      <x:c r="F178" s="9"/>
      <x:c r="G178" s="6" t="str">
        <x:f>IF(D178="","",D178)</x:f>
      </x:c>
      <x:c r="H178" s="9"/>
      <x:c r="I178" s="9"/>
      <x:c r="J178" s="9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9"/>
      <x:c r="B179" s="43"/>
      <x:c r="C179" s="9"/>
      <x:c r="D179" s="9"/>
      <x:c r="E179" s="9"/>
      <x:c r="F179" s="9"/>
      <x:c r="G179" s="6" t="str">
        <x:f>IF(D179="","",D179)</x:f>
      </x:c>
      <x:c r="H179" s="9"/>
      <x:c r="I179" s="9"/>
      <x:c r="J179" s="9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9"/>
      <x:c r="B180" s="43"/>
      <x:c r="C180" s="9"/>
      <x:c r="D180" s="9"/>
      <x:c r="E180" s="9"/>
      <x:c r="F180" s="9"/>
      <x:c r="G180" s="6" t="str">
        <x:f>IF(D180="","",D180)</x:f>
      </x:c>
      <x:c r="H180" s="9"/>
      <x:c r="I180" s="9"/>
      <x:c r="J180" s="9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9"/>
      <x:c r="B181" s="43"/>
      <x:c r="C181" s="9"/>
      <x:c r="D181" s="9"/>
      <x:c r="E181" s="9"/>
      <x:c r="F181" s="9"/>
      <x:c r="G181" s="6" t="str">
        <x:f>IF(D181="","",D181)</x:f>
      </x:c>
      <x:c r="H181" s="9"/>
      <x:c r="I181" s="9"/>
      <x:c r="J181" s="9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9"/>
      <x:c r="B182" s="43"/>
      <x:c r="C182" s="9"/>
      <x:c r="D182" s="9"/>
      <x:c r="E182" s="9"/>
      <x:c r="F182" s="9"/>
      <x:c r="G182" s="6" t="str">
        <x:f>IF(D182="","",D182)</x:f>
      </x:c>
      <x:c r="H182" s="9"/>
      <x:c r="I182" s="9"/>
      <x:c r="J182" s="9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9"/>
      <x:c r="B183" s="43"/>
      <x:c r="C183" s="9"/>
      <x:c r="D183" s="9"/>
      <x:c r="E183" s="9"/>
      <x:c r="F183" s="9"/>
      <x:c r="G183" s="6" t="str">
        <x:f>IF(D183="","",D183)</x:f>
      </x:c>
      <x:c r="H183" s="9"/>
      <x:c r="I183" s="9"/>
      <x:c r="J183" s="9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9"/>
      <x:c r="B184" s="43"/>
      <x:c r="C184" s="9"/>
      <x:c r="D184" s="9"/>
      <x:c r="E184" s="9"/>
      <x:c r="F184" s="9"/>
      <x:c r="G184" s="6" t="str">
        <x:f>IF(D184="","",D184)</x:f>
      </x:c>
      <x:c r="H184" s="9"/>
      <x:c r="I184" s="9"/>
      <x:c r="J184" s="9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9"/>
      <x:c r="B185" s="43"/>
      <x:c r="C185" s="9"/>
      <x:c r="D185" s="9"/>
      <x:c r="E185" s="9"/>
      <x:c r="F185" s="9"/>
      <x:c r="G185" s="6" t="str">
        <x:f>IF(D185="","",D185)</x:f>
      </x:c>
      <x:c r="H185" s="9"/>
      <x:c r="I185" s="9"/>
      <x:c r="J185" s="9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9"/>
      <x:c r="B186" s="43"/>
      <x:c r="C186" s="9"/>
      <x:c r="D186" s="9"/>
      <x:c r="E186" s="9"/>
      <x:c r="F186" s="9"/>
      <x:c r="G186" s="6" t="str">
        <x:f>IF(D186="","",D186)</x:f>
      </x:c>
      <x:c r="H186" s="9"/>
      <x:c r="I186" s="9"/>
      <x:c r="J186" s="9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9"/>
      <x:c r="B187" s="43"/>
      <x:c r="C187" s="9"/>
      <x:c r="D187" s="9"/>
      <x:c r="E187" s="9"/>
      <x:c r="F187" s="9"/>
      <x:c r="G187" s="6" t="str">
        <x:f>IF(D187="","",D187)</x:f>
      </x:c>
      <x:c r="H187" s="9"/>
      <x:c r="I187" s="9"/>
      <x:c r="J187" s="9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9"/>
      <x:c r="B188" s="43"/>
      <x:c r="C188" s="9"/>
      <x:c r="D188" s="9"/>
      <x:c r="E188" s="9"/>
      <x:c r="F188" s="9"/>
      <x:c r="G188" s="6" t="str">
        <x:f>IF(D188="","",D188)</x:f>
      </x:c>
      <x:c r="H188" s="9"/>
      <x:c r="I188" s="9"/>
      <x:c r="J188" s="9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9"/>
      <x:c r="B189" s="43"/>
      <x:c r="C189" s="9"/>
      <x:c r="D189" s="9"/>
      <x:c r="E189" s="9"/>
      <x:c r="F189" s="9"/>
      <x:c r="G189" s="6" t="str">
        <x:f>IF(D189="","",D189)</x:f>
      </x:c>
      <x:c r="H189" s="9"/>
      <x:c r="I189" s="9"/>
      <x:c r="J189" s="9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9"/>
      <x:c r="B190" s="43"/>
      <x:c r="C190" s="9"/>
      <x:c r="D190" s="9"/>
      <x:c r="E190" s="9"/>
      <x:c r="F190" s="9"/>
      <x:c r="G190" s="6" t="str">
        <x:f>IF(D190="","",D190)</x:f>
      </x:c>
      <x:c r="H190" s="9"/>
      <x:c r="I190" s="9"/>
      <x:c r="J190" s="9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9"/>
      <x:c r="B191" s="43"/>
      <x:c r="C191" s="9"/>
      <x:c r="D191" s="9"/>
      <x:c r="E191" s="9"/>
      <x:c r="F191" s="9"/>
      <x:c r="G191" s="6" t="str">
        <x:f>IF(D191="","",D191)</x:f>
      </x:c>
      <x:c r="H191" s="9"/>
      <x:c r="I191" s="9"/>
      <x:c r="J191" s="9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9"/>
      <x:c r="B192" s="43"/>
      <x:c r="C192" s="9"/>
      <x:c r="D192" s="9"/>
      <x:c r="E192" s="9"/>
      <x:c r="F192" s="9"/>
      <x:c r="G192" s="6" t="str">
        <x:f>IF(D192="","",D192)</x:f>
      </x:c>
      <x:c r="H192" s="9"/>
      <x:c r="I192" s="9"/>
      <x:c r="J192" s="9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9"/>
      <x:c r="B193" s="43"/>
      <x:c r="C193" s="9"/>
      <x:c r="D193" s="9"/>
      <x:c r="E193" s="9"/>
      <x:c r="F193" s="9"/>
      <x:c r="G193" s="6" t="str">
        <x:f>IF(D193="","",D193)</x:f>
      </x:c>
      <x:c r="H193" s="9"/>
      <x:c r="I193" s="9"/>
      <x:c r="J193" s="9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9"/>
      <x:c r="B194" s="43"/>
      <x:c r="C194" s="9"/>
      <x:c r="D194" s="9"/>
      <x:c r="E194" s="9"/>
      <x:c r="F194" s="9"/>
      <x:c r="G194" s="6" t="str">
        <x:f>IF(D194="","",D194)</x:f>
      </x:c>
      <x:c r="H194" s="9"/>
      <x:c r="I194" s="9"/>
      <x:c r="J194" s="9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9"/>
      <x:c r="B195" s="43"/>
      <x:c r="C195" s="9"/>
      <x:c r="D195" s="9"/>
      <x:c r="E195" s="9"/>
      <x:c r="F195" s="9"/>
      <x:c r="G195" s="6" t="str">
        <x:f>IF(D195="","",D195)</x:f>
      </x:c>
      <x:c r="H195" s="9"/>
      <x:c r="I195" s="9"/>
      <x:c r="J195" s="9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9"/>
      <x:c r="B196" s="43"/>
      <x:c r="C196" s="9"/>
      <x:c r="D196" s="9"/>
      <x:c r="E196" s="9"/>
      <x:c r="F196" s="9"/>
      <x:c r="G196" s="6" t="str">
        <x:f>IF(D196="","",D196)</x:f>
      </x:c>
      <x:c r="H196" s="9"/>
      <x:c r="I196" s="9"/>
      <x:c r="J196" s="9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9"/>
      <x:c r="B197" s="43"/>
      <x:c r="C197" s="9"/>
      <x:c r="D197" s="9"/>
      <x:c r="E197" s="9"/>
      <x:c r="F197" s="9"/>
      <x:c r="G197" s="6" t="str">
        <x:f>IF(D197="","",D197)</x:f>
      </x:c>
      <x:c r="H197" s="9"/>
      <x:c r="I197" s="9"/>
      <x:c r="J197" s="9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9"/>
      <x:c r="B198" s="43"/>
      <x:c r="C198" s="9"/>
      <x:c r="D198" s="9"/>
      <x:c r="E198" s="9"/>
      <x:c r="F198" s="9"/>
      <x:c r="G198" s="6" t="str">
        <x:f>IF(D198="","",D198)</x:f>
      </x:c>
      <x:c r="H198" s="9"/>
      <x:c r="I198" s="9"/>
      <x:c r="J198" s="9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9"/>
      <x:c r="B199" s="43"/>
      <x:c r="C199" s="9"/>
      <x:c r="D199" s="9"/>
      <x:c r="E199" s="9"/>
      <x:c r="F199" s="9"/>
      <x:c r="G199" s="6" t="str">
        <x:f>IF(D199="","",D199)</x:f>
      </x:c>
      <x:c r="H199" s="9"/>
      <x:c r="I199" s="9"/>
      <x:c r="J199" s="9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9"/>
      <x:c r="B200" s="43"/>
      <x:c r="C200" s="9"/>
      <x:c r="D200" s="9"/>
      <x:c r="E200" s="9"/>
      <x:c r="F200" s="9"/>
      <x:c r="G200" s="6" t="str">
        <x:f>IF(D200="","",D200)</x:f>
      </x:c>
      <x:c r="H200" s="9"/>
      <x:c r="I200" s="9"/>
      <x:c r="J200" s="9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9"/>
      <x:c r="B201" s="43"/>
      <x:c r="C201" s="9"/>
      <x:c r="D201" s="9"/>
      <x:c r="E201" s="9"/>
      <x:c r="F201" s="9"/>
      <x:c r="G201" s="6" t="str">
        <x:f>IF(D201="","",D201)</x:f>
      </x:c>
      <x:c r="H201" s="9"/>
      <x:c r="I201" s="9"/>
      <x:c r="J201" s="9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9"/>
      <x:c r="B202" s="43"/>
      <x:c r="C202" s="9"/>
      <x:c r="D202" s="9"/>
      <x:c r="E202" s="9"/>
      <x:c r="F202" s="9"/>
      <x:c r="G202" s="6" t="str">
        <x:f>IF(D202="","",D202)</x:f>
      </x:c>
      <x:c r="H202" s="9"/>
      <x:c r="I202" s="9"/>
      <x:c r="J202" s="9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9"/>
      <x:c r="B203" s="43"/>
      <x:c r="C203" s="9"/>
      <x:c r="D203" s="9"/>
      <x:c r="E203" s="9"/>
      <x:c r="F203" s="9"/>
      <x:c r="G203" s="6" t="str">
        <x:f>IF(D203="","",D203)</x:f>
      </x:c>
      <x:c r="H203" s="9"/>
      <x:c r="I203" s="9"/>
      <x:c r="J203" s="9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9"/>
      <x:c r="B204" s="43"/>
      <x:c r="C204" s="9"/>
      <x:c r="D204" s="9"/>
      <x:c r="E204" s="9"/>
      <x:c r="F204" s="9"/>
      <x:c r="G204" s="6" t="str">
        <x:f>IF(D204="","",D204)</x:f>
      </x:c>
      <x:c r="H204" s="9"/>
      <x:c r="I204" s="9"/>
      <x:c r="J204" s="9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9"/>
      <x:c r="B205" s="43"/>
      <x:c r="C205" s="9"/>
      <x:c r="D205" s="9"/>
      <x:c r="E205" s="9"/>
      <x:c r="F205" s="9"/>
      <x:c r="G205" s="6" t="str">
        <x:f>IF(D205="","",D205)</x:f>
      </x:c>
      <x:c r="H205" s="9"/>
      <x:c r="I205" s="9"/>
      <x:c r="J205" s="9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9"/>
      <x:c r="B206" s="43"/>
      <x:c r="C206" s="9"/>
      <x:c r="D206" s="9"/>
      <x:c r="E206" s="9"/>
      <x:c r="F206" s="9"/>
      <x:c r="G206" s="6" t="str">
        <x:f>IF(D206="","",D206)</x:f>
      </x:c>
      <x:c r="H206" s="9"/>
      <x:c r="I206" s="9"/>
      <x:c r="J206" s="9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9"/>
      <x:c r="B207" s="43"/>
      <x:c r="C207" s="9"/>
      <x:c r="D207" s="9"/>
      <x:c r="E207" s="9"/>
      <x:c r="F207" s="9"/>
      <x:c r="G207" s="6" t="str">
        <x:f>IF(D207="","",D207)</x:f>
      </x:c>
      <x:c r="H207" s="9"/>
      <x:c r="I207" s="9"/>
      <x:c r="J207" s="9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9"/>
      <x:c r="B208" s="43"/>
      <x:c r="C208" s="9"/>
      <x:c r="D208" s="9"/>
      <x:c r="E208" s="9"/>
      <x:c r="F208" s="9"/>
      <x:c r="G208" s="6" t="str">
        <x:f>IF(D208="","",D208)</x:f>
      </x:c>
      <x:c r="H208" s="9"/>
      <x:c r="I208" s="9"/>
      <x:c r="J208" s="9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9"/>
      <x:c r="B209" s="43"/>
      <x:c r="C209" s="9"/>
      <x:c r="D209" s="9"/>
      <x:c r="E209" s="9"/>
      <x:c r="F209" s="9"/>
      <x:c r="G209" s="6" t="str">
        <x:f>IF(D209="","",D209)</x:f>
      </x:c>
      <x:c r="H209" s="9"/>
      <x:c r="I209" s="9"/>
      <x:c r="J209" s="9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9"/>
      <x:c r="B210" s="43"/>
      <x:c r="C210" s="9"/>
      <x:c r="D210" s="9"/>
      <x:c r="E210" s="9"/>
      <x:c r="F210" s="9"/>
      <x:c r="G210" s="6" t="str">
        <x:f>IF(D210="","",D210)</x:f>
      </x:c>
      <x:c r="H210" s="9"/>
      <x:c r="I210" s="9"/>
      <x:c r="J210" s="9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9"/>
      <x:c r="B211" s="43"/>
      <x:c r="C211" s="9"/>
      <x:c r="D211" s="9"/>
      <x:c r="E211" s="9"/>
      <x:c r="F211" s="9"/>
      <x:c r="G211" s="6" t="str">
        <x:f>IF(D211="","",D211)</x:f>
      </x:c>
      <x:c r="H211" s="9"/>
      <x:c r="I211" s="9"/>
      <x:c r="J211" s="9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9"/>
      <x:c r="B212" s="43"/>
      <x:c r="C212" s="9"/>
      <x:c r="D212" s="9"/>
      <x:c r="E212" s="9"/>
      <x:c r="F212" s="9"/>
      <x:c r="G212" s="6" t="str">
        <x:f>IF(D212="","",D212)</x:f>
      </x:c>
      <x:c r="H212" s="9"/>
      <x:c r="I212" s="9"/>
      <x:c r="J212" s="9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9"/>
      <x:c r="B213" s="43"/>
      <x:c r="C213" s="9"/>
      <x:c r="D213" s="9"/>
      <x:c r="E213" s="9"/>
      <x:c r="F213" s="9"/>
      <x:c r="G213" s="6" t="str">
        <x:f>IF(D213="","",D213)</x:f>
      </x:c>
      <x:c r="H213" s="9"/>
      <x:c r="I213" s="9"/>
      <x:c r="J213" s="9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9"/>
      <x:c r="B214" s="43"/>
      <x:c r="C214" s="9"/>
      <x:c r="D214" s="9"/>
      <x:c r="E214" s="9"/>
      <x:c r="F214" s="9"/>
      <x:c r="G214" s="6" t="str">
        <x:f>IF(D214="","",D214)</x:f>
      </x:c>
      <x:c r="H214" s="9"/>
      <x:c r="I214" s="9"/>
      <x:c r="J214" s="9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9"/>
      <x:c r="B215" s="43"/>
      <x:c r="C215" s="9"/>
      <x:c r="D215" s="9"/>
      <x:c r="E215" s="9"/>
      <x:c r="F215" s="9"/>
      <x:c r="G215" s="6" t="str">
        <x:f>IF(D215="","",D215)</x:f>
      </x:c>
      <x:c r="H215" s="9"/>
      <x:c r="I215" s="9"/>
      <x:c r="J215" s="9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9"/>
      <x:c r="B216" s="43"/>
      <x:c r="C216" s="9"/>
      <x:c r="D216" s="9"/>
      <x:c r="E216" s="9"/>
      <x:c r="F216" s="9"/>
      <x:c r="G216" s="6" t="str">
        <x:f>IF(D216="","",D216)</x:f>
      </x:c>
      <x:c r="H216" s="9"/>
      <x:c r="I216" s="9"/>
      <x:c r="J216" s="9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9"/>
      <x:c r="B217" s="43"/>
      <x:c r="C217" s="9"/>
      <x:c r="D217" s="9"/>
      <x:c r="E217" s="9"/>
      <x:c r="F217" s="9"/>
      <x:c r="G217" s="6" t="str">
        <x:f>IF(D217="","",D217)</x:f>
      </x:c>
      <x:c r="H217" s="9"/>
      <x:c r="I217" s="9"/>
      <x:c r="J217" s="9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9"/>
      <x:c r="B218" s="43"/>
      <x:c r="C218" s="9"/>
      <x:c r="D218" s="9"/>
      <x:c r="E218" s="9"/>
      <x:c r="F218" s="9"/>
      <x:c r="G218" s="6" t="str">
        <x:f>IF(D218="","",D218)</x:f>
      </x:c>
      <x:c r="H218" s="9"/>
      <x:c r="I218" s="9"/>
      <x:c r="J218" s="9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9"/>
      <x:c r="B219" s="43"/>
      <x:c r="C219" s="9"/>
      <x:c r="D219" s="9"/>
      <x:c r="E219" s="9"/>
      <x:c r="F219" s="9"/>
      <x:c r="G219" s="6" t="str">
        <x:f>IF(D219="","",D219)</x:f>
      </x:c>
      <x:c r="H219" s="9"/>
      <x:c r="I219" s="9"/>
      <x:c r="J219" s="9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9"/>
      <x:c r="B220" s="43"/>
      <x:c r="C220" s="9"/>
      <x:c r="D220" s="9"/>
      <x:c r="E220" s="9"/>
      <x:c r="F220" s="9"/>
      <x:c r="G220" s="6" t="str">
        <x:f>IF(D220="","",D220)</x:f>
      </x:c>
      <x:c r="H220" s="9"/>
      <x:c r="I220" s="9"/>
      <x:c r="J220" s="9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9"/>
      <x:c r="B221" s="43"/>
      <x:c r="C221" s="9"/>
      <x:c r="D221" s="9"/>
      <x:c r="E221" s="9"/>
      <x:c r="F221" s="9"/>
      <x:c r="G221" s="6" t="str">
        <x:f>IF(D221="","",D221)</x:f>
      </x:c>
      <x:c r="H221" s="9"/>
      <x:c r="I221" s="9"/>
      <x:c r="J221" s="9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9"/>
      <x:c r="B222" s="43"/>
      <x:c r="C222" s="9"/>
      <x:c r="D222" s="9"/>
      <x:c r="E222" s="9"/>
      <x:c r="F222" s="9"/>
      <x:c r="G222" s="6" t="str">
        <x:f>IF(D222="","",D222)</x:f>
      </x:c>
      <x:c r="H222" s="9"/>
      <x:c r="I222" s="9"/>
      <x:c r="J222" s="9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9"/>
      <x:c r="B223" s="43"/>
      <x:c r="C223" s="9"/>
      <x:c r="D223" s="9"/>
      <x:c r="E223" s="9"/>
      <x:c r="F223" s="9"/>
      <x:c r="G223" s="6" t="str">
        <x:f>IF(D223="","",D223)</x:f>
      </x:c>
      <x:c r="H223" s="9"/>
      <x:c r="I223" s="9"/>
      <x:c r="J223" s="9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9"/>
      <x:c r="B224" s="43"/>
      <x:c r="C224" s="9"/>
      <x:c r="D224" s="9"/>
      <x:c r="E224" s="9"/>
      <x:c r="F224" s="9"/>
      <x:c r="G224" s="6" t="str">
        <x:f>IF(D224="","",D224)</x:f>
      </x:c>
      <x:c r="H224" s="9"/>
      <x:c r="I224" s="9"/>
      <x:c r="J224" s="9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9"/>
      <x:c r="B225" s="43"/>
      <x:c r="C225" s="9"/>
      <x:c r="D225" s="9"/>
      <x:c r="E225" s="9"/>
      <x:c r="F225" s="9"/>
      <x:c r="G225" s="6" t="str">
        <x:f>IF(D225="","",D225)</x:f>
      </x:c>
      <x:c r="H225" s="9"/>
      <x:c r="I225" s="9"/>
      <x:c r="J225" s="9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9"/>
      <x:c r="B226" s="43"/>
      <x:c r="C226" s="9"/>
      <x:c r="D226" s="9"/>
      <x:c r="E226" s="9"/>
      <x:c r="F226" s="9"/>
      <x:c r="G226" s="6" t="str">
        <x:f>IF(D226="","",D226)</x:f>
      </x:c>
      <x:c r="H226" s="9"/>
      <x:c r="I226" s="9"/>
      <x:c r="J226" s="9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9"/>
      <x:c r="B227" s="43"/>
      <x:c r="C227" s="9"/>
      <x:c r="D227" s="9"/>
      <x:c r="E227" s="9"/>
      <x:c r="F227" s="9"/>
      <x:c r="G227" s="6" t="str">
        <x:f>IF(D227="","",D227)</x:f>
      </x:c>
      <x:c r="H227" s="9"/>
      <x:c r="I227" s="9"/>
      <x:c r="J227" s="9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9"/>
      <x:c r="B228" s="43"/>
      <x:c r="C228" s="9"/>
      <x:c r="D228" s="9"/>
      <x:c r="E228" s="9"/>
      <x:c r="F228" s="9"/>
      <x:c r="G228" s="6" t="str">
        <x:f>IF(D228="","",D228)</x:f>
      </x:c>
      <x:c r="H228" s="9"/>
      <x:c r="I228" s="9"/>
      <x:c r="J228" s="9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9"/>
      <x:c r="B229" s="43"/>
      <x:c r="C229" s="9"/>
      <x:c r="D229" s="9"/>
      <x:c r="E229" s="9"/>
      <x:c r="F229" s="9"/>
      <x:c r="G229" s="6" t="str">
        <x:f>IF(D229="","",D229)</x:f>
      </x:c>
      <x:c r="H229" s="9"/>
      <x:c r="I229" s="9"/>
      <x:c r="J229" s="9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9"/>
      <x:c r="B230" s="43"/>
      <x:c r="C230" s="9"/>
      <x:c r="D230" s="9"/>
      <x:c r="E230" s="9"/>
      <x:c r="F230" s="9"/>
      <x:c r="G230" s="6" t="str">
        <x:f>IF(D230="","",D230)</x:f>
      </x:c>
      <x:c r="H230" s="9"/>
      <x:c r="I230" s="9"/>
      <x:c r="J230" s="9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9"/>
      <x:c r="B231" s="43"/>
      <x:c r="C231" s="9"/>
      <x:c r="D231" s="9"/>
      <x:c r="E231" s="9"/>
      <x:c r="F231" s="9"/>
      <x:c r="G231" s="6" t="str">
        <x:f>IF(D231="","",D231)</x:f>
      </x:c>
      <x:c r="H231" s="9"/>
      <x:c r="I231" s="9"/>
      <x:c r="J231" s="9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9"/>
      <x:c r="B232" s="43"/>
      <x:c r="C232" s="9"/>
      <x:c r="D232" s="9"/>
      <x:c r="E232" s="9"/>
      <x:c r="F232" s="9"/>
      <x:c r="G232" s="6" t="str">
        <x:f>IF(D232="","",D232)</x:f>
      </x:c>
      <x:c r="H232" s="9"/>
      <x:c r="I232" s="9"/>
      <x:c r="J232" s="9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9"/>
      <x:c r="B233" s="43"/>
      <x:c r="C233" s="9"/>
      <x:c r="D233" s="9"/>
      <x:c r="E233" s="9"/>
      <x:c r="F233" s="9"/>
      <x:c r="G233" s="6" t="str">
        <x:f>IF(D233="","",D233)</x:f>
      </x:c>
      <x:c r="H233" s="9"/>
      <x:c r="I233" s="9"/>
      <x:c r="J233" s="9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9"/>
      <x:c r="B234" s="43"/>
      <x:c r="C234" s="9"/>
      <x:c r="D234" s="9"/>
      <x:c r="E234" s="9"/>
      <x:c r="F234" s="9"/>
      <x:c r="G234" s="6" t="str">
        <x:f>IF(D234="","",D234)</x:f>
      </x:c>
      <x:c r="H234" s="9"/>
      <x:c r="I234" s="9"/>
      <x:c r="J234" s="9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9"/>
      <x:c r="B235" s="43"/>
      <x:c r="C235" s="9"/>
      <x:c r="D235" s="9"/>
      <x:c r="E235" s="9"/>
      <x:c r="F235" s="9"/>
      <x:c r="G235" s="6" t="str">
        <x:f>IF(D235="","",D235)</x:f>
      </x:c>
      <x:c r="H235" s="9"/>
      <x:c r="I235" s="9"/>
      <x:c r="J235" s="9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9"/>
      <x:c r="B236" s="43"/>
      <x:c r="C236" s="9"/>
      <x:c r="D236" s="9"/>
      <x:c r="E236" s="9"/>
      <x:c r="F236" s="9"/>
      <x:c r="G236" s="6" t="str">
        <x:f>IF(D236="","",D236)</x:f>
      </x:c>
      <x:c r="H236" s="9"/>
      <x:c r="I236" s="9"/>
      <x:c r="J236" s="9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9"/>
      <x:c r="B237" s="43"/>
      <x:c r="C237" s="9"/>
      <x:c r="D237" s="9"/>
      <x:c r="E237" s="9"/>
      <x:c r="F237" s="9"/>
      <x:c r="G237" s="6" t="str">
        <x:f>IF(D237="","",D237)</x:f>
      </x:c>
      <x:c r="H237" s="9"/>
      <x:c r="I237" s="9"/>
      <x:c r="J237" s="9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9"/>
      <x:c r="B238" s="43"/>
      <x:c r="C238" s="9"/>
      <x:c r="D238" s="9"/>
      <x:c r="E238" s="9"/>
      <x:c r="F238" s="9"/>
      <x:c r="G238" s="6" t="str">
        <x:f>IF(D238="","",D238)</x:f>
      </x:c>
      <x:c r="H238" s="9"/>
      <x:c r="I238" s="9"/>
      <x:c r="J238" s="9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9"/>
      <x:c r="B239" s="43"/>
      <x:c r="C239" s="9"/>
      <x:c r="D239" s="9"/>
      <x:c r="E239" s="9"/>
      <x:c r="F239" s="9"/>
      <x:c r="G239" s="6" t="str">
        <x:f>IF(D239="","",D239)</x:f>
      </x:c>
      <x:c r="H239" s="9"/>
      <x:c r="I239" s="9"/>
      <x:c r="J239" s="9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9"/>
      <x:c r="B240" s="43"/>
      <x:c r="C240" s="9"/>
      <x:c r="D240" s="9"/>
      <x:c r="E240" s="9"/>
      <x:c r="F240" s="9"/>
      <x:c r="G240" s="6" t="str">
        <x:f>IF(D240="","",D240)</x:f>
      </x:c>
      <x:c r="H240" s="9"/>
      <x:c r="I240" s="9"/>
      <x:c r="J240" s="9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9"/>
      <x:c r="B241" s="43"/>
      <x:c r="C241" s="9"/>
      <x:c r="D241" s="9"/>
      <x:c r="E241" s="9"/>
      <x:c r="F241" s="9"/>
      <x:c r="G241" s="6" t="str">
        <x:f>IF(D241="","",D241)</x:f>
      </x:c>
      <x:c r="H241" s="9"/>
      <x:c r="I241" s="9"/>
      <x:c r="J241" s="9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9"/>
      <x:c r="B242" s="43"/>
      <x:c r="C242" s="9"/>
      <x:c r="D242" s="9"/>
      <x:c r="E242" s="9"/>
      <x:c r="F242" s="9"/>
      <x:c r="G242" s="6" t="str">
        <x:f>IF(D242="","",D242)</x:f>
      </x:c>
      <x:c r="H242" s="9"/>
      <x:c r="I242" s="9"/>
      <x:c r="J242" s="9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9"/>
      <x:c r="B243" s="43"/>
      <x:c r="C243" s="9"/>
      <x:c r="D243" s="9"/>
      <x:c r="E243" s="9"/>
      <x:c r="F243" s="9"/>
      <x:c r="G243" s="6" t="str">
        <x:f>IF(D243="","",D243)</x:f>
      </x:c>
      <x:c r="H243" s="9"/>
      <x:c r="I243" s="9"/>
      <x:c r="J243" s="9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9"/>
      <x:c r="B244" s="43"/>
      <x:c r="C244" s="9"/>
      <x:c r="D244" s="9"/>
      <x:c r="E244" s="9"/>
      <x:c r="F244" s="9"/>
      <x:c r="G244" s="6" t="str">
        <x:f>IF(D244="","",D244)</x:f>
      </x:c>
      <x:c r="H244" s="9"/>
      <x:c r="I244" s="9"/>
      <x:c r="J244" s="9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9"/>
      <x:c r="B245" s="43"/>
      <x:c r="C245" s="9"/>
      <x:c r="D245" s="9"/>
      <x:c r="E245" s="9"/>
      <x:c r="F245" s="9"/>
      <x:c r="G245" s="6" t="str">
        <x:f>IF(D245="","",D245)</x:f>
      </x:c>
      <x:c r="H245" s="9"/>
      <x:c r="I245" s="9"/>
      <x:c r="J245" s="9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9"/>
      <x:c r="B246" s="43"/>
      <x:c r="C246" s="9"/>
      <x:c r="D246" s="9"/>
      <x:c r="E246" s="9"/>
      <x:c r="F246" s="9"/>
      <x:c r="G246" s="6" t="str">
        <x:f>IF(D246="","",D246)</x:f>
      </x:c>
      <x:c r="H246" s="9"/>
      <x:c r="I246" s="9"/>
      <x:c r="J246" s="9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9"/>
      <x:c r="B247" s="43"/>
      <x:c r="C247" s="9"/>
      <x:c r="D247" s="9"/>
      <x:c r="E247" s="9"/>
      <x:c r="F247" s="9"/>
      <x:c r="G247" s="6" t="str">
        <x:f>IF(D247="","",D247)</x:f>
      </x:c>
      <x:c r="H247" s="9"/>
      <x:c r="I247" s="9"/>
      <x:c r="J247" s="9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9"/>
      <x:c r="B248" s="43"/>
      <x:c r="C248" s="9"/>
      <x:c r="D248" s="9"/>
      <x:c r="E248" s="9"/>
      <x:c r="F248" s="9"/>
      <x:c r="G248" s="6" t="str">
        <x:f>IF(D248="","",D248)</x:f>
      </x:c>
      <x:c r="H248" s="9"/>
      <x:c r="I248" s="9"/>
      <x:c r="J248" s="9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9"/>
      <x:c r="B249" s="43"/>
      <x:c r="C249" s="9"/>
      <x:c r="D249" s="9"/>
      <x:c r="E249" s="9"/>
      <x:c r="F249" s="9"/>
      <x:c r="G249" s="6" t="str">
        <x:f>IF(D249="","",D249)</x:f>
      </x:c>
      <x:c r="H249" s="9"/>
      <x:c r="I249" s="9"/>
      <x:c r="J249" s="9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9"/>
      <x:c r="B250" s="43"/>
      <x:c r="C250" s="9"/>
      <x:c r="D250" s="9"/>
      <x:c r="E250" s="9"/>
      <x:c r="F250" s="9"/>
      <x:c r="G250" s="6" t="str">
        <x:f>IF(D250="","",D250)</x:f>
      </x:c>
      <x:c r="H250" s="9"/>
      <x:c r="I250" s="9"/>
      <x:c r="J250" s="9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9"/>
      <x:c r="B251" s="43"/>
      <x:c r="C251" s="9"/>
      <x:c r="D251" s="9"/>
      <x:c r="E251" s="9"/>
      <x:c r="F251" s="9"/>
      <x:c r="G251" s="6" t="str">
        <x:f>IF(D251="","",D251)</x:f>
      </x:c>
      <x:c r="H251" s="9"/>
      <x:c r="I251" s="9"/>
      <x:c r="J251" s="9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9"/>
      <x:c r="B252" s="43"/>
      <x:c r="C252" s="9"/>
      <x:c r="D252" s="9"/>
      <x:c r="E252" s="9"/>
      <x:c r="F252" s="9"/>
      <x:c r="G252" s="6" t="str">
        <x:f>IF(D252="","",D252)</x:f>
      </x:c>
      <x:c r="H252" s="9"/>
      <x:c r="I252" s="9"/>
      <x:c r="J252" s="9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9"/>
      <x:c r="B253" s="43"/>
      <x:c r="C253" s="9"/>
      <x:c r="D253" s="9"/>
      <x:c r="E253" s="9"/>
      <x:c r="F253" s="9"/>
      <x:c r="G253" s="6" t="str">
        <x:f>IF(D253="","",D253)</x:f>
      </x:c>
      <x:c r="H253" s="9"/>
      <x:c r="I253" s="9"/>
      <x:c r="J253" s="9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9"/>
      <x:c r="B254" s="43"/>
      <x:c r="C254" s="9"/>
      <x:c r="D254" s="9"/>
      <x:c r="E254" s="9"/>
      <x:c r="F254" s="9"/>
      <x:c r="G254" s="6" t="str">
        <x:f>IF(D254="","",D254)</x:f>
      </x:c>
      <x:c r="H254" s="9"/>
      <x:c r="I254" s="9"/>
      <x:c r="J254" s="9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9"/>
      <x:c r="B255" s="43"/>
      <x:c r="C255" s="9"/>
      <x:c r="D255" s="9"/>
      <x:c r="E255" s="9"/>
      <x:c r="F255" s="9"/>
      <x:c r="G255" s="6" t="str">
        <x:f>IF(D255="","",D255)</x:f>
      </x:c>
      <x:c r="H255" s="9"/>
      <x:c r="I255" s="9"/>
      <x:c r="J255" s="9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9"/>
      <x:c r="B256" s="43"/>
      <x:c r="C256" s="9"/>
      <x:c r="D256" s="9"/>
      <x:c r="E256" s="9"/>
      <x:c r="F256" s="9"/>
      <x:c r="G256" s="6" t="str">
        <x:f>IF(D256="","",D256)</x:f>
      </x:c>
      <x:c r="H256" s="9"/>
      <x:c r="I256" s="9"/>
      <x:c r="J256" s="9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9"/>
      <x:c r="B257" s="43"/>
      <x:c r="C257" s="9"/>
      <x:c r="D257" s="9"/>
      <x:c r="E257" s="9"/>
      <x:c r="F257" s="9"/>
      <x:c r="G257" s="6" t="str">
        <x:f>IF(D257="","",D257)</x:f>
      </x:c>
      <x:c r="H257" s="9"/>
      <x:c r="I257" s="9"/>
      <x:c r="J257" s="9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9"/>
      <x:c r="B258" s="43"/>
      <x:c r="C258" s="9"/>
      <x:c r="D258" s="9"/>
      <x:c r="E258" s="9"/>
      <x:c r="F258" s="9"/>
      <x:c r="G258" s="6" t="str">
        <x:f>IF(D258="","",D258)</x:f>
      </x:c>
      <x:c r="H258" s="9"/>
      <x:c r="I258" s="9"/>
      <x:c r="J258" s="9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9"/>
      <x:c r="B259" s="43"/>
      <x:c r="C259" s="9"/>
      <x:c r="D259" s="9"/>
      <x:c r="E259" s="9"/>
      <x:c r="F259" s="9"/>
      <x:c r="G259" s="6" t="str">
        <x:f>IF(D259="","",D259)</x:f>
      </x:c>
      <x:c r="H259" s="9"/>
      <x:c r="I259" s="9"/>
      <x:c r="J259" s="9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9"/>
      <x:c r="B260" s="43"/>
      <x:c r="C260" s="9"/>
      <x:c r="D260" s="9"/>
      <x:c r="E260" s="9"/>
      <x:c r="F260" s="9"/>
      <x:c r="G260" s="6" t="str">
        <x:f>IF(D260="","",D260)</x:f>
      </x:c>
      <x:c r="H260" s="9"/>
      <x:c r="I260" s="9"/>
      <x:c r="J260" s="9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9"/>
      <x:c r="B261" s="43"/>
      <x:c r="C261" s="9"/>
      <x:c r="D261" s="9"/>
      <x:c r="E261" s="9"/>
      <x:c r="F261" s="9"/>
      <x:c r="G261" s="6" t="str">
        <x:f>IF(D261="","",D261)</x:f>
      </x:c>
      <x:c r="H261" s="9"/>
      <x:c r="I261" s="9"/>
      <x:c r="J261" s="9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9"/>
      <x:c r="B262" s="43"/>
      <x:c r="C262" s="9"/>
      <x:c r="D262" s="9"/>
      <x:c r="E262" s="9"/>
      <x:c r="F262" s="9"/>
      <x:c r="G262" s="6" t="str">
        <x:f>IF(D262="","",D262)</x:f>
      </x:c>
      <x:c r="H262" s="9"/>
      <x:c r="I262" s="9"/>
      <x:c r="J262" s="9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9"/>
      <x:c r="B263" s="43"/>
      <x:c r="C263" s="9"/>
      <x:c r="D263" s="9"/>
      <x:c r="E263" s="9"/>
      <x:c r="F263" s="9"/>
      <x:c r="G263" s="6" t="str">
        <x:f>IF(D263="","",D263)</x:f>
      </x:c>
      <x:c r="H263" s="9"/>
      <x:c r="I263" s="9"/>
      <x:c r="J263" s="9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9"/>
      <x:c r="B264" s="43"/>
      <x:c r="C264" s="9"/>
      <x:c r="D264" s="9"/>
      <x:c r="E264" s="9"/>
      <x:c r="F264" s="9"/>
      <x:c r="G264" s="6" t="str">
        <x:f>IF(D264="","",D264)</x:f>
      </x:c>
      <x:c r="H264" s="9"/>
      <x:c r="I264" s="9"/>
      <x:c r="J264" s="9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9"/>
      <x:c r="B265" s="43"/>
      <x:c r="C265" s="9"/>
      <x:c r="D265" s="9"/>
      <x:c r="E265" s="9"/>
      <x:c r="F265" s="9"/>
      <x:c r="G265" s="6" t="str">
        <x:f>IF(D265="","",D265)</x:f>
      </x:c>
      <x:c r="H265" s="9"/>
      <x:c r="I265" s="9"/>
      <x:c r="J265" s="9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9"/>
      <x:c r="B266" s="43"/>
      <x:c r="C266" s="9"/>
      <x:c r="D266" s="9"/>
      <x:c r="E266" s="9"/>
      <x:c r="F266" s="9"/>
      <x:c r="G266" s="6" t="str">
        <x:f>IF(D266="","",D266)</x:f>
      </x:c>
      <x:c r="H266" s="9"/>
      <x:c r="I266" s="9"/>
      <x:c r="J266" s="9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9"/>
      <x:c r="B267" s="43"/>
      <x:c r="C267" s="9"/>
      <x:c r="D267" s="9"/>
      <x:c r="E267" s="9"/>
      <x:c r="F267" s="9"/>
      <x:c r="G267" s="6" t="str">
        <x:f>IF(D267="","",D267)</x:f>
      </x:c>
      <x:c r="H267" s="9"/>
      <x:c r="I267" s="9"/>
      <x:c r="J267" s="9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9"/>
      <x:c r="B268" s="43"/>
      <x:c r="C268" s="9"/>
      <x:c r="D268" s="9"/>
      <x:c r="E268" s="9"/>
      <x:c r="F268" s="9"/>
      <x:c r="G268" s="6" t="str">
        <x:f>IF(D268="","",D268)</x:f>
      </x:c>
      <x:c r="H268" s="9"/>
      <x:c r="I268" s="9"/>
      <x:c r="J268" s="9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9"/>
      <x:c r="B269" s="43"/>
      <x:c r="C269" s="9"/>
      <x:c r="D269" s="9"/>
      <x:c r="E269" s="9"/>
      <x:c r="F269" s="9"/>
      <x:c r="G269" s="6" t="str">
        <x:f>IF(D269="","",D269)</x:f>
      </x:c>
      <x:c r="H269" s="9"/>
      <x:c r="I269" s="9"/>
      <x:c r="J269" s="9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9"/>
      <x:c r="B270" s="43"/>
      <x:c r="C270" s="9"/>
      <x:c r="D270" s="9"/>
      <x:c r="E270" s="9"/>
      <x:c r="F270" s="9"/>
      <x:c r="G270" s="6" t="str">
        <x:f>IF(D270="","",D270)</x:f>
      </x:c>
      <x:c r="H270" s="9"/>
      <x:c r="I270" s="9"/>
      <x:c r="J270" s="9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9"/>
      <x:c r="B271" s="43"/>
      <x:c r="C271" s="9"/>
      <x:c r="D271" s="9"/>
      <x:c r="E271" s="9"/>
      <x:c r="F271" s="9"/>
      <x:c r="G271" s="6" t="str">
        <x:f>IF(D271="","",D271)</x:f>
      </x:c>
      <x:c r="H271" s="9"/>
      <x:c r="I271" s="9"/>
      <x:c r="J271" s="9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9"/>
      <x:c r="B272" s="43"/>
      <x:c r="C272" s="9"/>
      <x:c r="D272" s="9"/>
      <x:c r="E272" s="9"/>
      <x:c r="F272" s="9"/>
      <x:c r="G272" s="6" t="str">
        <x:f>IF(D272="","",D272)</x:f>
      </x:c>
      <x:c r="H272" s="9"/>
      <x:c r="I272" s="9"/>
      <x:c r="J272" s="9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9"/>
      <x:c r="B273" s="43"/>
      <x:c r="C273" s="9"/>
      <x:c r="D273" s="9"/>
      <x:c r="E273" s="9"/>
      <x:c r="F273" s="9"/>
      <x:c r="G273" s="6" t="str">
        <x:f>IF(D273="","",D273)</x:f>
      </x:c>
      <x:c r="H273" s="9"/>
      <x:c r="I273" s="9"/>
      <x:c r="J273" s="9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9"/>
      <x:c r="B274" s="43"/>
      <x:c r="C274" s="9"/>
      <x:c r="D274" s="9"/>
      <x:c r="E274" s="9"/>
      <x:c r="F274" s="9"/>
      <x:c r="G274" s="6" t="str">
        <x:f>IF(D274="","",D274)</x:f>
      </x:c>
      <x:c r="H274" s="9"/>
      <x:c r="I274" s="9"/>
      <x:c r="J274" s="9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9"/>
      <x:c r="B275" s="43"/>
      <x:c r="C275" s="9"/>
      <x:c r="D275" s="9"/>
      <x:c r="E275" s="9"/>
      <x:c r="F275" s="9"/>
      <x:c r="G275" s="6" t="str">
        <x:f>IF(D275="","",D275)</x:f>
      </x:c>
      <x:c r="H275" s="9"/>
      <x:c r="I275" s="9"/>
      <x:c r="J275" s="9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9"/>
      <x:c r="B276" s="43"/>
      <x:c r="C276" s="9"/>
      <x:c r="D276" s="9"/>
      <x:c r="E276" s="9"/>
      <x:c r="F276" s="9"/>
      <x:c r="G276" s="6" t="str">
        <x:f>IF(D276="","",D276)</x:f>
      </x:c>
      <x:c r="H276" s="9"/>
      <x:c r="I276" s="9"/>
      <x:c r="J276" s="9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9"/>
      <x:c r="B277" s="43"/>
      <x:c r="C277" s="9"/>
      <x:c r="D277" s="9"/>
      <x:c r="E277" s="9"/>
      <x:c r="F277" s="9"/>
      <x:c r="G277" s="6" t="str">
        <x:f>IF(D277="","",D277)</x:f>
      </x:c>
      <x:c r="H277" s="9"/>
      <x:c r="I277" s="9"/>
      <x:c r="J277" s="9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9"/>
      <x:c r="B278" s="43"/>
      <x:c r="C278" s="9"/>
      <x:c r="D278" s="9"/>
      <x:c r="E278" s="9"/>
      <x:c r="F278" s="9"/>
      <x:c r="G278" s="6" t="str">
        <x:f>IF(D278="","",D278)</x:f>
      </x:c>
      <x:c r="H278" s="9"/>
      <x:c r="I278" s="9"/>
      <x:c r="J278" s="9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9"/>
      <x:c r="B279" s="43"/>
      <x:c r="C279" s="9"/>
      <x:c r="D279" s="9"/>
      <x:c r="E279" s="9"/>
      <x:c r="F279" s="9"/>
      <x:c r="G279" s="6" t="str">
        <x:f>IF(D279="","",D279)</x:f>
      </x:c>
      <x:c r="H279" s="9"/>
      <x:c r="I279" s="9"/>
      <x:c r="J279" s="9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9"/>
      <x:c r="B280" s="43"/>
      <x:c r="C280" s="9"/>
      <x:c r="D280" s="9"/>
      <x:c r="E280" s="9"/>
      <x:c r="F280" s="9"/>
      <x:c r="G280" s="6" t="str">
        <x:f>IF(D280="","",D280)</x:f>
      </x:c>
      <x:c r="H280" s="9"/>
      <x:c r="I280" s="9"/>
      <x:c r="J280" s="9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9"/>
      <x:c r="B281" s="43"/>
      <x:c r="C281" s="9"/>
      <x:c r="D281" s="9"/>
      <x:c r="E281" s="9"/>
      <x:c r="F281" s="9"/>
      <x:c r="G281" s="6" t="str">
        <x:f>IF(D281="","",D281)</x:f>
      </x:c>
      <x:c r="H281" s="9"/>
      <x:c r="I281" s="9"/>
      <x:c r="J281" s="9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9"/>
      <x:c r="B282" s="43"/>
      <x:c r="C282" s="9"/>
      <x:c r="D282" s="9"/>
      <x:c r="E282" s="9"/>
      <x:c r="F282" s="9"/>
      <x:c r="G282" s="6" t="str">
        <x:f>IF(D282="","",D282)</x:f>
      </x:c>
      <x:c r="H282" s="9"/>
      <x:c r="I282" s="9"/>
      <x:c r="J282" s="9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9"/>
      <x:c r="B283" s="43"/>
      <x:c r="C283" s="9"/>
      <x:c r="D283" s="9"/>
      <x:c r="E283" s="9"/>
      <x:c r="F283" s="9"/>
      <x:c r="G283" s="6" t="str">
        <x:f>IF(D283="","",D283)</x:f>
      </x:c>
      <x:c r="H283" s="9"/>
      <x:c r="I283" s="9"/>
      <x:c r="J283" s="9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9"/>
      <x:c r="B284" s="43"/>
      <x:c r="C284" s="9"/>
      <x:c r="D284" s="9"/>
      <x:c r="E284" s="9"/>
      <x:c r="F284" s="9"/>
      <x:c r="G284" s="6" t="str">
        <x:f>IF(D284="","",D284)</x:f>
      </x:c>
      <x:c r="H284" s="9"/>
      <x:c r="I284" s="9"/>
      <x:c r="J284" s="9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9"/>
      <x:c r="B285" s="43"/>
      <x:c r="C285" s="9"/>
      <x:c r="D285" s="9"/>
      <x:c r="E285" s="9"/>
      <x:c r="F285" s="9"/>
      <x:c r="G285" s="6" t="str">
        <x:f>IF(D285="","",D285)</x:f>
      </x:c>
      <x:c r="H285" s="9"/>
      <x:c r="I285" s="9"/>
      <x:c r="J285" s="9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9"/>
      <x:c r="B286" s="43"/>
      <x:c r="C286" s="9"/>
      <x:c r="D286" s="9"/>
      <x:c r="E286" s="9"/>
      <x:c r="F286" s="9"/>
      <x:c r="G286" s="6" t="str">
        <x:f>IF(D286="","",D286)</x:f>
      </x:c>
      <x:c r="H286" s="9"/>
      <x:c r="I286" s="9"/>
      <x:c r="J286" s="9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9"/>
      <x:c r="B287" s="43"/>
      <x:c r="C287" s="9"/>
      <x:c r="D287" s="9"/>
      <x:c r="E287" s="9"/>
      <x:c r="F287" s="9"/>
      <x:c r="G287" s="6" t="str">
        <x:f>IF(D287="","",D287)</x:f>
      </x:c>
      <x:c r="H287" s="9"/>
      <x:c r="I287" s="9"/>
      <x:c r="J287" s="9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9"/>
      <x:c r="B288" s="43"/>
      <x:c r="C288" s="9"/>
      <x:c r="D288" s="9"/>
      <x:c r="E288" s="9"/>
      <x:c r="F288" s="9"/>
      <x:c r="G288" s="6" t="str">
        <x:f>IF(D288="","",D288)</x:f>
      </x:c>
      <x:c r="H288" s="9"/>
      <x:c r="I288" s="9"/>
      <x:c r="J288" s="9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9"/>
      <x:c r="B289" s="43"/>
      <x:c r="C289" s="9"/>
      <x:c r="D289" s="9"/>
      <x:c r="E289" s="9"/>
      <x:c r="F289" s="9"/>
      <x:c r="G289" s="6" t="str">
        <x:f>IF(D289="","",D289)</x:f>
      </x:c>
      <x:c r="H289" s="9"/>
      <x:c r="I289" s="9"/>
      <x:c r="J289" s="9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9"/>
      <x:c r="B290" s="43"/>
      <x:c r="C290" s="9"/>
      <x:c r="D290" s="9"/>
      <x:c r="E290" s="9"/>
      <x:c r="F290" s="9"/>
      <x:c r="G290" s="6" t="str">
        <x:f>IF(D290="","",D290)</x:f>
      </x:c>
      <x:c r="H290" s="9"/>
      <x:c r="I290" s="9"/>
      <x:c r="J290" s="9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9"/>
      <x:c r="B291" s="43"/>
      <x:c r="C291" s="9"/>
      <x:c r="D291" s="9"/>
      <x:c r="E291" s="9"/>
      <x:c r="F291" s="9"/>
      <x:c r="G291" s="6" t="str">
        <x:f>IF(D291="","",D291)</x:f>
      </x:c>
      <x:c r="H291" s="9"/>
      <x:c r="I291" s="9"/>
      <x:c r="J291" s="9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9"/>
      <x:c r="B292" s="43"/>
      <x:c r="C292" s="9"/>
      <x:c r="D292" s="9"/>
      <x:c r="E292" s="9"/>
      <x:c r="F292" s="9"/>
      <x:c r="G292" s="6" t="str">
        <x:f>IF(D292="","",D292)</x:f>
      </x:c>
      <x:c r="H292" s="9"/>
      <x:c r="I292" s="9"/>
      <x:c r="J292" s="9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9"/>
      <x:c r="B293" s="43"/>
      <x:c r="C293" s="9"/>
      <x:c r="D293" s="9"/>
      <x:c r="E293" s="9"/>
      <x:c r="F293" s="9"/>
      <x:c r="G293" s="6" t="str">
        <x:f>IF(D293="","",D293)</x:f>
      </x:c>
      <x:c r="H293" s="9"/>
      <x:c r="I293" s="9"/>
      <x:c r="J293" s="9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9"/>
      <x:c r="B294" s="43"/>
      <x:c r="C294" s="9"/>
      <x:c r="D294" s="9"/>
      <x:c r="E294" s="9"/>
      <x:c r="F294" s="9"/>
      <x:c r="G294" s="6" t="str">
        <x:f>IF(D294="","",D294)</x:f>
      </x:c>
      <x:c r="H294" s="9"/>
      <x:c r="I294" s="9"/>
      <x:c r="J294" s="9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9"/>
      <x:c r="B295" s="43"/>
      <x:c r="C295" s="9"/>
      <x:c r="D295" s="9"/>
      <x:c r="E295" s="9"/>
      <x:c r="F295" s="9"/>
      <x:c r="G295" s="6" t="str">
        <x:f>IF(D295="","",D295)</x:f>
      </x:c>
      <x:c r="H295" s="9"/>
      <x:c r="I295" s="9"/>
      <x:c r="J295" s="9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9"/>
      <x:c r="B296" s="43"/>
      <x:c r="C296" s="9"/>
      <x:c r="D296" s="9"/>
      <x:c r="E296" s="9"/>
      <x:c r="F296" s="9"/>
      <x:c r="G296" s="6" t="str">
        <x:f>IF(D296="","",D296)</x:f>
      </x:c>
      <x:c r="H296" s="9"/>
      <x:c r="I296" s="9"/>
      <x:c r="J296" s="9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9"/>
      <x:c r="B297" s="43"/>
      <x:c r="C297" s="9"/>
      <x:c r="D297" s="9"/>
      <x:c r="E297" s="9"/>
      <x:c r="F297" s="9"/>
      <x:c r="G297" s="6" t="str">
        <x:f>IF(D297="","",D297)</x:f>
      </x:c>
      <x:c r="H297" s="9"/>
      <x:c r="I297" s="9"/>
      <x:c r="J297" s="9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9"/>
      <x:c r="B298" s="43"/>
      <x:c r="C298" s="9"/>
      <x:c r="D298" s="9"/>
      <x:c r="E298" s="9"/>
      <x:c r="F298" s="9"/>
      <x:c r="G298" s="6" t="str">
        <x:f>IF(D298="","",D298)</x:f>
      </x:c>
      <x:c r="H298" s="9"/>
      <x:c r="I298" s="9"/>
      <x:c r="J298" s="9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9"/>
      <x:c r="B299" s="43"/>
      <x:c r="C299" s="9"/>
      <x:c r="D299" s="9"/>
      <x:c r="E299" s="9"/>
      <x:c r="F299" s="9"/>
      <x:c r="G299" s="6" t="str">
        <x:f>IF(D299="","",D299)</x:f>
      </x:c>
      <x:c r="H299" s="9"/>
      <x:c r="I299" s="9"/>
      <x:c r="J299" s="9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9"/>
      <x:c r="B300" s="43"/>
      <x:c r="C300" s="9"/>
      <x:c r="D300" s="9"/>
      <x:c r="E300" s="9"/>
      <x:c r="F300" s="9"/>
      <x:c r="G300" s="6" t="str">
        <x:f>IF(D300="","",D300)</x:f>
      </x:c>
      <x:c r="H300" s="9"/>
      <x:c r="I300" s="9"/>
      <x:c r="J300" s="9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9"/>
      <x:c r="B301" s="43"/>
      <x:c r="C301" s="9"/>
      <x:c r="D301" s="9"/>
      <x:c r="E301" s="9"/>
      <x:c r="F301" s="9"/>
      <x:c r="G301" s="6" t="str">
        <x:f>IF(D301="","",D301)</x:f>
      </x:c>
      <x:c r="H301" s="9"/>
      <x:c r="I301" s="9"/>
      <x:c r="J301" s="9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9"/>
      <x:c r="B302" s="43"/>
      <x:c r="C302" s="9"/>
      <x:c r="D302" s="9"/>
      <x:c r="E302" s="9"/>
      <x:c r="F302" s="9"/>
      <x:c r="G302" s="6" t="str">
        <x:f>IF(D302="","",D302)</x:f>
      </x:c>
      <x:c r="H302" s="9"/>
      <x:c r="I302" s="9"/>
      <x:c r="J302" s="9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9"/>
      <x:c r="B303" s="43"/>
      <x:c r="C303" s="9"/>
      <x:c r="D303" s="9"/>
      <x:c r="E303" s="9"/>
      <x:c r="F303" s="9"/>
      <x:c r="G303" s="6" t="str">
        <x:f>IF(D303="","",D303)</x:f>
      </x:c>
      <x:c r="H303" s="9"/>
      <x:c r="I303" s="9"/>
      <x:c r="J303" s="9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9"/>
      <x:c r="B304" s="43"/>
      <x:c r="C304" s="9"/>
      <x:c r="D304" s="9"/>
      <x:c r="E304" s="9"/>
      <x:c r="F304" s="9"/>
      <x:c r="G304" s="6" t="str">
        <x:f>IF(D304="","",D304)</x:f>
      </x:c>
      <x:c r="H304" s="9"/>
      <x:c r="I304" s="9"/>
      <x:c r="J304" s="9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9"/>
      <x:c r="B305" s="43"/>
      <x:c r="C305" s="9"/>
      <x:c r="D305" s="9"/>
      <x:c r="E305" s="9"/>
      <x:c r="F305" s="9"/>
      <x:c r="G305" s="6" t="str">
        <x:f>IF(D305="","",D305)</x:f>
      </x:c>
      <x:c r="H305" s="9"/>
      <x:c r="I305" s="9"/>
      <x:c r="J305" s="9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9"/>
      <x:c r="B306" s="43"/>
      <x:c r="C306" s="9"/>
      <x:c r="D306" s="9"/>
      <x:c r="E306" s="9"/>
      <x:c r="F306" s="9"/>
      <x:c r="G306" s="6" t="str">
        <x:f>IF(D306="","",D306)</x:f>
      </x:c>
      <x:c r="H306" s="9"/>
      <x:c r="I306" s="9"/>
      <x:c r="J306" s="9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9"/>
      <x:c r="B307" s="43"/>
      <x:c r="C307" s="9"/>
      <x:c r="D307" s="9"/>
      <x:c r="E307" s="9"/>
      <x:c r="F307" s="9"/>
      <x:c r="G307" s="6" t="str">
        <x:f>IF(D307="","",D307)</x:f>
      </x:c>
      <x:c r="H307" s="9"/>
      <x:c r="I307" s="9"/>
      <x:c r="J307" s="9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9"/>
      <x:c r="B308" s="43"/>
      <x:c r="C308" s="9"/>
      <x:c r="D308" s="9"/>
      <x:c r="E308" s="9"/>
      <x:c r="F308" s="9"/>
      <x:c r="G308" s="6" t="str">
        <x:f>IF(D308="","",D308)</x:f>
      </x:c>
      <x:c r="H308" s="9"/>
      <x:c r="I308" s="9"/>
      <x:c r="J308" s="9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9"/>
      <x:c r="B309" s="43"/>
      <x:c r="C309" s="9"/>
      <x:c r="D309" s="9"/>
      <x:c r="E309" s="9"/>
      <x:c r="F309" s="9"/>
      <x:c r="G309" s="6" t="str">
        <x:f>IF(D309="","",D309)</x:f>
      </x:c>
      <x:c r="H309" s="9"/>
      <x:c r="I309" s="9"/>
      <x:c r="J309" s="9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9"/>
      <x:c r="B310" s="43"/>
      <x:c r="C310" s="9"/>
      <x:c r="D310" s="9"/>
      <x:c r="E310" s="9"/>
      <x:c r="F310" s="9"/>
      <x:c r="G310" s="6" t="str">
        <x:f>IF(D310="","",D310)</x:f>
      </x:c>
      <x:c r="H310" s="9"/>
      <x:c r="I310" s="9"/>
      <x:c r="J310" s="9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9"/>
      <x:c r="B311" s="43"/>
      <x:c r="C311" s="9"/>
      <x:c r="D311" s="9"/>
      <x:c r="E311" s="9"/>
      <x:c r="F311" s="9"/>
      <x:c r="G311" s="6" t="str">
        <x:f>IF(D311="","",D311)</x:f>
      </x:c>
      <x:c r="H311" s="9"/>
      <x:c r="I311" s="9"/>
      <x:c r="J311" s="9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9"/>
      <x:c r="B312" s="43"/>
      <x:c r="C312" s="9"/>
      <x:c r="D312" s="9"/>
      <x:c r="E312" s="9"/>
      <x:c r="F312" s="9"/>
      <x:c r="G312" s="6" t="str">
        <x:f>IF(D312="","",D312)</x:f>
      </x:c>
      <x:c r="H312" s="9"/>
      <x:c r="I312" s="9"/>
      <x:c r="J312" s="9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9"/>
      <x:c r="B313" s="43"/>
      <x:c r="C313" s="9"/>
      <x:c r="D313" s="9"/>
      <x:c r="E313" s="9"/>
      <x:c r="F313" s="9"/>
      <x:c r="G313" s="6" t="str">
        <x:f>IF(D313="","",D313)</x:f>
      </x:c>
      <x:c r="H313" s="9"/>
      <x:c r="I313" s="9"/>
      <x:c r="J313" s="9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9"/>
      <x:c r="B314" s="43"/>
      <x:c r="C314" s="9"/>
      <x:c r="D314" s="9"/>
      <x:c r="E314" s="9"/>
      <x:c r="F314" s="9"/>
      <x:c r="G314" s="6" t="str">
        <x:f>IF(D314="","",D314)</x:f>
      </x:c>
      <x:c r="H314" s="9"/>
      <x:c r="I314" s="9"/>
      <x:c r="J314" s="9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9"/>
      <x:c r="B315" s="43"/>
      <x:c r="C315" s="9"/>
      <x:c r="D315" s="9"/>
      <x:c r="E315" s="9"/>
      <x:c r="F315" s="9"/>
      <x:c r="G315" s="6" t="str">
        <x:f>IF(D315="","",D315)</x:f>
      </x:c>
      <x:c r="H315" s="9"/>
      <x:c r="I315" s="9"/>
      <x:c r="J315" s="9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9"/>
      <x:c r="B316" s="43"/>
      <x:c r="C316" s="9"/>
      <x:c r="D316" s="9"/>
      <x:c r="E316" s="9"/>
      <x:c r="F316" s="9"/>
      <x:c r="G316" s="6" t="str">
        <x:f>IF(D316="","",D316)</x:f>
      </x:c>
      <x:c r="H316" s="9"/>
      <x:c r="I316" s="9"/>
      <x:c r="J316" s="9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9"/>
      <x:c r="B317" s="43"/>
      <x:c r="C317" s="9"/>
      <x:c r="D317" s="9"/>
      <x:c r="E317" s="9"/>
      <x:c r="F317" s="9"/>
      <x:c r="G317" s="6" t="str">
        <x:f>IF(D317="","",D317)</x:f>
      </x:c>
      <x:c r="H317" s="9"/>
      <x:c r="I317" s="9"/>
      <x:c r="J317" s="9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9"/>
      <x:c r="B318" s="43"/>
      <x:c r="C318" s="9"/>
      <x:c r="D318" s="9"/>
      <x:c r="E318" s="9"/>
      <x:c r="F318" s="9"/>
      <x:c r="G318" s="6" t="str">
        <x:f>IF(D318="","",D318)</x:f>
      </x:c>
      <x:c r="H318" s="9"/>
      <x:c r="I318" s="9"/>
      <x:c r="J318" s="9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9"/>
      <x:c r="B319" s="43"/>
      <x:c r="C319" s="9"/>
      <x:c r="D319" s="9"/>
      <x:c r="E319" s="9"/>
      <x:c r="F319" s="9"/>
      <x:c r="G319" s="6" t="str">
        <x:f>IF(D319="","",D319)</x:f>
      </x:c>
      <x:c r="H319" s="9"/>
      <x:c r="I319" s="9"/>
      <x:c r="J319" s="9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9"/>
      <x:c r="B320" s="43"/>
      <x:c r="C320" s="9"/>
      <x:c r="D320" s="9"/>
      <x:c r="E320" s="9"/>
      <x:c r="F320" s="9"/>
      <x:c r="G320" s="6" t="str">
        <x:f>IF(D320="","",D320)</x:f>
      </x:c>
      <x:c r="H320" s="9"/>
      <x:c r="I320" s="9"/>
      <x:c r="J320" s="9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9"/>
      <x:c r="B321" s="43"/>
      <x:c r="C321" s="9"/>
      <x:c r="D321" s="9"/>
      <x:c r="E321" s="9"/>
      <x:c r="F321" s="9"/>
      <x:c r="G321" s="6" t="str">
        <x:f>IF(D321="","",D321)</x:f>
      </x:c>
      <x:c r="H321" s="9"/>
      <x:c r="I321" s="9"/>
      <x:c r="J321" s="9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9"/>
      <x:c r="B322" s="43"/>
      <x:c r="C322" s="9"/>
      <x:c r="D322" s="9"/>
      <x:c r="E322" s="9"/>
      <x:c r="F322" s="9"/>
      <x:c r="G322" s="6" t="str">
        <x:f>IF(D322="","",D322)</x:f>
      </x:c>
      <x:c r="H322" s="9"/>
      <x:c r="I322" s="9"/>
      <x:c r="J322" s="9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9"/>
      <x:c r="B323" s="43"/>
      <x:c r="C323" s="9"/>
      <x:c r="D323" s="9"/>
      <x:c r="E323" s="9"/>
      <x:c r="F323" s="9"/>
      <x:c r="G323" s="6" t="str">
        <x:f>IF(D323="","",D323)</x:f>
      </x:c>
      <x:c r="H323" s="9"/>
      <x:c r="I323" s="9"/>
      <x:c r="J323" s="9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9"/>
      <x:c r="B324" s="43"/>
      <x:c r="C324" s="9"/>
      <x:c r="D324" s="9"/>
      <x:c r="E324" s="9"/>
      <x:c r="F324" s="9"/>
      <x:c r="G324" s="6" t="str">
        <x:f>IF(D324="","",D324)</x:f>
      </x:c>
      <x:c r="H324" s="9"/>
      <x:c r="I324" s="9"/>
      <x:c r="J324" s="9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9"/>
      <x:c r="B325" s="43"/>
      <x:c r="C325" s="9"/>
      <x:c r="D325" s="9"/>
      <x:c r="E325" s="9"/>
      <x:c r="F325" s="9"/>
      <x:c r="G325" s="6" t="str">
        <x:f>IF(D325="","",D325)</x:f>
      </x:c>
      <x:c r="H325" s="9"/>
      <x:c r="I325" s="9"/>
      <x:c r="J325" s="9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9"/>
      <x:c r="B326" s="43"/>
      <x:c r="C326" s="9"/>
      <x:c r="D326" s="9"/>
      <x:c r="E326" s="9"/>
      <x:c r="F326" s="9"/>
      <x:c r="G326" s="6" t="str">
        <x:f>IF(D326="","",D326)</x:f>
      </x:c>
      <x:c r="H326" s="9"/>
      <x:c r="I326" s="9"/>
      <x:c r="J326" s="9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9"/>
      <x:c r="B327" s="43"/>
      <x:c r="C327" s="9"/>
      <x:c r="D327" s="9"/>
      <x:c r="E327" s="9"/>
      <x:c r="F327" s="9"/>
      <x:c r="G327" s="6" t="str">
        <x:f>IF(D327="","",D327)</x:f>
      </x:c>
      <x:c r="H327" s="9"/>
      <x:c r="I327" s="9"/>
      <x:c r="J327" s="9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9"/>
      <x:c r="B328" s="43"/>
      <x:c r="C328" s="9"/>
      <x:c r="D328" s="9"/>
      <x:c r="E328" s="9"/>
      <x:c r="F328" s="9"/>
      <x:c r="G328" s="6" t="str">
        <x:f>IF(D328="","",D328)</x:f>
      </x:c>
      <x:c r="H328" s="9"/>
      <x:c r="I328" s="9"/>
      <x:c r="J328" s="9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9"/>
      <x:c r="B329" s="43"/>
      <x:c r="C329" s="9"/>
      <x:c r="D329" s="9"/>
      <x:c r="E329" s="9"/>
      <x:c r="F329" s="9"/>
      <x:c r="G329" s="6" t="str">
        <x:f>IF(D329="","",D329)</x:f>
      </x:c>
      <x:c r="H329" s="9"/>
      <x:c r="I329" s="9"/>
      <x:c r="J329" s="9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9"/>
      <x:c r="B330" s="43"/>
      <x:c r="C330" s="9"/>
      <x:c r="D330" s="9"/>
      <x:c r="E330" s="9"/>
      <x:c r="F330" s="9"/>
      <x:c r="G330" s="6" t="str">
        <x:f>IF(D330="","",D330)</x:f>
      </x:c>
      <x:c r="H330" s="9"/>
      <x:c r="I330" s="9"/>
      <x:c r="J330" s="9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9"/>
      <x:c r="B331" s="43"/>
      <x:c r="C331" s="9"/>
      <x:c r="D331" s="9"/>
      <x:c r="E331" s="9"/>
      <x:c r="F331" s="9"/>
      <x:c r="G331" s="6" t="str">
        <x:f>IF(D331="","",D331)</x:f>
      </x:c>
      <x:c r="H331" s="9"/>
      <x:c r="I331" s="9"/>
      <x:c r="J331" s="9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9"/>
      <x:c r="B332" s="43"/>
      <x:c r="C332" s="9"/>
      <x:c r="D332" s="9"/>
      <x:c r="E332" s="9"/>
      <x:c r="F332" s="9"/>
      <x:c r="G332" s="6" t="str">
        <x:f>IF(D332="","",D332)</x:f>
      </x:c>
      <x:c r="H332" s="9"/>
      <x:c r="I332" s="9"/>
      <x:c r="J332" s="9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9"/>
      <x:c r="B333" s="43"/>
      <x:c r="C333" s="9"/>
      <x:c r="D333" s="9"/>
      <x:c r="E333" s="9"/>
      <x:c r="F333" s="9"/>
      <x:c r="G333" s="6" t="str">
        <x:f>IF(D333="","",D333)</x:f>
      </x:c>
      <x:c r="H333" s="9"/>
      <x:c r="I333" s="9"/>
      <x:c r="J333" s="9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9"/>
      <x:c r="B334" s="43"/>
      <x:c r="C334" s="9"/>
      <x:c r="D334" s="9"/>
      <x:c r="E334" s="9"/>
      <x:c r="F334" s="9"/>
      <x:c r="G334" s="6" t="str">
        <x:f>IF(D334="","",D334)</x:f>
      </x:c>
      <x:c r="H334" s="9"/>
      <x:c r="I334" s="9"/>
      <x:c r="J334" s="9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9"/>
      <x:c r="B335" s="43"/>
      <x:c r="C335" s="9"/>
      <x:c r="D335" s="9"/>
      <x:c r="E335" s="9"/>
      <x:c r="F335" s="9"/>
      <x:c r="G335" s="6" t="str">
        <x:f>IF(D335="","",D335)</x:f>
      </x:c>
      <x:c r="H335" s="9"/>
      <x:c r="I335" s="9"/>
      <x:c r="J335" s="9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9"/>
      <x:c r="B336" s="43"/>
      <x:c r="C336" s="9"/>
      <x:c r="D336" s="9"/>
      <x:c r="E336" s="9"/>
      <x:c r="F336" s="9"/>
      <x:c r="G336" s="6" t="str">
        <x:f>IF(D336="","",D336)</x:f>
      </x:c>
      <x:c r="H336" s="9"/>
      <x:c r="I336" s="9"/>
      <x:c r="J336" s="9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9"/>
      <x:c r="B337" s="43"/>
      <x:c r="C337" s="9"/>
      <x:c r="D337" s="9"/>
      <x:c r="E337" s="9"/>
      <x:c r="F337" s="9"/>
      <x:c r="G337" s="6" t="str">
        <x:f>IF(D337="","",D337)</x:f>
      </x:c>
      <x:c r="H337" s="9"/>
      <x:c r="I337" s="9"/>
      <x:c r="J337" s="9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9"/>
      <x:c r="B338" s="43"/>
      <x:c r="C338" s="9"/>
      <x:c r="D338" s="9"/>
      <x:c r="E338" s="9"/>
      <x:c r="F338" s="9"/>
      <x:c r="G338" s="6" t="str">
        <x:f>IF(D338="","",D338)</x:f>
      </x:c>
      <x:c r="H338" s="9"/>
      <x:c r="I338" s="9"/>
      <x:c r="J338" s="9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9"/>
      <x:c r="B339" s="43"/>
      <x:c r="C339" s="9"/>
      <x:c r="D339" s="9"/>
      <x:c r="E339" s="9"/>
      <x:c r="F339" s="9"/>
      <x:c r="G339" s="6" t="str">
        <x:f>IF(D339="","",D339)</x:f>
      </x:c>
      <x:c r="H339" s="9"/>
      <x:c r="I339" s="9"/>
      <x:c r="J339" s="9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9"/>
      <x:c r="B340" s="43"/>
      <x:c r="C340" s="9"/>
      <x:c r="D340" s="9"/>
      <x:c r="E340" s="9"/>
      <x:c r="F340" s="9"/>
      <x:c r="G340" s="6" t="str">
        <x:f>IF(D340="","",D340)</x:f>
      </x:c>
      <x:c r="H340" s="9"/>
      <x:c r="I340" s="9"/>
      <x:c r="J340" s="9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9"/>
      <x:c r="B341" s="43"/>
      <x:c r="C341" s="9"/>
      <x:c r="D341" s="9"/>
      <x:c r="E341" s="9"/>
      <x:c r="F341" s="9"/>
      <x:c r="G341" s="6" t="str">
        <x:f>IF(D341="","",D341)</x:f>
      </x:c>
      <x:c r="H341" s="9"/>
      <x:c r="I341" s="9"/>
      <x:c r="J341" s="9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9"/>
      <x:c r="B342" s="43"/>
      <x:c r="C342" s="9"/>
      <x:c r="D342" s="9"/>
      <x:c r="E342" s="9"/>
      <x:c r="F342" s="9"/>
      <x:c r="G342" s="6" t="str">
        <x:f>IF(D342="","",D342)</x:f>
      </x:c>
      <x:c r="H342" s="9"/>
      <x:c r="I342" s="9"/>
      <x:c r="J342" s="9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9"/>
      <x:c r="B343" s="43"/>
      <x:c r="C343" s="9"/>
      <x:c r="D343" s="9"/>
      <x:c r="E343" s="9"/>
      <x:c r="F343" s="9"/>
      <x:c r="G343" s="6" t="str">
        <x:f>IF(D343="","",D343)</x:f>
      </x:c>
      <x:c r="H343" s="9"/>
      <x:c r="I343" s="9"/>
      <x:c r="J343" s="9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9"/>
      <x:c r="B344" s="43"/>
      <x:c r="C344" s="9"/>
      <x:c r="D344" s="9"/>
      <x:c r="E344" s="9"/>
      <x:c r="F344" s="9"/>
      <x:c r="G344" s="6" t="str">
        <x:f>IF(D344="","",D344)</x:f>
      </x:c>
      <x:c r="H344" s="9"/>
      <x:c r="I344" s="9"/>
      <x:c r="J344" s="9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9"/>
      <x:c r="B345" s="43"/>
      <x:c r="C345" s="9"/>
      <x:c r="D345" s="9"/>
      <x:c r="E345" s="9"/>
      <x:c r="F345" s="9"/>
      <x:c r="G345" s="6" t="str">
        <x:f>IF(D345="","",D345)</x:f>
      </x:c>
      <x:c r="H345" s="9"/>
      <x:c r="I345" s="9"/>
      <x:c r="J345" s="9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9"/>
      <x:c r="B346" s="43"/>
      <x:c r="C346" s="9"/>
      <x:c r="D346" s="9"/>
      <x:c r="E346" s="9"/>
      <x:c r="F346" s="9"/>
      <x:c r="G346" s="6" t="str">
        <x:f>IF(D346="","",D346)</x:f>
      </x:c>
      <x:c r="H346" s="9"/>
      <x:c r="I346" s="9"/>
      <x:c r="J346" s="9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9"/>
      <x:c r="B347" s="43"/>
      <x:c r="C347" s="9"/>
      <x:c r="D347" s="9"/>
      <x:c r="E347" s="9"/>
      <x:c r="F347" s="9"/>
      <x:c r="G347" s="6" t="str">
        <x:f>IF(D347="","",D347)</x:f>
      </x:c>
      <x:c r="H347" s="9"/>
      <x:c r="I347" s="9"/>
      <x:c r="J347" s="9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9"/>
      <x:c r="B348" s="43"/>
      <x:c r="C348" s="9"/>
      <x:c r="D348" s="9"/>
      <x:c r="E348" s="9"/>
      <x:c r="F348" s="9"/>
      <x:c r="G348" s="6" t="str">
        <x:f>IF(D348="","",D348)</x:f>
      </x:c>
      <x:c r="H348" s="9"/>
      <x:c r="I348" s="9"/>
      <x:c r="J348" s="9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9"/>
      <x:c r="B349" s="43"/>
      <x:c r="C349" s="9"/>
      <x:c r="D349" s="9"/>
      <x:c r="E349" s="9"/>
      <x:c r="F349" s="9"/>
      <x:c r="G349" s="6" t="str">
        <x:f>IF(D349="","",D349)</x:f>
      </x:c>
      <x:c r="H349" s="9"/>
      <x:c r="I349" s="9"/>
      <x:c r="J349" s="9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9"/>
      <x:c r="B350" s="43"/>
      <x:c r="C350" s="9"/>
      <x:c r="D350" s="9"/>
      <x:c r="E350" s="9"/>
      <x:c r="F350" s="9"/>
      <x:c r="G350" s="6" t="str">
        <x:f>IF(D350="","",D350)</x:f>
      </x:c>
      <x:c r="H350" s="9"/>
      <x:c r="I350" s="9"/>
      <x:c r="J350" s="9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9"/>
      <x:c r="B351" s="43"/>
      <x:c r="C351" s="9"/>
      <x:c r="D351" s="9"/>
      <x:c r="E351" s="9"/>
      <x:c r="F351" s="9"/>
      <x:c r="G351" s="6" t="str">
        <x:f>IF(D351="","",D351)</x:f>
      </x:c>
      <x:c r="H351" s="9"/>
      <x:c r="I351" s="9"/>
      <x:c r="J351" s="9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9"/>
      <x:c r="B352" s="43"/>
      <x:c r="C352" s="9"/>
      <x:c r="D352" s="9"/>
      <x:c r="E352" s="9"/>
      <x:c r="F352" s="9"/>
      <x:c r="G352" s="6" t="str">
        <x:f>IF(D352="","",D352)</x:f>
      </x:c>
      <x:c r="H352" s="9"/>
      <x:c r="I352" s="9"/>
      <x:c r="J352" s="9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9"/>
      <x:c r="B353" s="43"/>
      <x:c r="C353" s="9"/>
      <x:c r="D353" s="9"/>
      <x:c r="E353" s="9"/>
      <x:c r="F353" s="9"/>
      <x:c r="G353" s="6" t="str">
        <x:f>IF(D353="","",D353)</x:f>
      </x:c>
      <x:c r="H353" s="9"/>
      <x:c r="I353" s="9"/>
      <x:c r="J353" s="9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9"/>
      <x:c r="B354" s="43"/>
      <x:c r="C354" s="9"/>
      <x:c r="D354" s="9"/>
      <x:c r="E354" s="9"/>
      <x:c r="F354" s="9"/>
      <x:c r="G354" s="6" t="str">
        <x:f>IF(D354="","",D354)</x:f>
      </x:c>
      <x:c r="H354" s="9"/>
      <x:c r="I354" s="9"/>
      <x:c r="J354" s="9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9"/>
      <x:c r="B355" s="43"/>
      <x:c r="C355" s="9"/>
      <x:c r="D355" s="9"/>
      <x:c r="E355" s="9"/>
      <x:c r="F355" s="9"/>
      <x:c r="G355" s="6" t="str">
        <x:f>IF(D355="","",D355)</x:f>
      </x:c>
      <x:c r="H355" s="9"/>
      <x:c r="I355" s="9"/>
      <x:c r="J355" s="9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9"/>
      <x:c r="B356" s="43"/>
      <x:c r="C356" s="9"/>
      <x:c r="D356" s="9"/>
      <x:c r="E356" s="9"/>
      <x:c r="F356" s="9"/>
      <x:c r="G356" s="6" t="str">
        <x:f>IF(D356="","",D356)</x:f>
      </x:c>
      <x:c r="H356" s="9"/>
      <x:c r="I356" s="9"/>
      <x:c r="J356" s="9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9"/>
      <x:c r="B357" s="43"/>
      <x:c r="C357" s="9"/>
      <x:c r="D357" s="9"/>
      <x:c r="E357" s="9"/>
      <x:c r="F357" s="9"/>
      <x:c r="G357" s="6" t="str">
        <x:f>IF(D357="","",D357)</x:f>
      </x:c>
      <x:c r="H357" s="9"/>
      <x:c r="I357" s="9"/>
      <x:c r="J357" s="9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9"/>
      <x:c r="B358" s="43"/>
      <x:c r="C358" s="9"/>
      <x:c r="D358" s="9"/>
      <x:c r="E358" s="9"/>
      <x:c r="F358" s="9"/>
      <x:c r="G358" s="6" t="str">
        <x:f>IF(D358="","",D358)</x:f>
      </x:c>
      <x:c r="H358" s="9"/>
      <x:c r="I358" s="9"/>
      <x:c r="J358" s="9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9"/>
      <x:c r="B359" s="43"/>
      <x:c r="C359" s="9"/>
      <x:c r="D359" s="9"/>
      <x:c r="E359" s="9"/>
      <x:c r="F359" s="9"/>
      <x:c r="G359" s="6" t="str">
        <x:f>IF(D359="","",D359)</x:f>
      </x:c>
      <x:c r="H359" s="9"/>
      <x:c r="I359" s="9"/>
      <x:c r="J359" s="9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9"/>
      <x:c r="B360" s="43"/>
      <x:c r="C360" s="9"/>
      <x:c r="D360" s="9"/>
      <x:c r="E360" s="9"/>
      <x:c r="F360" s="9"/>
      <x:c r="G360" s="6" t="str">
        <x:f>IF(D360="","",D360)</x:f>
      </x:c>
      <x:c r="H360" s="9"/>
      <x:c r="I360" s="9"/>
      <x:c r="J360" s="9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9"/>
      <x:c r="B361" s="43"/>
      <x:c r="C361" s="9"/>
      <x:c r="D361" s="9"/>
      <x:c r="E361" s="9"/>
      <x:c r="F361" s="9"/>
      <x:c r="G361" s="6" t="str">
        <x:f>IF(D361="","",D361)</x:f>
      </x:c>
      <x:c r="H361" s="9"/>
      <x:c r="I361" s="9"/>
      <x:c r="J361" s="9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9"/>
      <x:c r="B362" s="43"/>
      <x:c r="C362" s="9"/>
      <x:c r="D362" s="9"/>
      <x:c r="E362" s="9"/>
      <x:c r="F362" s="9"/>
      <x:c r="G362" s="6" t="str">
        <x:f>IF(D362="","",D362)</x:f>
      </x:c>
      <x:c r="H362" s="9"/>
      <x:c r="I362" s="9"/>
      <x:c r="J362" s="9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9"/>
      <x:c r="B363" s="43"/>
      <x:c r="C363" s="9"/>
      <x:c r="D363" s="9"/>
      <x:c r="E363" s="9"/>
      <x:c r="F363" s="9"/>
      <x:c r="G363" s="6" t="str">
        <x:f>IF(D363="","",D363)</x:f>
      </x:c>
      <x:c r="H363" s="9"/>
      <x:c r="I363" s="9"/>
      <x:c r="J363" s="9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9"/>
      <x:c r="B364" s="43"/>
      <x:c r="C364" s="9"/>
      <x:c r="D364" s="9"/>
      <x:c r="E364" s="9"/>
      <x:c r="F364" s="9"/>
      <x:c r="G364" s="6" t="str">
        <x:f>IF(D364="","",D364)</x:f>
      </x:c>
      <x:c r="H364" s="9"/>
      <x:c r="I364" s="9"/>
      <x:c r="J364" s="9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9"/>
      <x:c r="B365" s="43"/>
      <x:c r="C365" s="9"/>
      <x:c r="D365" s="9"/>
      <x:c r="E365" s="9"/>
      <x:c r="F365" s="9"/>
      <x:c r="G365" s="6" t="str">
        <x:f>IF(D365="","",D365)</x:f>
      </x:c>
      <x:c r="H365" s="9"/>
      <x:c r="I365" s="9"/>
      <x:c r="J365" s="9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9"/>
      <x:c r="B366" s="43"/>
      <x:c r="C366" s="9"/>
      <x:c r="D366" s="9"/>
      <x:c r="E366" s="9"/>
      <x:c r="F366" s="9"/>
      <x:c r="G366" s="6" t="str">
        <x:f>IF(D366="","",D366)</x:f>
      </x:c>
      <x:c r="H366" s="9"/>
      <x:c r="I366" s="9"/>
      <x:c r="J366" s="9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9"/>
      <x:c r="B367" s="43"/>
      <x:c r="C367" s="9"/>
      <x:c r="D367" s="9"/>
      <x:c r="E367" s="9"/>
      <x:c r="F367" s="9"/>
      <x:c r="G367" s="6" t="str">
        <x:f>IF(D367="","",D367)</x:f>
      </x:c>
      <x:c r="H367" s="9"/>
      <x:c r="I367" s="9"/>
      <x:c r="J367" s="9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9"/>
      <x:c r="B368" s="43"/>
      <x:c r="C368" s="9"/>
      <x:c r="D368" s="9"/>
      <x:c r="E368" s="9"/>
      <x:c r="F368" s="9"/>
      <x:c r="G368" s="6" t="str">
        <x:f>IF(D368="","",D368)</x:f>
      </x:c>
      <x:c r="H368" s="9"/>
      <x:c r="I368" s="9"/>
      <x:c r="J368" s="9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9"/>
      <x:c r="B369" s="43"/>
      <x:c r="C369" s="9"/>
      <x:c r="D369" s="9"/>
      <x:c r="E369" s="9"/>
      <x:c r="F369" s="9"/>
      <x:c r="G369" s="6" t="str">
        <x:f>IF(D369="","",D369)</x:f>
      </x:c>
      <x:c r="H369" s="9"/>
      <x:c r="I369" s="9"/>
      <x:c r="J369" s="9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9"/>
      <x:c r="B370" s="43"/>
      <x:c r="C370" s="9"/>
      <x:c r="D370" s="9"/>
      <x:c r="E370" s="9"/>
      <x:c r="F370" s="9"/>
      <x:c r="G370" s="6" t="str">
        <x:f>IF(D370="","",D370)</x:f>
      </x:c>
      <x:c r="H370" s="9"/>
      <x:c r="I370" s="9"/>
      <x:c r="J370" s="9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9"/>
      <x:c r="B371" s="43"/>
      <x:c r="C371" s="9"/>
      <x:c r="D371" s="9"/>
      <x:c r="E371" s="9"/>
      <x:c r="F371" s="9"/>
      <x:c r="G371" s="6" t="str">
        <x:f>IF(D371="","",D371)</x:f>
      </x:c>
      <x:c r="H371" s="9"/>
      <x:c r="I371" s="9"/>
      <x:c r="J371" s="9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9"/>
      <x:c r="B372" s="43"/>
      <x:c r="C372" s="9"/>
      <x:c r="D372" s="9"/>
      <x:c r="E372" s="9"/>
      <x:c r="F372" s="9"/>
      <x:c r="G372" s="6" t="str">
        <x:f>IF(D372="","",D372)</x:f>
      </x:c>
      <x:c r="H372" s="9"/>
      <x:c r="I372" s="9"/>
      <x:c r="J372" s="9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9"/>
      <x:c r="B373" s="43"/>
      <x:c r="C373" s="9"/>
      <x:c r="D373" s="9"/>
      <x:c r="E373" s="9"/>
      <x:c r="F373" s="9"/>
      <x:c r="G373" s="6" t="str">
        <x:f>IF(D373="","",D373)</x:f>
      </x:c>
      <x:c r="H373" s="9"/>
      <x:c r="I373" s="9"/>
      <x:c r="J373" s="9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9"/>
      <x:c r="B374" s="43"/>
      <x:c r="C374" s="9"/>
      <x:c r="D374" s="9"/>
      <x:c r="E374" s="9"/>
      <x:c r="F374" s="9"/>
      <x:c r="G374" s="6" t="str">
        <x:f>IF(D374="","",D374)</x:f>
      </x:c>
      <x:c r="H374" s="9"/>
      <x:c r="I374" s="9"/>
      <x:c r="J374" s="9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9"/>
      <x:c r="B375" s="43"/>
      <x:c r="C375" s="9"/>
      <x:c r="D375" s="9"/>
      <x:c r="E375" s="9"/>
      <x:c r="F375" s="9"/>
      <x:c r="G375" s="6" t="str">
        <x:f>IF(D375="","",D375)</x:f>
      </x:c>
      <x:c r="H375" s="9"/>
      <x:c r="I375" s="9"/>
      <x:c r="J375" s="9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9"/>
      <x:c r="B376" s="43"/>
      <x:c r="C376" s="9"/>
      <x:c r="D376" s="9"/>
      <x:c r="E376" s="9"/>
      <x:c r="F376" s="9"/>
      <x:c r="G376" s="6" t="str">
        <x:f>IF(D376="","",D376)</x:f>
      </x:c>
      <x:c r="H376" s="9"/>
      <x:c r="I376" s="9"/>
      <x:c r="J376" s="9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9"/>
      <x:c r="B377" s="43"/>
      <x:c r="C377" s="9"/>
      <x:c r="D377" s="9"/>
      <x:c r="E377" s="9"/>
      <x:c r="F377" s="9"/>
      <x:c r="G377" s="6" t="str">
        <x:f>IF(D377="","",D377)</x:f>
      </x:c>
      <x:c r="H377" s="9"/>
      <x:c r="I377" s="9"/>
      <x:c r="J377" s="9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9"/>
      <x:c r="B378" s="43"/>
      <x:c r="C378" s="9"/>
      <x:c r="D378" s="9"/>
      <x:c r="E378" s="9"/>
      <x:c r="F378" s="9"/>
      <x:c r="G378" s="6" t="str">
        <x:f>IF(D378="","",D378)</x:f>
      </x:c>
      <x:c r="H378" s="9"/>
      <x:c r="I378" s="9"/>
      <x:c r="J378" s="9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9"/>
      <x:c r="B379" s="43"/>
      <x:c r="C379" s="9"/>
      <x:c r="D379" s="9"/>
      <x:c r="E379" s="9"/>
      <x:c r="F379" s="9"/>
      <x:c r="G379" s="6" t="str">
        <x:f>IF(D379="","",D379)</x:f>
      </x:c>
      <x:c r="H379" s="9"/>
      <x:c r="I379" s="9"/>
      <x:c r="J379" s="9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9"/>
      <x:c r="B380" s="43"/>
      <x:c r="C380" s="9"/>
      <x:c r="D380" s="9"/>
      <x:c r="E380" s="9"/>
      <x:c r="F380" s="9"/>
      <x:c r="G380" s="6" t="str">
        <x:f>IF(D380="","",D380)</x:f>
      </x:c>
      <x:c r="H380" s="9"/>
      <x:c r="I380" s="9"/>
      <x:c r="J380" s="9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9"/>
      <x:c r="B381" s="43"/>
      <x:c r="C381" s="9"/>
      <x:c r="D381" s="9"/>
      <x:c r="E381" s="9"/>
      <x:c r="F381" s="9"/>
      <x:c r="G381" s="6" t="str">
        <x:f>IF(D381="","",D381)</x:f>
      </x:c>
      <x:c r="H381" s="9"/>
      <x:c r="I381" s="9"/>
      <x:c r="J381" s="9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9"/>
      <x:c r="B382" s="43"/>
      <x:c r="C382" s="9"/>
      <x:c r="D382" s="9"/>
      <x:c r="E382" s="9"/>
      <x:c r="F382" s="9"/>
      <x:c r="G382" s="6" t="str">
        <x:f>IF(D382="","",D382)</x:f>
      </x:c>
      <x:c r="H382" s="9"/>
      <x:c r="I382" s="9"/>
      <x:c r="J382" s="9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9"/>
      <x:c r="B383" s="43"/>
      <x:c r="C383" s="9"/>
      <x:c r="D383" s="9"/>
      <x:c r="E383" s="9"/>
      <x:c r="F383" s="9"/>
      <x:c r="G383" s="6" t="str">
        <x:f>IF(D383="","",D383)</x:f>
      </x:c>
      <x:c r="H383" s="9"/>
      <x:c r="I383" s="9"/>
      <x:c r="J383" s="9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9"/>
      <x:c r="B384" s="43"/>
      <x:c r="C384" s="9"/>
      <x:c r="D384" s="9"/>
      <x:c r="E384" s="9"/>
      <x:c r="F384" s="9"/>
      <x:c r="G384" s="6" t="str">
        <x:f>IF(D384="","",D384)</x:f>
      </x:c>
      <x:c r="H384" s="9"/>
      <x:c r="I384" s="9"/>
      <x:c r="J384" s="9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9"/>
      <x:c r="B385" s="43"/>
      <x:c r="C385" s="9"/>
      <x:c r="D385" s="9"/>
      <x:c r="E385" s="9"/>
      <x:c r="F385" s="9"/>
      <x:c r="G385" s="6" t="str">
        <x:f>IF(D385="","",D385)</x:f>
      </x:c>
      <x:c r="H385" s="9"/>
      <x:c r="I385" s="9"/>
      <x:c r="J385" s="9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9"/>
      <x:c r="B386" s="43"/>
      <x:c r="C386" s="9"/>
      <x:c r="D386" s="9"/>
      <x:c r="E386" s="9"/>
      <x:c r="F386" s="9"/>
      <x:c r="G386" s="6" t="str">
        <x:f>IF(D386="","",D386)</x:f>
      </x:c>
      <x:c r="H386" s="9"/>
      <x:c r="I386" s="9"/>
      <x:c r="J386" s="9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9"/>
      <x:c r="B387" s="43"/>
      <x:c r="C387" s="9"/>
      <x:c r="D387" s="9"/>
      <x:c r="E387" s="9"/>
      <x:c r="F387" s="9"/>
      <x:c r="G387" s="6" t="str">
        <x:f>IF(D387="","",D387)</x:f>
      </x:c>
      <x:c r="H387" s="9"/>
      <x:c r="I387" s="9"/>
      <x:c r="J387" s="9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9"/>
      <x:c r="B388" s="43"/>
      <x:c r="C388" s="9"/>
      <x:c r="D388" s="9"/>
      <x:c r="E388" s="9"/>
      <x:c r="F388" s="9"/>
      <x:c r="G388" s="6" t="str">
        <x:f>IF(D388="","",D388)</x:f>
      </x:c>
      <x:c r="H388" s="9"/>
      <x:c r="I388" s="9"/>
      <x:c r="J388" s="9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9"/>
      <x:c r="B389" s="43"/>
      <x:c r="C389" s="9"/>
      <x:c r="D389" s="9"/>
      <x:c r="E389" s="9"/>
      <x:c r="F389" s="9"/>
      <x:c r="G389" s="6" t="str">
        <x:f>IF(D389="","",D389)</x:f>
      </x:c>
      <x:c r="H389" s="9"/>
      <x:c r="I389" s="9"/>
      <x:c r="J389" s="9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9"/>
      <x:c r="B390" s="43"/>
      <x:c r="C390" s="9"/>
      <x:c r="D390" s="9"/>
      <x:c r="E390" s="9"/>
      <x:c r="F390" s="9"/>
      <x:c r="G390" s="6" t="str">
        <x:f>IF(D390="","",D390)</x:f>
      </x:c>
      <x:c r="H390" s="9"/>
      <x:c r="I390" s="9"/>
      <x:c r="J390" s="9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9"/>
      <x:c r="B391" s="43"/>
      <x:c r="C391" s="9"/>
      <x:c r="D391" s="9"/>
      <x:c r="E391" s="9"/>
      <x:c r="F391" s="9"/>
      <x:c r="G391" s="6" t="str">
        <x:f>IF(D391="","",D391)</x:f>
      </x:c>
      <x:c r="H391" s="9"/>
      <x:c r="I391" s="9"/>
      <x:c r="J391" s="9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9"/>
      <x:c r="B392" s="43"/>
      <x:c r="C392" s="9"/>
      <x:c r="D392" s="9"/>
      <x:c r="E392" s="9"/>
      <x:c r="F392" s="9"/>
      <x:c r="G392" s="6" t="str">
        <x:f>IF(D392="","",D392)</x:f>
      </x:c>
      <x:c r="H392" s="9"/>
      <x:c r="I392" s="9"/>
      <x:c r="J392" s="9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9"/>
      <x:c r="B393" s="43"/>
      <x:c r="C393" s="9"/>
      <x:c r="D393" s="9"/>
      <x:c r="E393" s="9"/>
      <x:c r="F393" s="9"/>
      <x:c r="G393" s="6" t="str">
        <x:f>IF(D393="","",D393)</x:f>
      </x:c>
      <x:c r="H393" s="9"/>
      <x:c r="I393" s="9"/>
      <x:c r="J393" s="9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9"/>
      <x:c r="B394" s="43"/>
      <x:c r="C394" s="9"/>
      <x:c r="D394" s="9"/>
      <x:c r="E394" s="9"/>
      <x:c r="F394" s="9"/>
      <x:c r="G394" s="6" t="str">
        <x:f>IF(D394="","",D394)</x:f>
      </x:c>
      <x:c r="H394" s="9"/>
      <x:c r="I394" s="9"/>
      <x:c r="J394" s="9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9"/>
      <x:c r="B395" s="43"/>
      <x:c r="C395" s="9"/>
      <x:c r="D395" s="9"/>
      <x:c r="E395" s="9"/>
      <x:c r="F395" s="9"/>
      <x:c r="G395" s="6" t="str">
        <x:f>IF(D395="","",D395)</x:f>
      </x:c>
      <x:c r="H395" s="9"/>
      <x:c r="I395" s="9"/>
      <x:c r="J395" s="9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9"/>
      <x:c r="B396" s="43"/>
      <x:c r="C396" s="9"/>
      <x:c r="D396" s="9"/>
      <x:c r="E396" s="9"/>
      <x:c r="F396" s="9"/>
      <x:c r="G396" s="6" t="str">
        <x:f>IF(D396="","",D396)</x:f>
      </x:c>
      <x:c r="H396" s="9"/>
      <x:c r="I396" s="9"/>
      <x:c r="J396" s="9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9"/>
      <x:c r="B397" s="43"/>
      <x:c r="C397" s="9"/>
      <x:c r="D397" s="9"/>
      <x:c r="E397" s="9"/>
      <x:c r="F397" s="9"/>
      <x:c r="G397" s="6" t="str">
        <x:f>IF(D397="","",D397)</x:f>
      </x:c>
      <x:c r="H397" s="9"/>
      <x:c r="I397" s="9"/>
      <x:c r="J397" s="9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9"/>
      <x:c r="B398" s="43"/>
      <x:c r="C398" s="9"/>
      <x:c r="D398" s="9"/>
      <x:c r="E398" s="9"/>
      <x:c r="F398" s="9"/>
      <x:c r="G398" s="6" t="str">
        <x:f>IF(D398="","",D398)</x:f>
      </x:c>
      <x:c r="H398" s="9"/>
      <x:c r="I398" s="9"/>
      <x:c r="J398" s="9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9"/>
      <x:c r="B399" s="43"/>
      <x:c r="C399" s="9"/>
      <x:c r="D399" s="9"/>
      <x:c r="E399" s="9"/>
      <x:c r="F399" s="9"/>
      <x:c r="G399" s="6" t="str">
        <x:f>IF(D399="","",D399)</x:f>
      </x:c>
      <x:c r="H399" s="9"/>
      <x:c r="I399" s="9"/>
      <x:c r="J399" s="9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9"/>
      <x:c r="B400" s="43"/>
      <x:c r="C400" s="9"/>
      <x:c r="D400" s="9"/>
      <x:c r="E400" s="9"/>
      <x:c r="F400" s="9"/>
      <x:c r="G400" s="6" t="str">
        <x:f>IF(D400="","",D400)</x:f>
      </x:c>
      <x:c r="H400" s="9"/>
      <x:c r="I400" s="9"/>
      <x:c r="J400" s="9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9"/>
      <x:c r="B401" s="43"/>
      <x:c r="C401" s="9"/>
      <x:c r="D401" s="9"/>
      <x:c r="E401" s="9"/>
      <x:c r="F401" s="9"/>
      <x:c r="G401" s="6" t="str">
        <x:f>IF(D401="","",D401)</x:f>
      </x:c>
      <x:c r="H401" s="9"/>
      <x:c r="I401" s="9"/>
      <x:c r="J401" s="9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9"/>
      <x:c r="B402" s="43"/>
      <x:c r="C402" s="9"/>
      <x:c r="D402" s="9"/>
      <x:c r="E402" s="9"/>
      <x:c r="F402" s="9"/>
      <x:c r="G402" s="6" t="str">
        <x:f>IF(D402="","",D402)</x:f>
      </x:c>
      <x:c r="H402" s="9"/>
      <x:c r="I402" s="9"/>
      <x:c r="J402" s="9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9"/>
      <x:c r="B403" s="43"/>
      <x:c r="C403" s="9"/>
      <x:c r="D403" s="9"/>
      <x:c r="E403" s="9"/>
      <x:c r="F403" s="9"/>
      <x:c r="G403" s="6" t="str">
        <x:f>IF(D403="","",D403)</x:f>
      </x:c>
      <x:c r="H403" s="9"/>
      <x:c r="I403" s="9"/>
      <x:c r="J403" s="9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9"/>
      <x:c r="B404" s="43"/>
      <x:c r="C404" s="9"/>
      <x:c r="D404" s="9"/>
      <x:c r="E404" s="9"/>
      <x:c r="F404" s="9"/>
      <x:c r="G404" s="6" t="str">
        <x:f>IF(D404="","",D404)</x:f>
      </x:c>
      <x:c r="H404" s="9"/>
      <x:c r="I404" s="9"/>
      <x:c r="J404" s="9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9"/>
      <x:c r="B405" s="43"/>
      <x:c r="C405" s="9"/>
      <x:c r="D405" s="9"/>
      <x:c r="E405" s="9"/>
      <x:c r="F405" s="9"/>
      <x:c r="G405" s="6" t="str">
        <x:f>IF(D405="","",D405)</x:f>
      </x:c>
      <x:c r="H405" s="9"/>
      <x:c r="I405" s="9"/>
      <x:c r="J405" s="9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9"/>
      <x:c r="B406" s="43"/>
      <x:c r="C406" s="9"/>
      <x:c r="D406" s="9"/>
      <x:c r="E406" s="9"/>
      <x:c r="F406" s="9"/>
      <x:c r="G406" s="6" t="str">
        <x:f>IF(D406="","",D406)</x:f>
      </x:c>
      <x:c r="H406" s="9"/>
      <x:c r="I406" s="9"/>
      <x:c r="J406" s="9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9"/>
      <x:c r="B407" s="43"/>
      <x:c r="C407" s="9"/>
      <x:c r="D407" s="9"/>
      <x:c r="E407" s="9"/>
      <x:c r="F407" s="9"/>
      <x:c r="G407" s="6" t="str">
        <x:f>IF(D407="","",D407)</x:f>
      </x:c>
      <x:c r="H407" s="9"/>
      <x:c r="I407" s="9"/>
      <x:c r="J407" s="9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9"/>
      <x:c r="B408" s="43"/>
      <x:c r="C408" s="9"/>
      <x:c r="D408" s="9"/>
      <x:c r="E408" s="9"/>
      <x:c r="F408" s="9"/>
      <x:c r="G408" s="6" t="str">
        <x:f>IF(D408="","",D408)</x:f>
      </x:c>
      <x:c r="H408" s="9"/>
      <x:c r="I408" s="9"/>
      <x:c r="J408" s="9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9"/>
      <x:c r="B409" s="43"/>
      <x:c r="C409" s="9"/>
      <x:c r="D409" s="9"/>
      <x:c r="E409" s="9"/>
      <x:c r="F409" s="9"/>
      <x:c r="G409" s="6" t="str">
        <x:f>IF(D409="","",D409)</x:f>
      </x:c>
      <x:c r="H409" s="9"/>
      <x:c r="I409" s="9"/>
      <x:c r="J409" s="9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9"/>
      <x:c r="B410" s="43"/>
      <x:c r="C410" s="9"/>
      <x:c r="D410" s="9"/>
      <x:c r="E410" s="9"/>
      <x:c r="F410" s="9"/>
      <x:c r="G410" s="6" t="str">
        <x:f>IF(D410="","",D410)</x:f>
      </x:c>
      <x:c r="H410" s="9"/>
      <x:c r="I410" s="9"/>
      <x:c r="J410" s="9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9"/>
      <x:c r="B411" s="43"/>
      <x:c r="C411" s="9"/>
      <x:c r="D411" s="9"/>
      <x:c r="E411" s="9"/>
      <x:c r="F411" s="9"/>
      <x:c r="G411" s="6" t="str">
        <x:f>IF(D411="","",D411)</x:f>
      </x:c>
      <x:c r="H411" s="9"/>
      <x:c r="I411" s="9"/>
      <x:c r="J411" s="9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9"/>
      <x:c r="B412" s="43"/>
      <x:c r="C412" s="9"/>
      <x:c r="D412" s="9"/>
      <x:c r="E412" s="9"/>
      <x:c r="F412" s="9"/>
      <x:c r="G412" s="6" t="str">
        <x:f>IF(D412="","",D412)</x:f>
      </x:c>
      <x:c r="H412" s="9"/>
      <x:c r="I412" s="9"/>
      <x:c r="J412" s="9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9"/>
      <x:c r="B413" s="43"/>
      <x:c r="C413" s="9"/>
      <x:c r="D413" s="9"/>
      <x:c r="E413" s="9"/>
      <x:c r="F413" s="9"/>
      <x:c r="G413" s="6" t="str">
        <x:f>IF(D413="","",D413)</x:f>
      </x:c>
      <x:c r="H413" s="9"/>
      <x:c r="I413" s="9"/>
      <x:c r="J413" s="9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9"/>
      <x:c r="B414" s="43"/>
      <x:c r="C414" s="9"/>
      <x:c r="D414" s="9"/>
      <x:c r="E414" s="9"/>
      <x:c r="F414" s="9"/>
      <x:c r="G414" s="6" t="str">
        <x:f>IF(D414="","",D414)</x:f>
      </x:c>
      <x:c r="H414" s="9"/>
      <x:c r="I414" s="9"/>
      <x:c r="J414" s="9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9"/>
      <x:c r="B415" s="43"/>
      <x:c r="C415" s="9"/>
      <x:c r="D415" s="9"/>
      <x:c r="E415" s="9"/>
      <x:c r="F415" s="9"/>
      <x:c r="G415" s="6" t="str">
        <x:f>IF(D415="","",D415)</x:f>
      </x:c>
      <x:c r="H415" s="9"/>
      <x:c r="I415" s="9"/>
      <x:c r="J415" s="9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9"/>
      <x:c r="B416" s="43"/>
      <x:c r="C416" s="9"/>
      <x:c r="D416" s="9"/>
      <x:c r="E416" s="9"/>
      <x:c r="F416" s="9"/>
      <x:c r="G416" s="6" t="str">
        <x:f>IF(D416="","",D416)</x:f>
      </x:c>
      <x:c r="H416" s="9"/>
      <x:c r="I416" s="9"/>
      <x:c r="J416" s="9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9"/>
      <x:c r="B417" s="43"/>
      <x:c r="C417" s="9"/>
      <x:c r="D417" s="9"/>
      <x:c r="E417" s="9"/>
      <x:c r="F417" s="9"/>
      <x:c r="G417" s="6" t="str">
        <x:f>IF(D417="","",D417)</x:f>
      </x:c>
      <x:c r="H417" s="9"/>
      <x:c r="I417" s="9"/>
      <x:c r="J417" s="9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9"/>
      <x:c r="B418" s="43"/>
      <x:c r="C418" s="9"/>
      <x:c r="D418" s="9"/>
      <x:c r="E418" s="9"/>
      <x:c r="F418" s="9"/>
      <x:c r="G418" s="6" t="str">
        <x:f>IF(D418="","",D418)</x:f>
      </x:c>
      <x:c r="H418" s="9"/>
      <x:c r="I418" s="9"/>
      <x:c r="J418" s="9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9"/>
      <x:c r="B419" s="43"/>
      <x:c r="C419" s="9"/>
      <x:c r="D419" s="9"/>
      <x:c r="E419" s="9"/>
      <x:c r="F419" s="9"/>
      <x:c r="G419" s="6" t="str">
        <x:f>IF(D419="","",D419)</x:f>
      </x:c>
      <x:c r="H419" s="9"/>
      <x:c r="I419" s="9"/>
      <x:c r="J419" s="9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9"/>
      <x:c r="B420" s="43"/>
      <x:c r="C420" s="9"/>
      <x:c r="D420" s="9"/>
      <x:c r="E420" s="9"/>
      <x:c r="F420" s="9"/>
      <x:c r="G420" s="6" t="str">
        <x:f>IF(D420="","",D420)</x:f>
      </x:c>
      <x:c r="H420" s="9"/>
      <x:c r="I420" s="9"/>
      <x:c r="J420" s="9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9"/>
      <x:c r="B421" s="43"/>
      <x:c r="C421" s="9"/>
      <x:c r="D421" s="9"/>
      <x:c r="E421" s="9"/>
      <x:c r="F421" s="9"/>
      <x:c r="G421" s="6" t="str">
        <x:f>IF(D421="","",D421)</x:f>
      </x:c>
      <x:c r="H421" s="9"/>
      <x:c r="I421" s="9"/>
      <x:c r="J421" s="9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9"/>
      <x:c r="B422" s="43"/>
      <x:c r="C422" s="9"/>
      <x:c r="D422" s="9"/>
      <x:c r="E422" s="9"/>
      <x:c r="F422" s="9"/>
      <x:c r="G422" s="6" t="str">
        <x:f>IF(D422="","",D422)</x:f>
      </x:c>
      <x:c r="H422" s="9"/>
      <x:c r="I422" s="9"/>
      <x:c r="J422" s="9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9"/>
      <x:c r="B423" s="43"/>
      <x:c r="C423" s="9"/>
      <x:c r="D423" s="9"/>
      <x:c r="E423" s="9"/>
      <x:c r="F423" s="9"/>
      <x:c r="G423" s="6" t="str">
        <x:f>IF(D423="","",D423)</x:f>
      </x:c>
      <x:c r="H423" s="9"/>
      <x:c r="I423" s="9"/>
      <x:c r="J423" s="9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9"/>
      <x:c r="B424" s="43"/>
      <x:c r="C424" s="9"/>
      <x:c r="D424" s="9"/>
      <x:c r="E424" s="9"/>
      <x:c r="F424" s="9"/>
      <x:c r="G424" s="6" t="str">
        <x:f>IF(D424="","",D424)</x:f>
      </x:c>
      <x:c r="H424" s="9"/>
      <x:c r="I424" s="9"/>
      <x:c r="J424" s="9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9"/>
      <x:c r="B425" s="43"/>
      <x:c r="C425" s="9"/>
      <x:c r="D425" s="9"/>
      <x:c r="E425" s="9"/>
      <x:c r="F425" s="9"/>
      <x:c r="G425" s="6" t="str">
        <x:f>IF(D425="","",D425)</x:f>
      </x:c>
      <x:c r="H425" s="9"/>
      <x:c r="I425" s="9"/>
      <x:c r="J425" s="9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9"/>
      <x:c r="B426" s="43"/>
      <x:c r="C426" s="9"/>
      <x:c r="D426" s="9"/>
      <x:c r="E426" s="9"/>
      <x:c r="F426" s="9"/>
      <x:c r="G426" s="6" t="str">
        <x:f>IF(D426="","",D426)</x:f>
      </x:c>
      <x:c r="H426" s="9"/>
      <x:c r="I426" s="9"/>
      <x:c r="J426" s="9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9"/>
      <x:c r="B427" s="43"/>
      <x:c r="C427" s="9"/>
      <x:c r="D427" s="9"/>
      <x:c r="E427" s="9"/>
      <x:c r="F427" s="9"/>
      <x:c r="G427" s="6" t="str">
        <x:f>IF(D427="","",D427)</x:f>
      </x:c>
      <x:c r="H427" s="9"/>
      <x:c r="I427" s="9"/>
      <x:c r="J427" s="9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9"/>
      <x:c r="B428" s="43"/>
      <x:c r="C428" s="9"/>
      <x:c r="D428" s="9"/>
      <x:c r="E428" s="9"/>
      <x:c r="F428" s="9"/>
      <x:c r="G428" s="6" t="str">
        <x:f>IF(D428="","",D428)</x:f>
      </x:c>
      <x:c r="H428" s="9"/>
      <x:c r="I428" s="9"/>
      <x:c r="J428" s="9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9"/>
      <x:c r="B429" s="43"/>
      <x:c r="C429" s="9"/>
      <x:c r="D429" s="9"/>
      <x:c r="E429" s="9"/>
      <x:c r="F429" s="9"/>
      <x:c r="G429" s="6" t="str">
        <x:f>IF(D429="","",D429)</x:f>
      </x:c>
      <x:c r="H429" s="9"/>
      <x:c r="I429" s="9"/>
      <x:c r="J429" s="9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9"/>
      <x:c r="B430" s="43"/>
      <x:c r="C430" s="9"/>
      <x:c r="D430" s="9"/>
      <x:c r="E430" s="9"/>
      <x:c r="F430" s="9"/>
      <x:c r="G430" s="6" t="str">
        <x:f>IF(D430="","",D430)</x:f>
      </x:c>
      <x:c r="H430" s="9"/>
      <x:c r="I430" s="9"/>
      <x:c r="J430" s="9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9"/>
      <x:c r="B431" s="43"/>
      <x:c r="C431" s="9"/>
      <x:c r="D431" s="9"/>
      <x:c r="E431" s="9"/>
      <x:c r="F431" s="9"/>
      <x:c r="G431" s="6" t="str">
        <x:f>IF(D431="","",D431)</x:f>
      </x:c>
      <x:c r="H431" s="9"/>
      <x:c r="I431" s="9"/>
      <x:c r="J431" s="9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9"/>
      <x:c r="B432" s="43"/>
      <x:c r="C432" s="9"/>
      <x:c r="D432" s="9"/>
      <x:c r="E432" s="9"/>
      <x:c r="F432" s="9"/>
      <x:c r="G432" s="6" t="str">
        <x:f>IF(D432="","",D432)</x:f>
      </x:c>
      <x:c r="H432" s="9"/>
      <x:c r="I432" s="9"/>
      <x:c r="J432" s="9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9"/>
      <x:c r="B433" s="43"/>
      <x:c r="C433" s="9"/>
      <x:c r="D433" s="9"/>
      <x:c r="E433" s="9"/>
      <x:c r="F433" s="9"/>
      <x:c r="G433" s="6" t="str">
        <x:f>IF(D433="","",D433)</x:f>
      </x:c>
      <x:c r="H433" s="9"/>
      <x:c r="I433" s="9"/>
      <x:c r="J433" s="9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9"/>
      <x:c r="B434" s="43"/>
      <x:c r="C434" s="9"/>
      <x:c r="D434" s="9"/>
      <x:c r="E434" s="9"/>
      <x:c r="F434" s="9"/>
      <x:c r="G434" s="6" t="str">
        <x:f>IF(D434="","",D434)</x:f>
      </x:c>
      <x:c r="H434" s="9"/>
      <x:c r="I434" s="9"/>
      <x:c r="J434" s="9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9"/>
      <x:c r="B435" s="43"/>
      <x:c r="C435" s="9"/>
      <x:c r="D435" s="9"/>
      <x:c r="E435" s="9"/>
      <x:c r="F435" s="9"/>
      <x:c r="G435" s="6" t="str">
        <x:f>IF(D435="","",D435)</x:f>
      </x:c>
      <x:c r="H435" s="9"/>
      <x:c r="I435" s="9"/>
      <x:c r="J435" s="9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9"/>
      <x:c r="B436" s="43"/>
      <x:c r="C436" s="9"/>
      <x:c r="D436" s="9"/>
      <x:c r="E436" s="9"/>
      <x:c r="F436" s="9"/>
      <x:c r="G436" s="6" t="str">
        <x:f>IF(D436="","",D436)</x:f>
      </x:c>
      <x:c r="H436" s="9"/>
      <x:c r="I436" s="9"/>
      <x:c r="J436" s="9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9"/>
      <x:c r="B437" s="43"/>
      <x:c r="C437" s="9"/>
      <x:c r="D437" s="9"/>
      <x:c r="E437" s="9"/>
      <x:c r="F437" s="9"/>
      <x:c r="G437" s="6" t="str">
        <x:f>IF(D437="","",D437)</x:f>
      </x:c>
      <x:c r="H437" s="9"/>
      <x:c r="I437" s="9"/>
      <x:c r="J437" s="9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9"/>
      <x:c r="B438" s="43"/>
      <x:c r="C438" s="9"/>
      <x:c r="D438" s="9"/>
      <x:c r="E438" s="9"/>
      <x:c r="F438" s="9"/>
      <x:c r="G438" s="6" t="str">
        <x:f>IF(D438="","",D438)</x:f>
      </x:c>
      <x:c r="H438" s="9"/>
      <x:c r="I438" s="9"/>
      <x:c r="J438" s="9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9"/>
      <x:c r="B439" s="43"/>
      <x:c r="C439" s="9"/>
      <x:c r="D439" s="9"/>
      <x:c r="E439" s="9"/>
      <x:c r="F439" s="9"/>
      <x:c r="G439" s="6" t="str">
        <x:f>IF(D439="","",D439)</x:f>
      </x:c>
      <x:c r="H439" s="9"/>
      <x:c r="I439" s="9"/>
      <x:c r="J439" s="9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9"/>
      <x:c r="B440" s="43"/>
      <x:c r="C440" s="9"/>
      <x:c r="D440" s="9"/>
      <x:c r="E440" s="9"/>
      <x:c r="F440" s="9"/>
      <x:c r="G440" s="6" t="str">
        <x:f>IF(D440="","",D440)</x:f>
      </x:c>
      <x:c r="H440" s="9"/>
      <x:c r="I440" s="9"/>
      <x:c r="J440" s="9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9"/>
      <x:c r="B441" s="43"/>
      <x:c r="C441" s="9"/>
      <x:c r="D441" s="9"/>
      <x:c r="E441" s="9"/>
      <x:c r="F441" s="9"/>
      <x:c r="G441" s="6" t="str">
        <x:f>IF(D441="","",D441)</x:f>
      </x:c>
      <x:c r="H441" s="9"/>
      <x:c r="I441" s="9"/>
      <x:c r="J441" s="9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9"/>
      <x:c r="B442" s="43"/>
      <x:c r="C442" s="9"/>
      <x:c r="D442" s="9"/>
      <x:c r="E442" s="9"/>
      <x:c r="F442" s="9"/>
      <x:c r="G442" s="6" t="str">
        <x:f>IF(D442="","",D442)</x:f>
      </x:c>
      <x:c r="H442" s="9"/>
      <x:c r="I442" s="9"/>
      <x:c r="J442" s="9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9"/>
      <x:c r="B443" s="43"/>
      <x:c r="C443" s="9"/>
      <x:c r="D443" s="9"/>
      <x:c r="E443" s="9"/>
      <x:c r="F443" s="9"/>
      <x:c r="G443" s="6" t="str">
        <x:f>IF(D443="","",D443)</x:f>
      </x:c>
      <x:c r="H443" s="9"/>
      <x:c r="I443" s="9"/>
      <x:c r="J443" s="9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9"/>
      <x:c r="B444" s="43"/>
      <x:c r="C444" s="9"/>
      <x:c r="D444" s="9"/>
      <x:c r="E444" s="9"/>
      <x:c r="F444" s="9"/>
      <x:c r="G444" s="6" t="str">
        <x:f>IF(D444="","",D444)</x:f>
      </x:c>
      <x:c r="H444" s="9"/>
      <x:c r="I444" s="9"/>
      <x:c r="J444" s="9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9"/>
      <x:c r="B445" s="43"/>
      <x:c r="C445" s="9"/>
      <x:c r="D445" s="9"/>
      <x:c r="E445" s="9"/>
      <x:c r="F445" s="9"/>
      <x:c r="G445" s="6" t="str">
        <x:f>IF(D445="","",D445)</x:f>
      </x:c>
      <x:c r="H445" s="9"/>
      <x:c r="I445" s="9"/>
      <x:c r="J445" s="9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9"/>
      <x:c r="B446" s="43"/>
      <x:c r="C446" s="9"/>
      <x:c r="D446" s="9"/>
      <x:c r="E446" s="9"/>
      <x:c r="F446" s="9"/>
      <x:c r="G446" s="6" t="str">
        <x:f>IF(D446="","",D446)</x:f>
      </x:c>
      <x:c r="H446" s="9"/>
      <x:c r="I446" s="9"/>
      <x:c r="J446" s="9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9"/>
      <x:c r="B447" s="43"/>
      <x:c r="C447" s="9"/>
      <x:c r="D447" s="9"/>
      <x:c r="E447" s="9"/>
      <x:c r="F447" s="9"/>
      <x:c r="G447" s="6" t="str">
        <x:f>IF(D447="","",D447)</x:f>
      </x:c>
      <x:c r="H447" s="9"/>
      <x:c r="I447" s="9"/>
      <x:c r="J447" s="9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9"/>
      <x:c r="B448" s="43"/>
      <x:c r="C448" s="9"/>
      <x:c r="D448" s="9"/>
      <x:c r="E448" s="9"/>
      <x:c r="F448" s="9"/>
      <x:c r="G448" s="6" t="str">
        <x:f>IF(D448="","",D448)</x:f>
      </x:c>
      <x:c r="H448" s="9"/>
      <x:c r="I448" s="9"/>
      <x:c r="J448" s="9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9"/>
      <x:c r="B449" s="43"/>
      <x:c r="C449" s="9"/>
      <x:c r="D449" s="9"/>
      <x:c r="E449" s="9"/>
      <x:c r="F449" s="9"/>
      <x:c r="G449" s="6" t="str">
        <x:f>IF(D449="","",D449)</x:f>
      </x:c>
      <x:c r="H449" s="9"/>
      <x:c r="I449" s="9"/>
      <x:c r="J449" s="9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9"/>
      <x:c r="B450" s="43"/>
      <x:c r="C450" s="9"/>
      <x:c r="D450" s="9"/>
      <x:c r="E450" s="9"/>
      <x:c r="F450" s="9"/>
      <x:c r="G450" s="6" t="str">
        <x:f>IF(D450="","",D450)</x:f>
      </x:c>
      <x:c r="H450" s="9"/>
      <x:c r="I450" s="9"/>
      <x:c r="J450" s="9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9"/>
      <x:c r="B451" s="43"/>
      <x:c r="C451" s="9"/>
      <x:c r="D451" s="9"/>
      <x:c r="E451" s="9"/>
      <x:c r="F451" s="9"/>
      <x:c r="G451" s="6" t="str">
        <x:f>IF(D451="","",D451)</x:f>
      </x:c>
      <x:c r="H451" s="9"/>
      <x:c r="I451" s="9"/>
      <x:c r="J451" s="9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9"/>
      <x:c r="B452" s="43"/>
      <x:c r="C452" s="9"/>
      <x:c r="D452" s="9"/>
      <x:c r="E452" s="9"/>
      <x:c r="F452" s="9"/>
      <x:c r="G452" s="6" t="str">
        <x:f>IF(D452="","",D452)</x:f>
      </x:c>
      <x:c r="H452" s="9"/>
      <x:c r="I452" s="9"/>
      <x:c r="J452" s="9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9"/>
      <x:c r="B453" s="43"/>
      <x:c r="C453" s="9"/>
      <x:c r="D453" s="9"/>
      <x:c r="E453" s="9"/>
      <x:c r="F453" s="9"/>
      <x:c r="G453" s="6" t="str">
        <x:f>IF(D453="","",D453)</x:f>
      </x:c>
      <x:c r="H453" s="9"/>
      <x:c r="I453" s="9"/>
      <x:c r="J453" s="9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9"/>
      <x:c r="B454" s="43"/>
      <x:c r="C454" s="9"/>
      <x:c r="D454" s="9"/>
      <x:c r="E454" s="9"/>
      <x:c r="F454" s="9"/>
      <x:c r="G454" s="6" t="str">
        <x:f>IF(D454="","",D454)</x:f>
      </x:c>
      <x:c r="H454" s="9"/>
      <x:c r="I454" s="9"/>
      <x:c r="J454" s="9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9"/>
      <x:c r="B455" s="43"/>
      <x:c r="C455" s="9"/>
      <x:c r="D455" s="9"/>
      <x:c r="E455" s="9"/>
      <x:c r="F455" s="9"/>
      <x:c r="G455" s="6" t="str">
        <x:f>IF(D455="","",D455)</x:f>
      </x:c>
      <x:c r="H455" s="9"/>
      <x:c r="I455" s="9"/>
      <x:c r="J455" s="9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9"/>
      <x:c r="B456" s="43"/>
      <x:c r="C456" s="9"/>
      <x:c r="D456" s="9"/>
      <x:c r="E456" s="9"/>
      <x:c r="F456" s="9"/>
      <x:c r="G456" s="6" t="str">
        <x:f>IF(D456="","",D456)</x:f>
      </x:c>
      <x:c r="H456" s="9"/>
      <x:c r="I456" s="9"/>
      <x:c r="J456" s="9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9"/>
      <x:c r="B457" s="43"/>
      <x:c r="C457" s="9"/>
      <x:c r="D457" s="9"/>
      <x:c r="E457" s="9"/>
      <x:c r="F457" s="9"/>
      <x:c r="G457" s="6" t="str">
        <x:f>IF(D457="","",D457)</x:f>
      </x:c>
      <x:c r="H457" s="9"/>
      <x:c r="I457" s="9"/>
      <x:c r="J457" s="9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9"/>
      <x:c r="B458" s="43"/>
      <x:c r="C458" s="9"/>
      <x:c r="D458" s="9"/>
      <x:c r="E458" s="9"/>
      <x:c r="F458" s="9"/>
      <x:c r="G458" s="6" t="str">
        <x:f>IF(D458="","",D458)</x:f>
      </x:c>
      <x:c r="H458" s="9"/>
      <x:c r="I458" s="9"/>
      <x:c r="J458" s="9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9"/>
      <x:c r="B459" s="43"/>
      <x:c r="C459" s="9"/>
      <x:c r="D459" s="9"/>
      <x:c r="E459" s="9"/>
      <x:c r="F459" s="9"/>
      <x:c r="G459" s="6" t="str">
        <x:f>IF(D459="","",D459)</x:f>
      </x:c>
      <x:c r="H459" s="9"/>
      <x:c r="I459" s="9"/>
      <x:c r="J459" s="9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9"/>
      <x:c r="B460" s="43"/>
      <x:c r="C460" s="9"/>
      <x:c r="D460" s="9"/>
      <x:c r="E460" s="9"/>
      <x:c r="F460" s="9"/>
      <x:c r="G460" s="6" t="str">
        <x:f>IF(D460="","",D460)</x:f>
      </x:c>
      <x:c r="H460" s="9"/>
      <x:c r="I460" s="9"/>
      <x:c r="J460" s="9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9"/>
      <x:c r="B461" s="43"/>
      <x:c r="C461" s="9"/>
      <x:c r="D461" s="9"/>
      <x:c r="E461" s="9"/>
      <x:c r="F461" s="9"/>
      <x:c r="G461" s="6" t="str">
        <x:f>IF(D461="","",D461)</x:f>
      </x:c>
      <x:c r="H461" s="9"/>
      <x:c r="I461" s="9"/>
      <x:c r="J461" s="9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9"/>
      <x:c r="B462" s="43"/>
      <x:c r="C462" s="9"/>
      <x:c r="D462" s="9"/>
      <x:c r="E462" s="9"/>
      <x:c r="F462" s="9"/>
      <x:c r="G462" s="6" t="str">
        <x:f>IF(D462="","",D462)</x:f>
      </x:c>
      <x:c r="H462" s="9"/>
      <x:c r="I462" s="9"/>
      <x:c r="J462" s="9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9"/>
      <x:c r="B463" s="43"/>
      <x:c r="C463" s="9"/>
      <x:c r="D463" s="9"/>
      <x:c r="E463" s="9"/>
      <x:c r="F463" s="9"/>
      <x:c r="G463" s="6" t="str">
        <x:f>IF(D463="","",D463)</x:f>
      </x:c>
      <x:c r="H463" s="9"/>
      <x:c r="I463" s="9"/>
      <x:c r="J463" s="9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9"/>
      <x:c r="B464" s="43"/>
      <x:c r="C464" s="9"/>
      <x:c r="D464" s="9"/>
      <x:c r="E464" s="9"/>
      <x:c r="F464" s="9"/>
      <x:c r="G464" s="6" t="str">
        <x:f>IF(D464="","",D464)</x:f>
      </x:c>
      <x:c r="H464" s="9"/>
      <x:c r="I464" s="9"/>
      <x:c r="J464" s="9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9"/>
      <x:c r="B465" s="43"/>
      <x:c r="C465" s="9"/>
      <x:c r="D465" s="9"/>
      <x:c r="E465" s="9"/>
      <x:c r="F465" s="9"/>
      <x:c r="G465" s="6" t="str">
        <x:f>IF(D465="","",D465)</x:f>
      </x:c>
      <x:c r="H465" s="9"/>
      <x:c r="I465" s="9"/>
      <x:c r="J465" s="9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9"/>
      <x:c r="B466" s="43"/>
      <x:c r="C466" s="9"/>
      <x:c r="D466" s="9"/>
      <x:c r="E466" s="9"/>
      <x:c r="F466" s="9"/>
      <x:c r="G466" s="6" t="str">
        <x:f>IF(D466="","",D466)</x:f>
      </x:c>
      <x:c r="H466" s="9"/>
      <x:c r="I466" s="9"/>
      <x:c r="J466" s="9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9"/>
      <x:c r="B467" s="43"/>
      <x:c r="C467" s="9"/>
      <x:c r="D467" s="9"/>
      <x:c r="E467" s="9"/>
      <x:c r="F467" s="9"/>
      <x:c r="G467" s="6" t="str">
        <x:f>IF(D467="","",D467)</x:f>
      </x:c>
      <x:c r="H467" s="9"/>
      <x:c r="I467" s="9"/>
      <x:c r="J467" s="9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9"/>
      <x:c r="B468" s="43"/>
      <x:c r="C468" s="9"/>
      <x:c r="D468" s="9"/>
      <x:c r="E468" s="9"/>
      <x:c r="F468" s="9"/>
      <x:c r="G468" s="6" t="str">
        <x:f>IF(D468="","",D468)</x:f>
      </x:c>
      <x:c r="H468" s="9"/>
      <x:c r="I468" s="9"/>
      <x:c r="J468" s="9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9"/>
      <x:c r="B469" s="43"/>
      <x:c r="C469" s="9"/>
      <x:c r="D469" s="9"/>
      <x:c r="E469" s="9"/>
      <x:c r="F469" s="9"/>
      <x:c r="G469" s="6" t="str">
        <x:f>IF(D469="","",D469)</x:f>
      </x:c>
      <x:c r="H469" s="9"/>
      <x:c r="I469" s="9"/>
      <x:c r="J469" s="9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9"/>
      <x:c r="B470" s="43"/>
      <x:c r="C470" s="9"/>
      <x:c r="D470" s="9"/>
      <x:c r="E470" s="9"/>
      <x:c r="F470" s="9"/>
      <x:c r="G470" s="6" t="str">
        <x:f>IF(D470="","",D470)</x:f>
      </x:c>
      <x:c r="H470" s="9"/>
      <x:c r="I470" s="9"/>
      <x:c r="J470" s="9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9"/>
      <x:c r="B471" s="43"/>
      <x:c r="C471" s="9"/>
      <x:c r="D471" s="9"/>
      <x:c r="E471" s="9"/>
      <x:c r="F471" s="9"/>
      <x:c r="G471" s="6" t="str">
        <x:f>IF(D471="","",D471)</x:f>
      </x:c>
      <x:c r="H471" s="9"/>
      <x:c r="I471" s="9"/>
      <x:c r="J471" s="9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9"/>
      <x:c r="B472" s="43"/>
      <x:c r="C472" s="9"/>
      <x:c r="D472" s="9"/>
      <x:c r="E472" s="9"/>
      <x:c r="F472" s="9"/>
      <x:c r="G472" s="6" t="str">
        <x:f>IF(D472="","",D472)</x:f>
      </x:c>
      <x:c r="H472" s="9"/>
      <x:c r="I472" s="9"/>
      <x:c r="J472" s="9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9"/>
      <x:c r="B473" s="43"/>
      <x:c r="C473" s="9"/>
      <x:c r="D473" s="9"/>
      <x:c r="E473" s="9"/>
      <x:c r="F473" s="9"/>
      <x:c r="G473" s="6" t="str">
        <x:f>IF(D473="","",D473)</x:f>
      </x:c>
      <x:c r="H473" s="9"/>
      <x:c r="I473" s="9"/>
      <x:c r="J473" s="9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9"/>
      <x:c r="B474" s="43"/>
      <x:c r="C474" s="9"/>
      <x:c r="D474" s="9"/>
      <x:c r="E474" s="9"/>
      <x:c r="F474" s="9"/>
      <x:c r="G474" s="6" t="str">
        <x:f>IF(D474="","",D474)</x:f>
      </x:c>
      <x:c r="H474" s="9"/>
      <x:c r="I474" s="9"/>
      <x:c r="J474" s="9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9"/>
      <x:c r="B475" s="43"/>
      <x:c r="C475" s="9"/>
      <x:c r="D475" s="9"/>
      <x:c r="E475" s="9"/>
      <x:c r="F475" s="9"/>
      <x:c r="G475" s="6" t="str">
        <x:f>IF(D475="","",D475)</x:f>
      </x:c>
      <x:c r="H475" s="9"/>
      <x:c r="I475" s="9"/>
      <x:c r="J475" s="9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9"/>
      <x:c r="B476" s="43"/>
      <x:c r="C476" s="9"/>
      <x:c r="D476" s="9"/>
      <x:c r="E476" s="9"/>
      <x:c r="F476" s="9"/>
      <x:c r="G476" s="6" t="str">
        <x:f>IF(D476="","",D476)</x:f>
      </x:c>
      <x:c r="H476" s="9"/>
      <x:c r="I476" s="9"/>
      <x:c r="J476" s="9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9"/>
      <x:c r="B477" s="43"/>
      <x:c r="C477" s="9"/>
      <x:c r="D477" s="9"/>
      <x:c r="E477" s="9"/>
      <x:c r="F477" s="9"/>
      <x:c r="G477" s="6" t="str">
        <x:f>IF(D477="","",D477)</x:f>
      </x:c>
      <x:c r="H477" s="9"/>
      <x:c r="I477" s="9"/>
      <x:c r="J477" s="9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9"/>
      <x:c r="B478" s="43"/>
      <x:c r="C478" s="9"/>
      <x:c r="D478" s="9"/>
      <x:c r="E478" s="9"/>
      <x:c r="F478" s="9"/>
      <x:c r="G478" s="6" t="str">
        <x:f>IF(D478="","",D478)</x:f>
      </x:c>
      <x:c r="H478" s="9"/>
      <x:c r="I478" s="9"/>
      <x:c r="J478" s="9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9"/>
      <x:c r="B479" s="43"/>
      <x:c r="C479" s="9"/>
      <x:c r="D479" s="9"/>
      <x:c r="E479" s="9"/>
      <x:c r="F479" s="9"/>
      <x:c r="G479" s="6" t="str">
        <x:f>IF(D479="","",D479)</x:f>
      </x:c>
      <x:c r="H479" s="9"/>
      <x:c r="I479" s="9"/>
      <x:c r="J479" s="9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9"/>
      <x:c r="B480" s="43"/>
      <x:c r="C480" s="9"/>
      <x:c r="D480" s="9"/>
      <x:c r="E480" s="9"/>
      <x:c r="F480" s="9"/>
      <x:c r="G480" s="6" t="str">
        <x:f>IF(D480="","",D480)</x:f>
      </x:c>
      <x:c r="H480" s="9"/>
      <x:c r="I480" s="9"/>
      <x:c r="J480" s="9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9"/>
      <x:c r="B481" s="43"/>
      <x:c r="C481" s="9"/>
      <x:c r="D481" s="9"/>
      <x:c r="E481" s="9"/>
      <x:c r="F481" s="9"/>
      <x:c r="G481" s="6" t="str">
        <x:f>IF(D481="","",D481)</x:f>
      </x:c>
      <x:c r="H481" s="9"/>
      <x:c r="I481" s="9"/>
      <x:c r="J481" s="9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9"/>
      <x:c r="B482" s="43"/>
      <x:c r="C482" s="9"/>
      <x:c r="D482" s="9"/>
      <x:c r="E482" s="9"/>
      <x:c r="F482" s="9"/>
      <x:c r="G482" s="6" t="str">
        <x:f>IF(D482="","",D482)</x:f>
      </x:c>
      <x:c r="H482" s="9"/>
      <x:c r="I482" s="9"/>
      <x:c r="J482" s="9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9"/>
      <x:c r="B483" s="43"/>
      <x:c r="C483" s="9"/>
      <x:c r="D483" s="9"/>
      <x:c r="E483" s="9"/>
      <x:c r="F483" s="9"/>
      <x:c r="G483" s="6" t="str">
        <x:f>IF(D483="","",D483)</x:f>
      </x:c>
      <x:c r="H483" s="9"/>
      <x:c r="I483" s="9"/>
      <x:c r="J483" s="9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9"/>
      <x:c r="B484" s="43"/>
      <x:c r="C484" s="9"/>
      <x:c r="D484" s="9"/>
      <x:c r="E484" s="9"/>
      <x:c r="F484" s="9"/>
      <x:c r="G484" s="6" t="str">
        <x:f>IF(D484="","",D484)</x:f>
      </x:c>
      <x:c r="H484" s="9"/>
      <x:c r="I484" s="9"/>
      <x:c r="J484" s="9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9"/>
      <x:c r="B485" s="43"/>
      <x:c r="C485" s="9"/>
      <x:c r="D485" s="9"/>
      <x:c r="E485" s="9"/>
      <x:c r="F485" s="9"/>
      <x:c r="G485" s="6" t="str">
        <x:f>IF(D485="","",D485)</x:f>
      </x:c>
      <x:c r="H485" s="9"/>
      <x:c r="I485" s="9"/>
      <x:c r="J485" s="9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9"/>
      <x:c r="B486" s="43"/>
      <x:c r="C486" s="9"/>
      <x:c r="D486" s="9"/>
      <x:c r="E486" s="9"/>
      <x:c r="F486" s="9"/>
      <x:c r="G486" s="6" t="str">
        <x:f>IF(D486="","",D486)</x:f>
      </x:c>
      <x:c r="H486" s="9"/>
      <x:c r="I486" s="9"/>
      <x:c r="J486" s="9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9"/>
      <x:c r="B487" s="43"/>
      <x:c r="C487" s="9"/>
      <x:c r="D487" s="9"/>
      <x:c r="E487" s="9"/>
      <x:c r="F487" s="9"/>
      <x:c r="G487" s="6" t="str">
        <x:f>IF(D487="","",D487)</x:f>
      </x:c>
      <x:c r="H487" s="9"/>
      <x:c r="I487" s="9"/>
      <x:c r="J487" s="9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9"/>
      <x:c r="B488" s="43"/>
      <x:c r="C488" s="9"/>
      <x:c r="D488" s="9"/>
      <x:c r="E488" s="9"/>
      <x:c r="F488" s="9"/>
      <x:c r="G488" s="6" t="str">
        <x:f>IF(D488="","",D488)</x:f>
      </x:c>
      <x:c r="H488" s="9"/>
      <x:c r="I488" s="9"/>
      <x:c r="J488" s="9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9"/>
      <x:c r="B489" s="43"/>
      <x:c r="C489" s="9"/>
      <x:c r="D489" s="9"/>
      <x:c r="E489" s="9"/>
      <x:c r="F489" s="9"/>
      <x:c r="G489" s="6" t="str">
        <x:f>IF(D489="","",D489)</x:f>
      </x:c>
      <x:c r="H489" s="9"/>
      <x:c r="I489" s="9"/>
      <x:c r="J489" s="9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9"/>
      <x:c r="B490" s="43"/>
      <x:c r="C490" s="9"/>
      <x:c r="D490" s="9"/>
      <x:c r="E490" s="9"/>
      <x:c r="F490" s="9"/>
      <x:c r="G490" s="6" t="str">
        <x:f>IF(D490="","",D490)</x:f>
      </x:c>
      <x:c r="H490" s="9"/>
      <x:c r="I490" s="9"/>
      <x:c r="J490" s="9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9"/>
      <x:c r="B491" s="43"/>
      <x:c r="C491" s="9"/>
      <x:c r="D491" s="9"/>
      <x:c r="E491" s="9"/>
      <x:c r="F491" s="9"/>
      <x:c r="G491" s="6" t="str">
        <x:f>IF(D491="","",D491)</x:f>
      </x:c>
      <x:c r="H491" s="9"/>
      <x:c r="I491" s="9"/>
      <x:c r="J491" s="9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9"/>
      <x:c r="B492" s="43"/>
      <x:c r="C492" s="9"/>
      <x:c r="D492" s="9"/>
      <x:c r="E492" s="9"/>
      <x:c r="F492" s="9"/>
      <x:c r="G492" s="6" t="str">
        <x:f>IF(D492="","",D492)</x:f>
      </x:c>
      <x:c r="H492" s="9"/>
      <x:c r="I492" s="9"/>
      <x:c r="J492" s="9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9"/>
      <x:c r="B493" s="43"/>
      <x:c r="C493" s="9"/>
      <x:c r="D493" s="9"/>
      <x:c r="E493" s="9"/>
      <x:c r="F493" s="9"/>
      <x:c r="G493" s="6" t="str">
        <x:f>IF(D493="","",D493)</x:f>
      </x:c>
      <x:c r="H493" s="9"/>
      <x:c r="I493" s="9"/>
      <x:c r="J493" s="9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9"/>
      <x:c r="B494" s="43"/>
      <x:c r="C494" s="9"/>
      <x:c r="D494" s="9"/>
      <x:c r="E494" s="9"/>
      <x:c r="F494" s="9"/>
      <x:c r="G494" s="6" t="str">
        <x:f>IF(D494="","",D494)</x:f>
      </x:c>
      <x:c r="H494" s="9"/>
      <x:c r="I494" s="9"/>
      <x:c r="J494" s="9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9"/>
      <x:c r="B495" s="43"/>
      <x:c r="C495" s="9"/>
      <x:c r="D495" s="9"/>
      <x:c r="E495" s="9"/>
      <x:c r="F495" s="9"/>
      <x:c r="G495" s="6" t="str">
        <x:f>IF(D495="","",D495)</x:f>
      </x:c>
      <x:c r="H495" s="9"/>
      <x:c r="I495" s="9"/>
      <x:c r="J495" s="9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9"/>
      <x:c r="B496" s="43"/>
      <x:c r="C496" s="9"/>
      <x:c r="D496" s="9"/>
      <x:c r="E496" s="9"/>
      <x:c r="F496" s="9"/>
      <x:c r="G496" s="6" t="str">
        <x:f>IF(D496="","",D496)</x:f>
      </x:c>
      <x:c r="H496" s="9"/>
      <x:c r="I496" s="9"/>
      <x:c r="J496" s="9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9"/>
      <x:c r="B497" s="43"/>
      <x:c r="C497" s="9"/>
      <x:c r="D497" s="9"/>
      <x:c r="E497" s="9"/>
      <x:c r="F497" s="9"/>
      <x:c r="G497" s="6" t="str">
        <x:f>IF(D497="","",D497)</x:f>
      </x:c>
      <x:c r="H497" s="9"/>
      <x:c r="I497" s="9"/>
      <x:c r="J497" s="9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9"/>
      <x:c r="B498" s="43"/>
      <x:c r="C498" s="9"/>
      <x:c r="D498" s="9"/>
      <x:c r="E498" s="9"/>
      <x:c r="F498" s="9"/>
      <x:c r="G498" s="6" t="str">
        <x:f>IF(D498="","",D498)</x:f>
      </x:c>
      <x:c r="H498" s="9"/>
      <x:c r="I498" s="9"/>
      <x:c r="J498" s="9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9"/>
      <x:c r="B499" s="43"/>
      <x:c r="C499" s="9"/>
      <x:c r="D499" s="9"/>
      <x:c r="E499" s="9"/>
      <x:c r="F499" s="9"/>
      <x:c r="G499" s="6" t="str">
        <x:f>IF(D499="","",D499)</x:f>
      </x:c>
      <x:c r="H499" s="9"/>
      <x:c r="I499" s="9"/>
      <x:c r="J499" s="9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9"/>
      <x:c r="B500" s="43"/>
      <x:c r="C500" s="9"/>
      <x:c r="D500" s="9"/>
      <x:c r="E500" s="9"/>
      <x:c r="F500" s="9"/>
      <x:c r="G500" s="6" t="str">
        <x:f>IF(D500="","",D500)</x:f>
      </x:c>
      <x:c r="H500" s="9"/>
      <x:c r="I500" s="9"/>
      <x:c r="J500" s="9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9"/>
      <x:c r="B501" s="43"/>
      <x:c r="C501" s="9"/>
      <x:c r="D501" s="9"/>
      <x:c r="E501" s="9"/>
      <x:c r="F501" s="9"/>
      <x:c r="G501" s="6" t="str">
        <x:f>IF(D501="","",D501)</x:f>
      </x:c>
      <x:c r="H501" s="9"/>
      <x:c r="I501" s="9"/>
      <x:c r="J501" s="9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9"/>
      <x:c r="B502" s="43"/>
      <x:c r="C502" s="9"/>
      <x:c r="D502" s="9"/>
      <x:c r="E502" s="9"/>
      <x:c r="F502" s="9"/>
      <x:c r="G502" s="6" t="str">
        <x:f>IF(D502="","",D502)</x:f>
      </x:c>
      <x:c r="H502" s="9"/>
      <x:c r="I502" s="9"/>
      <x:c r="J502" s="9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9"/>
      <x:c r="B503" s="43"/>
      <x:c r="C503" s="9"/>
      <x:c r="D503" s="9"/>
      <x:c r="E503" s="9"/>
      <x:c r="F503" s="9"/>
      <x:c r="G503" s="6" t="str">
        <x:f>IF(D503="","",D503)</x:f>
      </x:c>
      <x:c r="H503" s="9"/>
      <x:c r="I503" s="9"/>
      <x:c r="J503" s="9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1"/>
      <x:c r="B504" s="44"/>
      <x:c r="C504" s="21"/>
      <x:c r="D504" s="21"/>
      <x:c r="E504" s="21"/>
      <x:c r="F504" s="21"/>
      <x:c r="G504" s="18" t="str">
        <x:f>IF(D504="","",D504)</x:f>
      </x:c>
      <x:c r="H504" s="21"/>
      <x:c r="I504" s="21"/>
      <x:c r="J504" s="21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</x:sheetData>
  <x:mergeCells>
    <x:mergeCell ref="A1:J1"/>
    <x:mergeCell ref="A2:J2"/>
  </x:mergeCells>
  <x:dataValidations count="2">
    <x:dataValidation type="list" sqref="H5:H504">
      <x:formula1>Lists!$A$5:$A$7</x:formula1>
    </x:dataValidation>
    <x:dataValidation type="list" sqref="I5:I504">
      <x:formula1>Lists!$B$5:$B$8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5" hidden="0" customWidth="1"/>
    <x:col min="3" max="3" width="15" hidden="0" customWidth="1"/>
    <x:col min="4" max="4" width="14" hidden="0" customWidth="1"/>
    <x:col min="5" max="5" width="27" hidden="0" customWidth="1"/>
    <x:col min="6" max="6" width="14" hidden="0" customWidth="1"/>
    <x:col min="7" max="7" width="15" hidden="0" customWidth="1"/>
    <x:col min="8" max="8" width="24" hidden="0" customWidth="1"/>
    <x:col min="9" max="9" width="15" hidden="0" customWidth="1"/>
    <x:col min="10" max="10" width="16" hidden="0" customWidth="1"/>
    <x:col min="11" max="11" width="28" hidden="0" customWidth="1"/>
  </x:cols>
  <x:sheetData>
    <x:row r="1" ht="25" customHeight="1">
      <x:c r="A1" s="3" t="str">
        <x:v>Enrollments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9" customHeight="1">
      <x:c r="A2" s="4" t="str">
        <x:v>Record course access separately from the Razorpay sale so learning access can be managed clearly.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53" t="str">
        <x:v>Enrollment ID</x:v>
      </x:c>
      <x:c r="B4" s="53" t="str">
        <x:v>Enrollment date</x:v>
      </x:c>
      <x:c r="C4" s="53" t="str">
        <x:v>Customer ID</x:v>
      </x:c>
      <x:c r="D4" s="53" t="str">
        <x:v>Course ID</x:v>
      </x:c>
      <x:c r="E4" s="53" t="str">
        <x:v>Course name</x:v>
      </x:c>
      <x:c r="F4" s="53" t="str">
        <x:v>Course price</x:v>
      </x:c>
      <x:c r="G4" s="53" t="str">
        <x:v>Payment status</x:v>
      </x:c>
      <x:c r="H4" s="53" t="str">
        <x:v>Payment ID</x:v>
      </x:c>
      <x:c r="I4" s="53" t="str">
        <x:v>Course access</x:v>
      </x:c>
      <x:c r="J4" s="53" t="str">
        <x:v>Login issued date</x:v>
      </x:c>
      <x:c r="K4" s="53" t="str">
        <x:v>Notes</x:v>
      </x:c>
      <x:c r="L4" s="54"/>
      <x:c r="M4" s="54"/>
      <x:c r="N4" s="54"/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</x:row>
    <x:row r="5">
      <x:c r="A5" s="9"/>
      <x:c r="B5" s="43"/>
      <x:c r="C5" s="9"/>
      <x:c r="D5" s="9"/>
      <x:c r="E5" s="6" t="str">
        <x:f>IF(D5="","",VLOOKUP(D5,Courses!$A$5:$G$10,2,FALSE))</x:f>
      </x:c>
      <x:c r="F5" s="47" t="str">
        <x:f>IF(D5="","",VLOOKUP(D5,Courses!$A$5:$G$10,3,FALSE))</x:f>
      </x:c>
      <x:c r="G5" s="9"/>
      <x:c r="H5" s="9"/>
      <x:c r="I5" s="9"/>
      <x:c r="J5" s="43"/>
      <x:c r="K5" s="9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9"/>
      <x:c r="B6" s="43"/>
      <x:c r="C6" s="9"/>
      <x:c r="D6" s="9"/>
      <x:c r="E6" s="6" t="str">
        <x:f>IF(D6="","",VLOOKUP(D6,Courses!$A$5:$G$10,2,FALSE))</x:f>
      </x:c>
      <x:c r="F6" s="47" t="str">
        <x:f>IF(D6="","",VLOOKUP(D6,Courses!$A$5:$G$10,3,FALSE))</x:f>
      </x:c>
      <x:c r="G6" s="9"/>
      <x:c r="H6" s="9"/>
      <x:c r="I6" s="9"/>
      <x:c r="J6" s="43"/>
      <x:c r="K6" s="9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9"/>
      <x:c r="B7" s="43"/>
      <x:c r="C7" s="9"/>
      <x:c r="D7" s="9"/>
      <x:c r="E7" s="6" t="str">
        <x:f>IF(D7="","",VLOOKUP(D7,Courses!$A$5:$G$10,2,FALSE))</x:f>
      </x:c>
      <x:c r="F7" s="47" t="str">
        <x:f>IF(D7="","",VLOOKUP(D7,Courses!$A$5:$G$10,3,FALSE))</x:f>
      </x:c>
      <x:c r="G7" s="9"/>
      <x:c r="H7" s="9"/>
      <x:c r="I7" s="9"/>
      <x:c r="J7" s="43"/>
      <x:c r="K7" s="9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9"/>
      <x:c r="B8" s="43"/>
      <x:c r="C8" s="9"/>
      <x:c r="D8" s="9"/>
      <x:c r="E8" s="6" t="str">
        <x:f>IF(D8="","",VLOOKUP(D8,Courses!$A$5:$G$10,2,FALSE))</x:f>
      </x:c>
      <x:c r="F8" s="47" t="str">
        <x:f>IF(D8="","",VLOOKUP(D8,Courses!$A$5:$G$10,3,FALSE))</x:f>
      </x:c>
      <x:c r="G8" s="9"/>
      <x:c r="H8" s="9"/>
      <x:c r="I8" s="9"/>
      <x:c r="J8" s="43"/>
      <x:c r="K8" s="9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9"/>
      <x:c r="B9" s="43"/>
      <x:c r="C9" s="9"/>
      <x:c r="D9" s="9"/>
      <x:c r="E9" s="6" t="str">
        <x:f>IF(D9="","",VLOOKUP(D9,Courses!$A$5:$G$10,2,FALSE))</x:f>
      </x:c>
      <x:c r="F9" s="47" t="str">
        <x:f>IF(D9="","",VLOOKUP(D9,Courses!$A$5:$G$10,3,FALSE))</x:f>
      </x:c>
      <x:c r="G9" s="9"/>
      <x:c r="H9" s="9"/>
      <x:c r="I9" s="9"/>
      <x:c r="J9" s="43"/>
      <x:c r="K9" s="9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9"/>
      <x:c r="B10" s="43"/>
      <x:c r="C10" s="9"/>
      <x:c r="D10" s="9"/>
      <x:c r="E10" s="6" t="str">
        <x:f>IF(D10="","",VLOOKUP(D10,Courses!$A$5:$G$10,2,FALSE))</x:f>
      </x:c>
      <x:c r="F10" s="47" t="str">
        <x:f>IF(D10="","",VLOOKUP(D10,Courses!$A$5:$G$10,3,FALSE))</x:f>
      </x:c>
      <x:c r="G10" s="9"/>
      <x:c r="H10" s="9"/>
      <x:c r="I10" s="9"/>
      <x:c r="J10" s="43"/>
      <x:c r="K10" s="9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9"/>
      <x:c r="B11" s="43"/>
      <x:c r="C11" s="9"/>
      <x:c r="D11" s="9"/>
      <x:c r="E11" s="6" t="str">
        <x:f>IF(D11="","",VLOOKUP(D11,Courses!$A$5:$G$10,2,FALSE))</x:f>
      </x:c>
      <x:c r="F11" s="47" t="str">
        <x:f>IF(D11="","",VLOOKUP(D11,Courses!$A$5:$G$10,3,FALSE))</x:f>
      </x:c>
      <x:c r="G11" s="9"/>
      <x:c r="H11" s="9"/>
      <x:c r="I11" s="9"/>
      <x:c r="J11" s="43"/>
      <x:c r="K11" s="9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9"/>
      <x:c r="B12" s="43"/>
      <x:c r="C12" s="9"/>
      <x:c r="D12" s="9"/>
      <x:c r="E12" s="6" t="str">
        <x:f>IF(D12="","",VLOOKUP(D12,Courses!$A$5:$G$10,2,FALSE))</x:f>
      </x:c>
      <x:c r="F12" s="47" t="str">
        <x:f>IF(D12="","",VLOOKUP(D12,Courses!$A$5:$G$10,3,FALSE))</x:f>
      </x:c>
      <x:c r="G12" s="9"/>
      <x:c r="H12" s="9"/>
      <x:c r="I12" s="9"/>
      <x:c r="J12" s="43"/>
      <x:c r="K12" s="9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9"/>
      <x:c r="B13" s="43"/>
      <x:c r="C13" s="9"/>
      <x:c r="D13" s="9"/>
      <x:c r="E13" s="6" t="str">
        <x:f>IF(D13="","",VLOOKUP(D13,Courses!$A$5:$G$10,2,FALSE))</x:f>
      </x:c>
      <x:c r="F13" s="47" t="str">
        <x:f>IF(D13="","",VLOOKUP(D13,Courses!$A$5:$G$10,3,FALSE))</x:f>
      </x:c>
      <x:c r="G13" s="9"/>
      <x:c r="H13" s="9"/>
      <x:c r="I13" s="9"/>
      <x:c r="J13" s="43"/>
      <x:c r="K13" s="9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9"/>
      <x:c r="B14" s="43"/>
      <x:c r="C14" s="9"/>
      <x:c r="D14" s="9"/>
      <x:c r="E14" s="6" t="str">
        <x:f>IF(D14="","",VLOOKUP(D14,Courses!$A$5:$G$10,2,FALSE))</x:f>
      </x:c>
      <x:c r="F14" s="47" t="str">
        <x:f>IF(D14="","",VLOOKUP(D14,Courses!$A$5:$G$10,3,FALSE))</x:f>
      </x:c>
      <x:c r="G14" s="9"/>
      <x:c r="H14" s="9"/>
      <x:c r="I14" s="9"/>
      <x:c r="J14" s="43"/>
      <x:c r="K14" s="9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9"/>
      <x:c r="B15" s="43"/>
      <x:c r="C15" s="9"/>
      <x:c r="D15" s="9"/>
      <x:c r="E15" s="6" t="str">
        <x:f>IF(D15="","",VLOOKUP(D15,Courses!$A$5:$G$10,2,FALSE))</x:f>
      </x:c>
      <x:c r="F15" s="47" t="str">
        <x:f>IF(D15="","",VLOOKUP(D15,Courses!$A$5:$G$10,3,FALSE))</x:f>
      </x:c>
      <x:c r="G15" s="9"/>
      <x:c r="H15" s="9"/>
      <x:c r="I15" s="9"/>
      <x:c r="J15" s="43"/>
      <x:c r="K15" s="9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9"/>
      <x:c r="B16" s="43"/>
      <x:c r="C16" s="9"/>
      <x:c r="D16" s="9"/>
      <x:c r="E16" s="6" t="str">
        <x:f>IF(D16="","",VLOOKUP(D16,Courses!$A$5:$G$10,2,FALSE))</x:f>
      </x:c>
      <x:c r="F16" s="47" t="str">
        <x:f>IF(D16="","",VLOOKUP(D16,Courses!$A$5:$G$10,3,FALSE))</x:f>
      </x:c>
      <x:c r="G16" s="9"/>
      <x:c r="H16" s="9"/>
      <x:c r="I16" s="9"/>
      <x:c r="J16" s="43"/>
      <x:c r="K16" s="9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9"/>
      <x:c r="B17" s="43"/>
      <x:c r="C17" s="9"/>
      <x:c r="D17" s="9"/>
      <x:c r="E17" s="6" t="str">
        <x:f>IF(D17="","",VLOOKUP(D17,Courses!$A$5:$G$10,2,FALSE))</x:f>
      </x:c>
      <x:c r="F17" s="47" t="str">
        <x:f>IF(D17="","",VLOOKUP(D17,Courses!$A$5:$G$10,3,FALSE))</x:f>
      </x:c>
      <x:c r="G17" s="9"/>
      <x:c r="H17" s="9"/>
      <x:c r="I17" s="9"/>
      <x:c r="J17" s="43"/>
      <x:c r="K17" s="9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9"/>
      <x:c r="B18" s="43"/>
      <x:c r="C18" s="9"/>
      <x:c r="D18" s="9"/>
      <x:c r="E18" s="6" t="str">
        <x:f>IF(D18="","",VLOOKUP(D18,Courses!$A$5:$G$10,2,FALSE))</x:f>
      </x:c>
      <x:c r="F18" s="47" t="str">
        <x:f>IF(D18="","",VLOOKUP(D18,Courses!$A$5:$G$10,3,FALSE))</x:f>
      </x:c>
      <x:c r="G18" s="9"/>
      <x:c r="H18" s="9"/>
      <x:c r="I18" s="9"/>
      <x:c r="J18" s="43"/>
      <x:c r="K18" s="9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9"/>
      <x:c r="B19" s="43"/>
      <x:c r="C19" s="9"/>
      <x:c r="D19" s="9"/>
      <x:c r="E19" s="6" t="str">
        <x:f>IF(D19="","",VLOOKUP(D19,Courses!$A$5:$G$10,2,FALSE))</x:f>
      </x:c>
      <x:c r="F19" s="47" t="str">
        <x:f>IF(D19="","",VLOOKUP(D19,Courses!$A$5:$G$10,3,FALSE))</x:f>
      </x:c>
      <x:c r="G19" s="9"/>
      <x:c r="H19" s="9"/>
      <x:c r="I19" s="9"/>
      <x:c r="J19" s="43"/>
      <x:c r="K19" s="9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9"/>
      <x:c r="B20" s="43"/>
      <x:c r="C20" s="9"/>
      <x:c r="D20" s="9"/>
      <x:c r="E20" s="6" t="str">
        <x:f>IF(D20="","",VLOOKUP(D20,Courses!$A$5:$G$10,2,FALSE))</x:f>
      </x:c>
      <x:c r="F20" s="47" t="str">
        <x:f>IF(D20="","",VLOOKUP(D20,Courses!$A$5:$G$10,3,FALSE))</x:f>
      </x:c>
      <x:c r="G20" s="9"/>
      <x:c r="H20" s="9"/>
      <x:c r="I20" s="9"/>
      <x:c r="J20" s="43"/>
      <x:c r="K20" s="9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9"/>
      <x:c r="B21" s="43"/>
      <x:c r="C21" s="9"/>
      <x:c r="D21" s="9"/>
      <x:c r="E21" s="6" t="str">
        <x:f>IF(D21="","",VLOOKUP(D21,Courses!$A$5:$G$10,2,FALSE))</x:f>
      </x:c>
      <x:c r="F21" s="47" t="str">
        <x:f>IF(D21="","",VLOOKUP(D21,Courses!$A$5:$G$10,3,FALSE))</x:f>
      </x:c>
      <x:c r="G21" s="9"/>
      <x:c r="H21" s="9"/>
      <x:c r="I21" s="9"/>
      <x:c r="J21" s="43"/>
      <x:c r="K21" s="9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9"/>
      <x:c r="B22" s="43"/>
      <x:c r="C22" s="9"/>
      <x:c r="D22" s="9"/>
      <x:c r="E22" s="6" t="str">
        <x:f>IF(D22="","",VLOOKUP(D22,Courses!$A$5:$G$10,2,FALSE))</x:f>
      </x:c>
      <x:c r="F22" s="47" t="str">
        <x:f>IF(D22="","",VLOOKUP(D22,Courses!$A$5:$G$10,3,FALSE))</x:f>
      </x:c>
      <x:c r="G22" s="9"/>
      <x:c r="H22" s="9"/>
      <x:c r="I22" s="9"/>
      <x:c r="J22" s="43"/>
      <x:c r="K22" s="9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9"/>
      <x:c r="B23" s="43"/>
      <x:c r="C23" s="9"/>
      <x:c r="D23" s="9"/>
      <x:c r="E23" s="6" t="str">
        <x:f>IF(D23="","",VLOOKUP(D23,Courses!$A$5:$G$10,2,FALSE))</x:f>
      </x:c>
      <x:c r="F23" s="47" t="str">
        <x:f>IF(D23="","",VLOOKUP(D23,Courses!$A$5:$G$10,3,FALSE))</x:f>
      </x:c>
      <x:c r="G23" s="9"/>
      <x:c r="H23" s="9"/>
      <x:c r="I23" s="9"/>
      <x:c r="J23" s="43"/>
      <x:c r="K23" s="9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9"/>
      <x:c r="B24" s="43"/>
      <x:c r="C24" s="9"/>
      <x:c r="D24" s="9"/>
      <x:c r="E24" s="6" t="str">
        <x:f>IF(D24="","",VLOOKUP(D24,Courses!$A$5:$G$10,2,FALSE))</x:f>
      </x:c>
      <x:c r="F24" s="47" t="str">
        <x:f>IF(D24="","",VLOOKUP(D24,Courses!$A$5:$G$10,3,FALSE))</x:f>
      </x:c>
      <x:c r="G24" s="9"/>
      <x:c r="H24" s="9"/>
      <x:c r="I24" s="9"/>
      <x:c r="J24" s="43"/>
      <x:c r="K24" s="9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9"/>
      <x:c r="B25" s="43"/>
      <x:c r="C25" s="9"/>
      <x:c r="D25" s="9"/>
      <x:c r="E25" s="6" t="str">
        <x:f>IF(D25="","",VLOOKUP(D25,Courses!$A$5:$G$10,2,FALSE))</x:f>
      </x:c>
      <x:c r="F25" s="47" t="str">
        <x:f>IF(D25="","",VLOOKUP(D25,Courses!$A$5:$G$10,3,FALSE))</x:f>
      </x:c>
      <x:c r="G25" s="9"/>
      <x:c r="H25" s="9"/>
      <x:c r="I25" s="9"/>
      <x:c r="J25" s="43"/>
      <x:c r="K25" s="9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9"/>
      <x:c r="B26" s="43"/>
      <x:c r="C26" s="9"/>
      <x:c r="D26" s="9"/>
      <x:c r="E26" s="6" t="str">
        <x:f>IF(D26="","",VLOOKUP(D26,Courses!$A$5:$G$10,2,FALSE))</x:f>
      </x:c>
      <x:c r="F26" s="47" t="str">
        <x:f>IF(D26="","",VLOOKUP(D26,Courses!$A$5:$G$10,3,FALSE))</x:f>
      </x:c>
      <x:c r="G26" s="9"/>
      <x:c r="H26" s="9"/>
      <x:c r="I26" s="9"/>
      <x:c r="J26" s="43"/>
      <x:c r="K26" s="9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9"/>
      <x:c r="B27" s="43"/>
      <x:c r="C27" s="9"/>
      <x:c r="D27" s="9"/>
      <x:c r="E27" s="6" t="str">
        <x:f>IF(D27="","",VLOOKUP(D27,Courses!$A$5:$G$10,2,FALSE))</x:f>
      </x:c>
      <x:c r="F27" s="47" t="str">
        <x:f>IF(D27="","",VLOOKUP(D27,Courses!$A$5:$G$10,3,FALSE))</x:f>
      </x:c>
      <x:c r="G27" s="9"/>
      <x:c r="H27" s="9"/>
      <x:c r="I27" s="9"/>
      <x:c r="J27" s="43"/>
      <x:c r="K27" s="9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9"/>
      <x:c r="B28" s="43"/>
      <x:c r="C28" s="9"/>
      <x:c r="D28" s="9"/>
      <x:c r="E28" s="6" t="str">
        <x:f>IF(D28="","",VLOOKUP(D28,Courses!$A$5:$G$10,2,FALSE))</x:f>
      </x:c>
      <x:c r="F28" s="47" t="str">
        <x:f>IF(D28="","",VLOOKUP(D28,Courses!$A$5:$G$10,3,FALSE))</x:f>
      </x:c>
      <x:c r="G28" s="9"/>
      <x:c r="H28" s="9"/>
      <x:c r="I28" s="9"/>
      <x:c r="J28" s="43"/>
      <x:c r="K28" s="9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9"/>
      <x:c r="B29" s="43"/>
      <x:c r="C29" s="9"/>
      <x:c r="D29" s="9"/>
      <x:c r="E29" s="6" t="str">
        <x:f>IF(D29="","",VLOOKUP(D29,Courses!$A$5:$G$10,2,FALSE))</x:f>
      </x:c>
      <x:c r="F29" s="47" t="str">
        <x:f>IF(D29="","",VLOOKUP(D29,Courses!$A$5:$G$10,3,FALSE))</x:f>
      </x:c>
      <x:c r="G29" s="9"/>
      <x:c r="H29" s="9"/>
      <x:c r="I29" s="9"/>
      <x:c r="J29" s="43"/>
      <x:c r="K29" s="9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9"/>
      <x:c r="B30" s="43"/>
      <x:c r="C30" s="9"/>
      <x:c r="D30" s="9"/>
      <x:c r="E30" s="6" t="str">
        <x:f>IF(D30="","",VLOOKUP(D30,Courses!$A$5:$G$10,2,FALSE))</x:f>
      </x:c>
      <x:c r="F30" s="47" t="str">
        <x:f>IF(D30="","",VLOOKUP(D30,Courses!$A$5:$G$10,3,FALSE))</x:f>
      </x:c>
      <x:c r="G30" s="9"/>
      <x:c r="H30" s="9"/>
      <x:c r="I30" s="9"/>
      <x:c r="J30" s="43"/>
      <x:c r="K30" s="9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9"/>
      <x:c r="B31" s="43"/>
      <x:c r="C31" s="9"/>
      <x:c r="D31" s="9"/>
      <x:c r="E31" s="6" t="str">
        <x:f>IF(D31="","",VLOOKUP(D31,Courses!$A$5:$G$10,2,FALSE))</x:f>
      </x:c>
      <x:c r="F31" s="47" t="str">
        <x:f>IF(D31="","",VLOOKUP(D31,Courses!$A$5:$G$10,3,FALSE))</x:f>
      </x:c>
      <x:c r="G31" s="9"/>
      <x:c r="H31" s="9"/>
      <x:c r="I31" s="9"/>
      <x:c r="J31" s="43"/>
      <x:c r="K31" s="9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9"/>
      <x:c r="B32" s="43"/>
      <x:c r="C32" s="9"/>
      <x:c r="D32" s="9"/>
      <x:c r="E32" s="6" t="str">
        <x:f>IF(D32="","",VLOOKUP(D32,Courses!$A$5:$G$10,2,FALSE))</x:f>
      </x:c>
      <x:c r="F32" s="47" t="str">
        <x:f>IF(D32="","",VLOOKUP(D32,Courses!$A$5:$G$10,3,FALSE))</x:f>
      </x:c>
      <x:c r="G32" s="9"/>
      <x:c r="H32" s="9"/>
      <x:c r="I32" s="9"/>
      <x:c r="J32" s="43"/>
      <x:c r="K32" s="9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9"/>
      <x:c r="B33" s="43"/>
      <x:c r="C33" s="9"/>
      <x:c r="D33" s="9"/>
      <x:c r="E33" s="6" t="str">
        <x:f>IF(D33="","",VLOOKUP(D33,Courses!$A$5:$G$10,2,FALSE))</x:f>
      </x:c>
      <x:c r="F33" s="47" t="str">
        <x:f>IF(D33="","",VLOOKUP(D33,Courses!$A$5:$G$10,3,FALSE))</x:f>
      </x:c>
      <x:c r="G33" s="9"/>
      <x:c r="H33" s="9"/>
      <x:c r="I33" s="9"/>
      <x:c r="J33" s="43"/>
      <x:c r="K33" s="9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9"/>
      <x:c r="B34" s="43"/>
      <x:c r="C34" s="9"/>
      <x:c r="D34" s="9"/>
      <x:c r="E34" s="6" t="str">
        <x:f>IF(D34="","",VLOOKUP(D34,Courses!$A$5:$G$10,2,FALSE))</x:f>
      </x:c>
      <x:c r="F34" s="47" t="str">
        <x:f>IF(D34="","",VLOOKUP(D34,Courses!$A$5:$G$10,3,FALSE))</x:f>
      </x:c>
      <x:c r="G34" s="9"/>
      <x:c r="H34" s="9"/>
      <x:c r="I34" s="9"/>
      <x:c r="J34" s="43"/>
      <x:c r="K34" s="9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9"/>
      <x:c r="B35" s="43"/>
      <x:c r="C35" s="9"/>
      <x:c r="D35" s="9"/>
      <x:c r="E35" s="6" t="str">
        <x:f>IF(D35="","",VLOOKUP(D35,Courses!$A$5:$G$10,2,FALSE))</x:f>
      </x:c>
      <x:c r="F35" s="47" t="str">
        <x:f>IF(D35="","",VLOOKUP(D35,Courses!$A$5:$G$10,3,FALSE))</x:f>
      </x:c>
      <x:c r="G35" s="9"/>
      <x:c r="H35" s="9"/>
      <x:c r="I35" s="9"/>
      <x:c r="J35" s="43"/>
      <x:c r="K35" s="9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9"/>
      <x:c r="B36" s="43"/>
      <x:c r="C36" s="9"/>
      <x:c r="D36" s="9"/>
      <x:c r="E36" s="6" t="str">
        <x:f>IF(D36="","",VLOOKUP(D36,Courses!$A$5:$G$10,2,FALSE))</x:f>
      </x:c>
      <x:c r="F36" s="47" t="str">
        <x:f>IF(D36="","",VLOOKUP(D36,Courses!$A$5:$G$10,3,FALSE))</x:f>
      </x:c>
      <x:c r="G36" s="9"/>
      <x:c r="H36" s="9"/>
      <x:c r="I36" s="9"/>
      <x:c r="J36" s="43"/>
      <x:c r="K36" s="9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9"/>
      <x:c r="B37" s="43"/>
      <x:c r="C37" s="9"/>
      <x:c r="D37" s="9"/>
      <x:c r="E37" s="6" t="str">
        <x:f>IF(D37="","",VLOOKUP(D37,Courses!$A$5:$G$10,2,FALSE))</x:f>
      </x:c>
      <x:c r="F37" s="47" t="str">
        <x:f>IF(D37="","",VLOOKUP(D37,Courses!$A$5:$G$10,3,FALSE))</x:f>
      </x:c>
      <x:c r="G37" s="9"/>
      <x:c r="H37" s="9"/>
      <x:c r="I37" s="9"/>
      <x:c r="J37" s="43"/>
      <x:c r="K37" s="9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9"/>
      <x:c r="B38" s="43"/>
      <x:c r="C38" s="9"/>
      <x:c r="D38" s="9"/>
      <x:c r="E38" s="6" t="str">
        <x:f>IF(D38="","",VLOOKUP(D38,Courses!$A$5:$G$10,2,FALSE))</x:f>
      </x:c>
      <x:c r="F38" s="47" t="str">
        <x:f>IF(D38="","",VLOOKUP(D38,Courses!$A$5:$G$10,3,FALSE))</x:f>
      </x:c>
      <x:c r="G38" s="9"/>
      <x:c r="H38" s="9"/>
      <x:c r="I38" s="9"/>
      <x:c r="J38" s="43"/>
      <x:c r="K38" s="9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9"/>
      <x:c r="B39" s="43"/>
      <x:c r="C39" s="9"/>
      <x:c r="D39" s="9"/>
      <x:c r="E39" s="6" t="str">
        <x:f>IF(D39="","",VLOOKUP(D39,Courses!$A$5:$G$10,2,FALSE))</x:f>
      </x:c>
      <x:c r="F39" s="47" t="str">
        <x:f>IF(D39="","",VLOOKUP(D39,Courses!$A$5:$G$10,3,FALSE))</x:f>
      </x:c>
      <x:c r="G39" s="9"/>
      <x:c r="H39" s="9"/>
      <x:c r="I39" s="9"/>
      <x:c r="J39" s="43"/>
      <x:c r="K39" s="9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9"/>
      <x:c r="B40" s="43"/>
      <x:c r="C40" s="9"/>
      <x:c r="D40" s="9"/>
      <x:c r="E40" s="6" t="str">
        <x:f>IF(D40="","",VLOOKUP(D40,Courses!$A$5:$G$10,2,FALSE))</x:f>
      </x:c>
      <x:c r="F40" s="47" t="str">
        <x:f>IF(D40="","",VLOOKUP(D40,Courses!$A$5:$G$10,3,FALSE))</x:f>
      </x:c>
      <x:c r="G40" s="9"/>
      <x:c r="H40" s="9"/>
      <x:c r="I40" s="9"/>
      <x:c r="J40" s="43"/>
      <x:c r="K40" s="9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9"/>
      <x:c r="B41" s="43"/>
      <x:c r="C41" s="9"/>
      <x:c r="D41" s="9"/>
      <x:c r="E41" s="6" t="str">
        <x:f>IF(D41="","",VLOOKUP(D41,Courses!$A$5:$G$10,2,FALSE))</x:f>
      </x:c>
      <x:c r="F41" s="47" t="str">
        <x:f>IF(D41="","",VLOOKUP(D41,Courses!$A$5:$G$10,3,FALSE))</x:f>
      </x:c>
      <x:c r="G41" s="9"/>
      <x:c r="H41" s="9"/>
      <x:c r="I41" s="9"/>
      <x:c r="J41" s="43"/>
      <x:c r="K41" s="9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9"/>
      <x:c r="B42" s="43"/>
      <x:c r="C42" s="9"/>
      <x:c r="D42" s="9"/>
      <x:c r="E42" s="6" t="str">
        <x:f>IF(D42="","",VLOOKUP(D42,Courses!$A$5:$G$10,2,FALSE))</x:f>
      </x:c>
      <x:c r="F42" s="47" t="str">
        <x:f>IF(D42="","",VLOOKUP(D42,Courses!$A$5:$G$10,3,FALSE))</x:f>
      </x:c>
      <x:c r="G42" s="9"/>
      <x:c r="H42" s="9"/>
      <x:c r="I42" s="9"/>
      <x:c r="J42" s="43"/>
      <x:c r="K42" s="9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9"/>
      <x:c r="B43" s="43"/>
      <x:c r="C43" s="9"/>
      <x:c r="D43" s="9"/>
      <x:c r="E43" s="6" t="str">
        <x:f>IF(D43="","",VLOOKUP(D43,Courses!$A$5:$G$10,2,FALSE))</x:f>
      </x:c>
      <x:c r="F43" s="47" t="str">
        <x:f>IF(D43="","",VLOOKUP(D43,Courses!$A$5:$G$10,3,FALSE))</x:f>
      </x:c>
      <x:c r="G43" s="9"/>
      <x:c r="H43" s="9"/>
      <x:c r="I43" s="9"/>
      <x:c r="J43" s="43"/>
      <x:c r="K43" s="9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9"/>
      <x:c r="B44" s="43"/>
      <x:c r="C44" s="9"/>
      <x:c r="D44" s="9"/>
      <x:c r="E44" s="6" t="str">
        <x:f>IF(D44="","",VLOOKUP(D44,Courses!$A$5:$G$10,2,FALSE))</x:f>
      </x:c>
      <x:c r="F44" s="47" t="str">
        <x:f>IF(D44="","",VLOOKUP(D44,Courses!$A$5:$G$10,3,FALSE))</x:f>
      </x:c>
      <x:c r="G44" s="9"/>
      <x:c r="H44" s="9"/>
      <x:c r="I44" s="9"/>
      <x:c r="J44" s="43"/>
      <x:c r="K44" s="9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9"/>
      <x:c r="B45" s="43"/>
      <x:c r="C45" s="9"/>
      <x:c r="D45" s="9"/>
      <x:c r="E45" s="6" t="str">
        <x:f>IF(D45="","",VLOOKUP(D45,Courses!$A$5:$G$10,2,FALSE))</x:f>
      </x:c>
      <x:c r="F45" s="47" t="str">
        <x:f>IF(D45="","",VLOOKUP(D45,Courses!$A$5:$G$10,3,FALSE))</x:f>
      </x:c>
      <x:c r="G45" s="9"/>
      <x:c r="H45" s="9"/>
      <x:c r="I45" s="9"/>
      <x:c r="J45" s="43"/>
      <x:c r="K45" s="9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9"/>
      <x:c r="B46" s="43"/>
      <x:c r="C46" s="9"/>
      <x:c r="D46" s="9"/>
      <x:c r="E46" s="6" t="str">
        <x:f>IF(D46="","",VLOOKUP(D46,Courses!$A$5:$G$10,2,FALSE))</x:f>
      </x:c>
      <x:c r="F46" s="47" t="str">
        <x:f>IF(D46="","",VLOOKUP(D46,Courses!$A$5:$G$10,3,FALSE))</x:f>
      </x:c>
      <x:c r="G46" s="9"/>
      <x:c r="H46" s="9"/>
      <x:c r="I46" s="9"/>
      <x:c r="J46" s="43"/>
      <x:c r="K46" s="9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9"/>
      <x:c r="B47" s="43"/>
      <x:c r="C47" s="9"/>
      <x:c r="D47" s="9"/>
      <x:c r="E47" s="6" t="str">
        <x:f>IF(D47="","",VLOOKUP(D47,Courses!$A$5:$G$10,2,FALSE))</x:f>
      </x:c>
      <x:c r="F47" s="47" t="str">
        <x:f>IF(D47="","",VLOOKUP(D47,Courses!$A$5:$G$10,3,FALSE))</x:f>
      </x:c>
      <x:c r="G47" s="9"/>
      <x:c r="H47" s="9"/>
      <x:c r="I47" s="9"/>
      <x:c r="J47" s="43"/>
      <x:c r="K47" s="9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9"/>
      <x:c r="B48" s="43"/>
      <x:c r="C48" s="9"/>
      <x:c r="D48" s="9"/>
      <x:c r="E48" s="6" t="str">
        <x:f>IF(D48="","",VLOOKUP(D48,Courses!$A$5:$G$10,2,FALSE))</x:f>
      </x:c>
      <x:c r="F48" s="47" t="str">
        <x:f>IF(D48="","",VLOOKUP(D48,Courses!$A$5:$G$10,3,FALSE))</x:f>
      </x:c>
      <x:c r="G48" s="9"/>
      <x:c r="H48" s="9"/>
      <x:c r="I48" s="9"/>
      <x:c r="J48" s="43"/>
      <x:c r="K48" s="9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9"/>
      <x:c r="B49" s="43"/>
      <x:c r="C49" s="9"/>
      <x:c r="D49" s="9"/>
      <x:c r="E49" s="6" t="str">
        <x:f>IF(D49="","",VLOOKUP(D49,Courses!$A$5:$G$10,2,FALSE))</x:f>
      </x:c>
      <x:c r="F49" s="47" t="str">
        <x:f>IF(D49="","",VLOOKUP(D49,Courses!$A$5:$G$10,3,FALSE))</x:f>
      </x:c>
      <x:c r="G49" s="9"/>
      <x:c r="H49" s="9"/>
      <x:c r="I49" s="9"/>
      <x:c r="J49" s="43"/>
      <x:c r="K49" s="9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9"/>
      <x:c r="B50" s="43"/>
      <x:c r="C50" s="9"/>
      <x:c r="D50" s="9"/>
      <x:c r="E50" s="6" t="str">
        <x:f>IF(D50="","",VLOOKUP(D50,Courses!$A$5:$G$10,2,FALSE))</x:f>
      </x:c>
      <x:c r="F50" s="47" t="str">
        <x:f>IF(D50="","",VLOOKUP(D50,Courses!$A$5:$G$10,3,FALSE))</x:f>
      </x:c>
      <x:c r="G50" s="9"/>
      <x:c r="H50" s="9"/>
      <x:c r="I50" s="9"/>
      <x:c r="J50" s="43"/>
      <x:c r="K50" s="9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9"/>
      <x:c r="B51" s="43"/>
      <x:c r="C51" s="9"/>
      <x:c r="D51" s="9"/>
      <x:c r="E51" s="6" t="str">
        <x:f>IF(D51="","",VLOOKUP(D51,Courses!$A$5:$G$10,2,FALSE))</x:f>
      </x:c>
      <x:c r="F51" s="47" t="str">
        <x:f>IF(D51="","",VLOOKUP(D51,Courses!$A$5:$G$10,3,FALSE))</x:f>
      </x:c>
      <x:c r="G51" s="9"/>
      <x:c r="H51" s="9"/>
      <x:c r="I51" s="9"/>
      <x:c r="J51" s="43"/>
      <x:c r="K51" s="9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9"/>
      <x:c r="B52" s="43"/>
      <x:c r="C52" s="9"/>
      <x:c r="D52" s="9"/>
      <x:c r="E52" s="6" t="str">
        <x:f>IF(D52="","",VLOOKUP(D52,Courses!$A$5:$G$10,2,FALSE))</x:f>
      </x:c>
      <x:c r="F52" s="47" t="str">
        <x:f>IF(D52="","",VLOOKUP(D52,Courses!$A$5:$G$10,3,FALSE))</x:f>
      </x:c>
      <x:c r="G52" s="9"/>
      <x:c r="H52" s="9"/>
      <x:c r="I52" s="9"/>
      <x:c r="J52" s="43"/>
      <x:c r="K52" s="9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9"/>
      <x:c r="B53" s="43"/>
      <x:c r="C53" s="9"/>
      <x:c r="D53" s="9"/>
      <x:c r="E53" s="6" t="str">
        <x:f>IF(D53="","",VLOOKUP(D53,Courses!$A$5:$G$10,2,FALSE))</x:f>
      </x:c>
      <x:c r="F53" s="47" t="str">
        <x:f>IF(D53="","",VLOOKUP(D53,Courses!$A$5:$G$10,3,FALSE))</x:f>
      </x:c>
      <x:c r="G53" s="9"/>
      <x:c r="H53" s="9"/>
      <x:c r="I53" s="9"/>
      <x:c r="J53" s="43"/>
      <x:c r="K53" s="9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9"/>
      <x:c r="B54" s="43"/>
      <x:c r="C54" s="9"/>
      <x:c r="D54" s="9"/>
      <x:c r="E54" s="6" t="str">
        <x:f>IF(D54="","",VLOOKUP(D54,Courses!$A$5:$G$10,2,FALSE))</x:f>
      </x:c>
      <x:c r="F54" s="47" t="str">
        <x:f>IF(D54="","",VLOOKUP(D54,Courses!$A$5:$G$10,3,FALSE))</x:f>
      </x:c>
      <x:c r="G54" s="9"/>
      <x:c r="H54" s="9"/>
      <x:c r="I54" s="9"/>
      <x:c r="J54" s="43"/>
      <x:c r="K54" s="9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9"/>
      <x:c r="B55" s="43"/>
      <x:c r="C55" s="9"/>
      <x:c r="D55" s="9"/>
      <x:c r="E55" s="6" t="str">
        <x:f>IF(D55="","",VLOOKUP(D55,Courses!$A$5:$G$10,2,FALSE))</x:f>
      </x:c>
      <x:c r="F55" s="47" t="str">
        <x:f>IF(D55="","",VLOOKUP(D55,Courses!$A$5:$G$10,3,FALSE))</x:f>
      </x:c>
      <x:c r="G55" s="9"/>
      <x:c r="H55" s="9"/>
      <x:c r="I55" s="9"/>
      <x:c r="J55" s="43"/>
      <x:c r="K55" s="9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9"/>
      <x:c r="B56" s="43"/>
      <x:c r="C56" s="9"/>
      <x:c r="D56" s="9"/>
      <x:c r="E56" s="6" t="str">
        <x:f>IF(D56="","",VLOOKUP(D56,Courses!$A$5:$G$10,2,FALSE))</x:f>
      </x:c>
      <x:c r="F56" s="47" t="str">
        <x:f>IF(D56="","",VLOOKUP(D56,Courses!$A$5:$G$10,3,FALSE))</x:f>
      </x:c>
      <x:c r="G56" s="9"/>
      <x:c r="H56" s="9"/>
      <x:c r="I56" s="9"/>
      <x:c r="J56" s="43"/>
      <x:c r="K56" s="9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9"/>
      <x:c r="B57" s="43"/>
      <x:c r="C57" s="9"/>
      <x:c r="D57" s="9"/>
      <x:c r="E57" s="6" t="str">
        <x:f>IF(D57="","",VLOOKUP(D57,Courses!$A$5:$G$10,2,FALSE))</x:f>
      </x:c>
      <x:c r="F57" s="47" t="str">
        <x:f>IF(D57="","",VLOOKUP(D57,Courses!$A$5:$G$10,3,FALSE))</x:f>
      </x:c>
      <x:c r="G57" s="9"/>
      <x:c r="H57" s="9"/>
      <x:c r="I57" s="9"/>
      <x:c r="J57" s="43"/>
      <x:c r="K57" s="9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9"/>
      <x:c r="B58" s="43"/>
      <x:c r="C58" s="9"/>
      <x:c r="D58" s="9"/>
      <x:c r="E58" s="6" t="str">
        <x:f>IF(D58="","",VLOOKUP(D58,Courses!$A$5:$G$10,2,FALSE))</x:f>
      </x:c>
      <x:c r="F58" s="47" t="str">
        <x:f>IF(D58="","",VLOOKUP(D58,Courses!$A$5:$G$10,3,FALSE))</x:f>
      </x:c>
      <x:c r="G58" s="9"/>
      <x:c r="H58" s="9"/>
      <x:c r="I58" s="9"/>
      <x:c r="J58" s="43"/>
      <x:c r="K58" s="9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9"/>
      <x:c r="B59" s="43"/>
      <x:c r="C59" s="9"/>
      <x:c r="D59" s="9"/>
      <x:c r="E59" s="6" t="str">
        <x:f>IF(D59="","",VLOOKUP(D59,Courses!$A$5:$G$10,2,FALSE))</x:f>
      </x:c>
      <x:c r="F59" s="47" t="str">
        <x:f>IF(D59="","",VLOOKUP(D59,Courses!$A$5:$G$10,3,FALSE))</x:f>
      </x:c>
      <x:c r="G59" s="9"/>
      <x:c r="H59" s="9"/>
      <x:c r="I59" s="9"/>
      <x:c r="J59" s="43"/>
      <x:c r="K59" s="9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9"/>
      <x:c r="B60" s="43"/>
      <x:c r="C60" s="9"/>
      <x:c r="D60" s="9"/>
      <x:c r="E60" s="6" t="str">
        <x:f>IF(D60="","",VLOOKUP(D60,Courses!$A$5:$G$10,2,FALSE))</x:f>
      </x:c>
      <x:c r="F60" s="47" t="str">
        <x:f>IF(D60="","",VLOOKUP(D60,Courses!$A$5:$G$10,3,FALSE))</x:f>
      </x:c>
      <x:c r="G60" s="9"/>
      <x:c r="H60" s="9"/>
      <x:c r="I60" s="9"/>
      <x:c r="J60" s="43"/>
      <x:c r="K60" s="9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9"/>
      <x:c r="B61" s="43"/>
      <x:c r="C61" s="9"/>
      <x:c r="D61" s="9"/>
      <x:c r="E61" s="6" t="str">
        <x:f>IF(D61="","",VLOOKUP(D61,Courses!$A$5:$G$10,2,FALSE))</x:f>
      </x:c>
      <x:c r="F61" s="47" t="str">
        <x:f>IF(D61="","",VLOOKUP(D61,Courses!$A$5:$G$10,3,FALSE))</x:f>
      </x:c>
      <x:c r="G61" s="9"/>
      <x:c r="H61" s="9"/>
      <x:c r="I61" s="9"/>
      <x:c r="J61" s="43"/>
      <x:c r="K61" s="9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9"/>
      <x:c r="B62" s="43"/>
      <x:c r="C62" s="9"/>
      <x:c r="D62" s="9"/>
      <x:c r="E62" s="6" t="str">
        <x:f>IF(D62="","",VLOOKUP(D62,Courses!$A$5:$G$10,2,FALSE))</x:f>
      </x:c>
      <x:c r="F62" s="47" t="str">
        <x:f>IF(D62="","",VLOOKUP(D62,Courses!$A$5:$G$10,3,FALSE))</x:f>
      </x:c>
      <x:c r="G62" s="9"/>
      <x:c r="H62" s="9"/>
      <x:c r="I62" s="9"/>
      <x:c r="J62" s="43"/>
      <x:c r="K62" s="9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9"/>
      <x:c r="B63" s="43"/>
      <x:c r="C63" s="9"/>
      <x:c r="D63" s="9"/>
      <x:c r="E63" s="6" t="str">
        <x:f>IF(D63="","",VLOOKUP(D63,Courses!$A$5:$G$10,2,FALSE))</x:f>
      </x:c>
      <x:c r="F63" s="47" t="str">
        <x:f>IF(D63="","",VLOOKUP(D63,Courses!$A$5:$G$10,3,FALSE))</x:f>
      </x:c>
      <x:c r="G63" s="9"/>
      <x:c r="H63" s="9"/>
      <x:c r="I63" s="9"/>
      <x:c r="J63" s="43"/>
      <x:c r="K63" s="9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9"/>
      <x:c r="B64" s="43"/>
      <x:c r="C64" s="9"/>
      <x:c r="D64" s="9"/>
      <x:c r="E64" s="6" t="str">
        <x:f>IF(D64="","",VLOOKUP(D64,Courses!$A$5:$G$10,2,FALSE))</x:f>
      </x:c>
      <x:c r="F64" s="47" t="str">
        <x:f>IF(D64="","",VLOOKUP(D64,Courses!$A$5:$G$10,3,FALSE))</x:f>
      </x:c>
      <x:c r="G64" s="9"/>
      <x:c r="H64" s="9"/>
      <x:c r="I64" s="9"/>
      <x:c r="J64" s="43"/>
      <x:c r="K64" s="9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9"/>
      <x:c r="B65" s="43"/>
      <x:c r="C65" s="9"/>
      <x:c r="D65" s="9"/>
      <x:c r="E65" s="6" t="str">
        <x:f>IF(D65="","",VLOOKUP(D65,Courses!$A$5:$G$10,2,FALSE))</x:f>
      </x:c>
      <x:c r="F65" s="47" t="str">
        <x:f>IF(D65="","",VLOOKUP(D65,Courses!$A$5:$G$10,3,FALSE))</x:f>
      </x:c>
      <x:c r="G65" s="9"/>
      <x:c r="H65" s="9"/>
      <x:c r="I65" s="9"/>
      <x:c r="J65" s="43"/>
      <x:c r="K65" s="9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9"/>
      <x:c r="B66" s="43"/>
      <x:c r="C66" s="9"/>
      <x:c r="D66" s="9"/>
      <x:c r="E66" s="6" t="str">
        <x:f>IF(D66="","",VLOOKUP(D66,Courses!$A$5:$G$10,2,FALSE))</x:f>
      </x:c>
      <x:c r="F66" s="47" t="str">
        <x:f>IF(D66="","",VLOOKUP(D66,Courses!$A$5:$G$10,3,FALSE))</x:f>
      </x:c>
      <x:c r="G66" s="9"/>
      <x:c r="H66" s="9"/>
      <x:c r="I66" s="9"/>
      <x:c r="J66" s="43"/>
      <x:c r="K66" s="9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9"/>
      <x:c r="B67" s="43"/>
      <x:c r="C67" s="9"/>
      <x:c r="D67" s="9"/>
      <x:c r="E67" s="6" t="str">
        <x:f>IF(D67="","",VLOOKUP(D67,Courses!$A$5:$G$10,2,FALSE))</x:f>
      </x:c>
      <x:c r="F67" s="47" t="str">
        <x:f>IF(D67="","",VLOOKUP(D67,Courses!$A$5:$G$10,3,FALSE))</x:f>
      </x:c>
      <x:c r="G67" s="9"/>
      <x:c r="H67" s="9"/>
      <x:c r="I67" s="9"/>
      <x:c r="J67" s="43"/>
      <x:c r="K67" s="9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9"/>
      <x:c r="B68" s="43"/>
      <x:c r="C68" s="9"/>
      <x:c r="D68" s="9"/>
      <x:c r="E68" s="6" t="str">
        <x:f>IF(D68="","",VLOOKUP(D68,Courses!$A$5:$G$10,2,FALSE))</x:f>
      </x:c>
      <x:c r="F68" s="47" t="str">
        <x:f>IF(D68="","",VLOOKUP(D68,Courses!$A$5:$G$10,3,FALSE))</x:f>
      </x:c>
      <x:c r="G68" s="9"/>
      <x:c r="H68" s="9"/>
      <x:c r="I68" s="9"/>
      <x:c r="J68" s="43"/>
      <x:c r="K68" s="9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9"/>
      <x:c r="B69" s="43"/>
      <x:c r="C69" s="9"/>
      <x:c r="D69" s="9"/>
      <x:c r="E69" s="6" t="str">
        <x:f>IF(D69="","",VLOOKUP(D69,Courses!$A$5:$G$10,2,FALSE))</x:f>
      </x:c>
      <x:c r="F69" s="47" t="str">
        <x:f>IF(D69="","",VLOOKUP(D69,Courses!$A$5:$G$10,3,FALSE))</x:f>
      </x:c>
      <x:c r="G69" s="9"/>
      <x:c r="H69" s="9"/>
      <x:c r="I69" s="9"/>
      <x:c r="J69" s="43"/>
      <x:c r="K69" s="9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9"/>
      <x:c r="B70" s="43"/>
      <x:c r="C70" s="9"/>
      <x:c r="D70" s="9"/>
      <x:c r="E70" s="6" t="str">
        <x:f>IF(D70="","",VLOOKUP(D70,Courses!$A$5:$G$10,2,FALSE))</x:f>
      </x:c>
      <x:c r="F70" s="47" t="str">
        <x:f>IF(D70="","",VLOOKUP(D70,Courses!$A$5:$G$10,3,FALSE))</x:f>
      </x:c>
      <x:c r="G70" s="9"/>
      <x:c r="H70" s="9"/>
      <x:c r="I70" s="9"/>
      <x:c r="J70" s="43"/>
      <x:c r="K70" s="9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9"/>
      <x:c r="B71" s="43"/>
      <x:c r="C71" s="9"/>
      <x:c r="D71" s="9"/>
      <x:c r="E71" s="6" t="str">
        <x:f>IF(D71="","",VLOOKUP(D71,Courses!$A$5:$G$10,2,FALSE))</x:f>
      </x:c>
      <x:c r="F71" s="47" t="str">
        <x:f>IF(D71="","",VLOOKUP(D71,Courses!$A$5:$G$10,3,FALSE))</x:f>
      </x:c>
      <x:c r="G71" s="9"/>
      <x:c r="H71" s="9"/>
      <x:c r="I71" s="9"/>
      <x:c r="J71" s="43"/>
      <x:c r="K71" s="9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9"/>
      <x:c r="B72" s="43"/>
      <x:c r="C72" s="9"/>
      <x:c r="D72" s="9"/>
      <x:c r="E72" s="6" t="str">
        <x:f>IF(D72="","",VLOOKUP(D72,Courses!$A$5:$G$10,2,FALSE))</x:f>
      </x:c>
      <x:c r="F72" s="47" t="str">
        <x:f>IF(D72="","",VLOOKUP(D72,Courses!$A$5:$G$10,3,FALSE))</x:f>
      </x:c>
      <x:c r="G72" s="9"/>
      <x:c r="H72" s="9"/>
      <x:c r="I72" s="9"/>
      <x:c r="J72" s="43"/>
      <x:c r="K72" s="9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9"/>
      <x:c r="B73" s="43"/>
      <x:c r="C73" s="9"/>
      <x:c r="D73" s="9"/>
      <x:c r="E73" s="6" t="str">
        <x:f>IF(D73="","",VLOOKUP(D73,Courses!$A$5:$G$10,2,FALSE))</x:f>
      </x:c>
      <x:c r="F73" s="47" t="str">
        <x:f>IF(D73="","",VLOOKUP(D73,Courses!$A$5:$G$10,3,FALSE))</x:f>
      </x:c>
      <x:c r="G73" s="9"/>
      <x:c r="H73" s="9"/>
      <x:c r="I73" s="9"/>
      <x:c r="J73" s="43"/>
      <x:c r="K73" s="9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9"/>
      <x:c r="B74" s="43"/>
      <x:c r="C74" s="9"/>
      <x:c r="D74" s="9"/>
      <x:c r="E74" s="6" t="str">
        <x:f>IF(D74="","",VLOOKUP(D74,Courses!$A$5:$G$10,2,FALSE))</x:f>
      </x:c>
      <x:c r="F74" s="47" t="str">
        <x:f>IF(D74="","",VLOOKUP(D74,Courses!$A$5:$G$10,3,FALSE))</x:f>
      </x:c>
      <x:c r="G74" s="9"/>
      <x:c r="H74" s="9"/>
      <x:c r="I74" s="9"/>
      <x:c r="J74" s="43"/>
      <x:c r="K74" s="9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9"/>
      <x:c r="B75" s="43"/>
      <x:c r="C75" s="9"/>
      <x:c r="D75" s="9"/>
      <x:c r="E75" s="6" t="str">
        <x:f>IF(D75="","",VLOOKUP(D75,Courses!$A$5:$G$10,2,FALSE))</x:f>
      </x:c>
      <x:c r="F75" s="47" t="str">
        <x:f>IF(D75="","",VLOOKUP(D75,Courses!$A$5:$G$10,3,FALSE))</x:f>
      </x:c>
      <x:c r="G75" s="9"/>
      <x:c r="H75" s="9"/>
      <x:c r="I75" s="9"/>
      <x:c r="J75" s="43"/>
      <x:c r="K75" s="9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9"/>
      <x:c r="B76" s="43"/>
      <x:c r="C76" s="9"/>
      <x:c r="D76" s="9"/>
      <x:c r="E76" s="6" t="str">
        <x:f>IF(D76="","",VLOOKUP(D76,Courses!$A$5:$G$10,2,FALSE))</x:f>
      </x:c>
      <x:c r="F76" s="47" t="str">
        <x:f>IF(D76="","",VLOOKUP(D76,Courses!$A$5:$G$10,3,FALSE))</x:f>
      </x:c>
      <x:c r="G76" s="9"/>
      <x:c r="H76" s="9"/>
      <x:c r="I76" s="9"/>
      <x:c r="J76" s="43"/>
      <x:c r="K76" s="9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9"/>
      <x:c r="B77" s="43"/>
      <x:c r="C77" s="9"/>
      <x:c r="D77" s="9"/>
      <x:c r="E77" s="6" t="str">
        <x:f>IF(D77="","",VLOOKUP(D77,Courses!$A$5:$G$10,2,FALSE))</x:f>
      </x:c>
      <x:c r="F77" s="47" t="str">
        <x:f>IF(D77="","",VLOOKUP(D77,Courses!$A$5:$G$10,3,FALSE))</x:f>
      </x:c>
      <x:c r="G77" s="9"/>
      <x:c r="H77" s="9"/>
      <x:c r="I77" s="9"/>
      <x:c r="J77" s="43"/>
      <x:c r="K77" s="9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9"/>
      <x:c r="B78" s="43"/>
      <x:c r="C78" s="9"/>
      <x:c r="D78" s="9"/>
      <x:c r="E78" s="6" t="str">
        <x:f>IF(D78="","",VLOOKUP(D78,Courses!$A$5:$G$10,2,FALSE))</x:f>
      </x:c>
      <x:c r="F78" s="47" t="str">
        <x:f>IF(D78="","",VLOOKUP(D78,Courses!$A$5:$G$10,3,FALSE))</x:f>
      </x:c>
      <x:c r="G78" s="9"/>
      <x:c r="H78" s="9"/>
      <x:c r="I78" s="9"/>
      <x:c r="J78" s="43"/>
      <x:c r="K78" s="9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9"/>
      <x:c r="B79" s="43"/>
      <x:c r="C79" s="9"/>
      <x:c r="D79" s="9"/>
      <x:c r="E79" s="6" t="str">
        <x:f>IF(D79="","",VLOOKUP(D79,Courses!$A$5:$G$10,2,FALSE))</x:f>
      </x:c>
      <x:c r="F79" s="47" t="str">
        <x:f>IF(D79="","",VLOOKUP(D79,Courses!$A$5:$G$10,3,FALSE))</x:f>
      </x:c>
      <x:c r="G79" s="9"/>
      <x:c r="H79" s="9"/>
      <x:c r="I79" s="9"/>
      <x:c r="J79" s="43"/>
      <x:c r="K79" s="9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9"/>
      <x:c r="B80" s="43"/>
      <x:c r="C80" s="9"/>
      <x:c r="D80" s="9"/>
      <x:c r="E80" s="6" t="str">
        <x:f>IF(D80="","",VLOOKUP(D80,Courses!$A$5:$G$10,2,FALSE))</x:f>
      </x:c>
      <x:c r="F80" s="47" t="str">
        <x:f>IF(D80="","",VLOOKUP(D80,Courses!$A$5:$G$10,3,FALSE))</x:f>
      </x:c>
      <x:c r="G80" s="9"/>
      <x:c r="H80" s="9"/>
      <x:c r="I80" s="9"/>
      <x:c r="J80" s="43"/>
      <x:c r="K80" s="9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9"/>
      <x:c r="B81" s="43"/>
      <x:c r="C81" s="9"/>
      <x:c r="D81" s="9"/>
      <x:c r="E81" s="6" t="str">
        <x:f>IF(D81="","",VLOOKUP(D81,Courses!$A$5:$G$10,2,FALSE))</x:f>
      </x:c>
      <x:c r="F81" s="47" t="str">
        <x:f>IF(D81="","",VLOOKUP(D81,Courses!$A$5:$G$10,3,FALSE))</x:f>
      </x:c>
      <x:c r="G81" s="9"/>
      <x:c r="H81" s="9"/>
      <x:c r="I81" s="9"/>
      <x:c r="J81" s="43"/>
      <x:c r="K81" s="9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9"/>
      <x:c r="B82" s="43"/>
      <x:c r="C82" s="9"/>
      <x:c r="D82" s="9"/>
      <x:c r="E82" s="6" t="str">
        <x:f>IF(D82="","",VLOOKUP(D82,Courses!$A$5:$G$10,2,FALSE))</x:f>
      </x:c>
      <x:c r="F82" s="47" t="str">
        <x:f>IF(D82="","",VLOOKUP(D82,Courses!$A$5:$G$10,3,FALSE))</x:f>
      </x:c>
      <x:c r="G82" s="9"/>
      <x:c r="H82" s="9"/>
      <x:c r="I82" s="9"/>
      <x:c r="J82" s="43"/>
      <x:c r="K82" s="9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9"/>
      <x:c r="B83" s="43"/>
      <x:c r="C83" s="9"/>
      <x:c r="D83" s="9"/>
      <x:c r="E83" s="6" t="str">
        <x:f>IF(D83="","",VLOOKUP(D83,Courses!$A$5:$G$10,2,FALSE))</x:f>
      </x:c>
      <x:c r="F83" s="47" t="str">
        <x:f>IF(D83="","",VLOOKUP(D83,Courses!$A$5:$G$10,3,FALSE))</x:f>
      </x:c>
      <x:c r="G83" s="9"/>
      <x:c r="H83" s="9"/>
      <x:c r="I83" s="9"/>
      <x:c r="J83" s="43"/>
      <x:c r="K83" s="9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9"/>
      <x:c r="B84" s="43"/>
      <x:c r="C84" s="9"/>
      <x:c r="D84" s="9"/>
      <x:c r="E84" s="6" t="str">
        <x:f>IF(D84="","",VLOOKUP(D84,Courses!$A$5:$G$10,2,FALSE))</x:f>
      </x:c>
      <x:c r="F84" s="47" t="str">
        <x:f>IF(D84="","",VLOOKUP(D84,Courses!$A$5:$G$10,3,FALSE))</x:f>
      </x:c>
      <x:c r="G84" s="9"/>
      <x:c r="H84" s="9"/>
      <x:c r="I84" s="9"/>
      <x:c r="J84" s="43"/>
      <x:c r="K84" s="9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9"/>
      <x:c r="B85" s="43"/>
      <x:c r="C85" s="9"/>
      <x:c r="D85" s="9"/>
      <x:c r="E85" s="6" t="str">
        <x:f>IF(D85="","",VLOOKUP(D85,Courses!$A$5:$G$10,2,FALSE))</x:f>
      </x:c>
      <x:c r="F85" s="47" t="str">
        <x:f>IF(D85="","",VLOOKUP(D85,Courses!$A$5:$G$10,3,FALSE))</x:f>
      </x:c>
      <x:c r="G85" s="9"/>
      <x:c r="H85" s="9"/>
      <x:c r="I85" s="9"/>
      <x:c r="J85" s="43"/>
      <x:c r="K85" s="9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9"/>
      <x:c r="B86" s="43"/>
      <x:c r="C86" s="9"/>
      <x:c r="D86" s="9"/>
      <x:c r="E86" s="6" t="str">
        <x:f>IF(D86="","",VLOOKUP(D86,Courses!$A$5:$G$10,2,FALSE))</x:f>
      </x:c>
      <x:c r="F86" s="47" t="str">
        <x:f>IF(D86="","",VLOOKUP(D86,Courses!$A$5:$G$10,3,FALSE))</x:f>
      </x:c>
      <x:c r="G86" s="9"/>
      <x:c r="H86" s="9"/>
      <x:c r="I86" s="9"/>
      <x:c r="J86" s="43"/>
      <x:c r="K86" s="9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9"/>
      <x:c r="B87" s="43"/>
      <x:c r="C87" s="9"/>
      <x:c r="D87" s="9"/>
      <x:c r="E87" s="6" t="str">
        <x:f>IF(D87="","",VLOOKUP(D87,Courses!$A$5:$G$10,2,FALSE))</x:f>
      </x:c>
      <x:c r="F87" s="47" t="str">
        <x:f>IF(D87="","",VLOOKUP(D87,Courses!$A$5:$G$10,3,FALSE))</x:f>
      </x:c>
      <x:c r="G87" s="9"/>
      <x:c r="H87" s="9"/>
      <x:c r="I87" s="9"/>
      <x:c r="J87" s="43"/>
      <x:c r="K87" s="9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9"/>
      <x:c r="B88" s="43"/>
      <x:c r="C88" s="9"/>
      <x:c r="D88" s="9"/>
      <x:c r="E88" s="6" t="str">
        <x:f>IF(D88="","",VLOOKUP(D88,Courses!$A$5:$G$10,2,FALSE))</x:f>
      </x:c>
      <x:c r="F88" s="47" t="str">
        <x:f>IF(D88="","",VLOOKUP(D88,Courses!$A$5:$G$10,3,FALSE))</x:f>
      </x:c>
      <x:c r="G88" s="9"/>
      <x:c r="H88" s="9"/>
      <x:c r="I88" s="9"/>
      <x:c r="J88" s="43"/>
      <x:c r="K88" s="9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9"/>
      <x:c r="B89" s="43"/>
      <x:c r="C89" s="9"/>
      <x:c r="D89" s="9"/>
      <x:c r="E89" s="6" t="str">
        <x:f>IF(D89="","",VLOOKUP(D89,Courses!$A$5:$G$10,2,FALSE))</x:f>
      </x:c>
      <x:c r="F89" s="47" t="str">
        <x:f>IF(D89="","",VLOOKUP(D89,Courses!$A$5:$G$10,3,FALSE))</x:f>
      </x:c>
      <x:c r="G89" s="9"/>
      <x:c r="H89" s="9"/>
      <x:c r="I89" s="9"/>
      <x:c r="J89" s="43"/>
      <x:c r="K89" s="9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9"/>
      <x:c r="B90" s="43"/>
      <x:c r="C90" s="9"/>
      <x:c r="D90" s="9"/>
      <x:c r="E90" s="6" t="str">
        <x:f>IF(D90="","",VLOOKUP(D90,Courses!$A$5:$G$10,2,FALSE))</x:f>
      </x:c>
      <x:c r="F90" s="47" t="str">
        <x:f>IF(D90="","",VLOOKUP(D90,Courses!$A$5:$G$10,3,FALSE))</x:f>
      </x:c>
      <x:c r="G90" s="9"/>
      <x:c r="H90" s="9"/>
      <x:c r="I90" s="9"/>
      <x:c r="J90" s="43"/>
      <x:c r="K90" s="9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9"/>
      <x:c r="B91" s="43"/>
      <x:c r="C91" s="9"/>
      <x:c r="D91" s="9"/>
      <x:c r="E91" s="6" t="str">
        <x:f>IF(D91="","",VLOOKUP(D91,Courses!$A$5:$G$10,2,FALSE))</x:f>
      </x:c>
      <x:c r="F91" s="47" t="str">
        <x:f>IF(D91="","",VLOOKUP(D91,Courses!$A$5:$G$10,3,FALSE))</x:f>
      </x:c>
      <x:c r="G91" s="9"/>
      <x:c r="H91" s="9"/>
      <x:c r="I91" s="9"/>
      <x:c r="J91" s="43"/>
      <x:c r="K91" s="9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9"/>
      <x:c r="B92" s="43"/>
      <x:c r="C92" s="9"/>
      <x:c r="D92" s="9"/>
      <x:c r="E92" s="6" t="str">
        <x:f>IF(D92="","",VLOOKUP(D92,Courses!$A$5:$G$10,2,FALSE))</x:f>
      </x:c>
      <x:c r="F92" s="47" t="str">
        <x:f>IF(D92="","",VLOOKUP(D92,Courses!$A$5:$G$10,3,FALSE))</x:f>
      </x:c>
      <x:c r="G92" s="9"/>
      <x:c r="H92" s="9"/>
      <x:c r="I92" s="9"/>
      <x:c r="J92" s="43"/>
      <x:c r="K92" s="9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9"/>
      <x:c r="B93" s="43"/>
      <x:c r="C93" s="9"/>
      <x:c r="D93" s="9"/>
      <x:c r="E93" s="6" t="str">
        <x:f>IF(D93="","",VLOOKUP(D93,Courses!$A$5:$G$10,2,FALSE))</x:f>
      </x:c>
      <x:c r="F93" s="47" t="str">
        <x:f>IF(D93="","",VLOOKUP(D93,Courses!$A$5:$G$10,3,FALSE))</x:f>
      </x:c>
      <x:c r="G93" s="9"/>
      <x:c r="H93" s="9"/>
      <x:c r="I93" s="9"/>
      <x:c r="J93" s="43"/>
      <x:c r="K93" s="9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9"/>
      <x:c r="B94" s="43"/>
      <x:c r="C94" s="9"/>
      <x:c r="D94" s="9"/>
      <x:c r="E94" s="6" t="str">
        <x:f>IF(D94="","",VLOOKUP(D94,Courses!$A$5:$G$10,2,FALSE))</x:f>
      </x:c>
      <x:c r="F94" s="47" t="str">
        <x:f>IF(D94="","",VLOOKUP(D94,Courses!$A$5:$G$10,3,FALSE))</x:f>
      </x:c>
      <x:c r="G94" s="9"/>
      <x:c r="H94" s="9"/>
      <x:c r="I94" s="9"/>
      <x:c r="J94" s="43"/>
      <x:c r="K94" s="9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9"/>
      <x:c r="B95" s="43"/>
      <x:c r="C95" s="9"/>
      <x:c r="D95" s="9"/>
      <x:c r="E95" s="6" t="str">
        <x:f>IF(D95="","",VLOOKUP(D95,Courses!$A$5:$G$10,2,FALSE))</x:f>
      </x:c>
      <x:c r="F95" s="47" t="str">
        <x:f>IF(D95="","",VLOOKUP(D95,Courses!$A$5:$G$10,3,FALSE))</x:f>
      </x:c>
      <x:c r="G95" s="9"/>
      <x:c r="H95" s="9"/>
      <x:c r="I95" s="9"/>
      <x:c r="J95" s="43"/>
      <x:c r="K95" s="9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9"/>
      <x:c r="B96" s="43"/>
      <x:c r="C96" s="9"/>
      <x:c r="D96" s="9"/>
      <x:c r="E96" s="6" t="str">
        <x:f>IF(D96="","",VLOOKUP(D96,Courses!$A$5:$G$10,2,FALSE))</x:f>
      </x:c>
      <x:c r="F96" s="47" t="str">
        <x:f>IF(D96="","",VLOOKUP(D96,Courses!$A$5:$G$10,3,FALSE))</x:f>
      </x:c>
      <x:c r="G96" s="9"/>
      <x:c r="H96" s="9"/>
      <x:c r="I96" s="9"/>
      <x:c r="J96" s="43"/>
      <x:c r="K96" s="9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9"/>
      <x:c r="B97" s="43"/>
      <x:c r="C97" s="9"/>
      <x:c r="D97" s="9"/>
      <x:c r="E97" s="6" t="str">
        <x:f>IF(D97="","",VLOOKUP(D97,Courses!$A$5:$G$10,2,FALSE))</x:f>
      </x:c>
      <x:c r="F97" s="47" t="str">
        <x:f>IF(D97="","",VLOOKUP(D97,Courses!$A$5:$G$10,3,FALSE))</x:f>
      </x:c>
      <x:c r="G97" s="9"/>
      <x:c r="H97" s="9"/>
      <x:c r="I97" s="9"/>
      <x:c r="J97" s="43"/>
      <x:c r="K97" s="9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9"/>
      <x:c r="B98" s="43"/>
      <x:c r="C98" s="9"/>
      <x:c r="D98" s="9"/>
      <x:c r="E98" s="6" t="str">
        <x:f>IF(D98="","",VLOOKUP(D98,Courses!$A$5:$G$10,2,FALSE))</x:f>
      </x:c>
      <x:c r="F98" s="47" t="str">
        <x:f>IF(D98="","",VLOOKUP(D98,Courses!$A$5:$G$10,3,FALSE))</x:f>
      </x:c>
      <x:c r="G98" s="9"/>
      <x:c r="H98" s="9"/>
      <x:c r="I98" s="9"/>
      <x:c r="J98" s="43"/>
      <x:c r="K98" s="9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9"/>
      <x:c r="B99" s="43"/>
      <x:c r="C99" s="9"/>
      <x:c r="D99" s="9"/>
      <x:c r="E99" s="6" t="str">
        <x:f>IF(D99="","",VLOOKUP(D99,Courses!$A$5:$G$10,2,FALSE))</x:f>
      </x:c>
      <x:c r="F99" s="47" t="str">
        <x:f>IF(D99="","",VLOOKUP(D99,Courses!$A$5:$G$10,3,FALSE))</x:f>
      </x:c>
      <x:c r="G99" s="9"/>
      <x:c r="H99" s="9"/>
      <x:c r="I99" s="9"/>
      <x:c r="J99" s="43"/>
      <x:c r="K99" s="9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9"/>
      <x:c r="B100" s="43"/>
      <x:c r="C100" s="9"/>
      <x:c r="D100" s="9"/>
      <x:c r="E100" s="6" t="str">
        <x:f>IF(D100="","",VLOOKUP(D100,Courses!$A$5:$G$10,2,FALSE))</x:f>
      </x:c>
      <x:c r="F100" s="47" t="str">
        <x:f>IF(D100="","",VLOOKUP(D100,Courses!$A$5:$G$10,3,FALSE))</x:f>
      </x:c>
      <x:c r="G100" s="9"/>
      <x:c r="H100" s="9"/>
      <x:c r="I100" s="9"/>
      <x:c r="J100" s="43"/>
      <x:c r="K100" s="9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9"/>
      <x:c r="B101" s="43"/>
      <x:c r="C101" s="9"/>
      <x:c r="D101" s="9"/>
      <x:c r="E101" s="6" t="str">
        <x:f>IF(D101="","",VLOOKUP(D101,Courses!$A$5:$G$10,2,FALSE))</x:f>
      </x:c>
      <x:c r="F101" s="47" t="str">
        <x:f>IF(D101="","",VLOOKUP(D101,Courses!$A$5:$G$10,3,FALSE))</x:f>
      </x:c>
      <x:c r="G101" s="9"/>
      <x:c r="H101" s="9"/>
      <x:c r="I101" s="9"/>
      <x:c r="J101" s="43"/>
      <x:c r="K101" s="9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9"/>
      <x:c r="B102" s="43"/>
      <x:c r="C102" s="9"/>
      <x:c r="D102" s="9"/>
      <x:c r="E102" s="6" t="str">
        <x:f>IF(D102="","",VLOOKUP(D102,Courses!$A$5:$G$10,2,FALSE))</x:f>
      </x:c>
      <x:c r="F102" s="47" t="str">
        <x:f>IF(D102="","",VLOOKUP(D102,Courses!$A$5:$G$10,3,FALSE))</x:f>
      </x:c>
      <x:c r="G102" s="9"/>
      <x:c r="H102" s="9"/>
      <x:c r="I102" s="9"/>
      <x:c r="J102" s="43"/>
      <x:c r="K102" s="9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9"/>
      <x:c r="B103" s="43"/>
      <x:c r="C103" s="9"/>
      <x:c r="D103" s="9"/>
      <x:c r="E103" s="6" t="str">
        <x:f>IF(D103="","",VLOOKUP(D103,Courses!$A$5:$G$10,2,FALSE))</x:f>
      </x:c>
      <x:c r="F103" s="47" t="str">
        <x:f>IF(D103="","",VLOOKUP(D103,Courses!$A$5:$G$10,3,FALSE))</x:f>
      </x:c>
      <x:c r="G103" s="9"/>
      <x:c r="H103" s="9"/>
      <x:c r="I103" s="9"/>
      <x:c r="J103" s="43"/>
      <x:c r="K103" s="9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9"/>
      <x:c r="B104" s="43"/>
      <x:c r="C104" s="9"/>
      <x:c r="D104" s="9"/>
      <x:c r="E104" s="6" t="str">
        <x:f>IF(D104="","",VLOOKUP(D104,Courses!$A$5:$G$10,2,FALSE))</x:f>
      </x:c>
      <x:c r="F104" s="47" t="str">
        <x:f>IF(D104="","",VLOOKUP(D104,Courses!$A$5:$G$10,3,FALSE))</x:f>
      </x:c>
      <x:c r="G104" s="9"/>
      <x:c r="H104" s="9"/>
      <x:c r="I104" s="9"/>
      <x:c r="J104" s="43"/>
      <x:c r="K104" s="9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9"/>
      <x:c r="B105" s="43"/>
      <x:c r="C105" s="9"/>
      <x:c r="D105" s="9"/>
      <x:c r="E105" s="6" t="str">
        <x:f>IF(D105="","",VLOOKUP(D105,Courses!$A$5:$G$10,2,FALSE))</x:f>
      </x:c>
      <x:c r="F105" s="47" t="str">
        <x:f>IF(D105="","",VLOOKUP(D105,Courses!$A$5:$G$10,3,FALSE))</x:f>
      </x:c>
      <x:c r="G105" s="9"/>
      <x:c r="H105" s="9"/>
      <x:c r="I105" s="9"/>
      <x:c r="J105" s="43"/>
      <x:c r="K105" s="9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9"/>
      <x:c r="B106" s="43"/>
      <x:c r="C106" s="9"/>
      <x:c r="D106" s="9"/>
      <x:c r="E106" s="6" t="str">
        <x:f>IF(D106="","",VLOOKUP(D106,Courses!$A$5:$G$10,2,FALSE))</x:f>
      </x:c>
      <x:c r="F106" s="47" t="str">
        <x:f>IF(D106="","",VLOOKUP(D106,Courses!$A$5:$G$10,3,FALSE))</x:f>
      </x:c>
      <x:c r="G106" s="9"/>
      <x:c r="H106" s="9"/>
      <x:c r="I106" s="9"/>
      <x:c r="J106" s="43"/>
      <x:c r="K106" s="9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9"/>
      <x:c r="B107" s="43"/>
      <x:c r="C107" s="9"/>
      <x:c r="D107" s="9"/>
      <x:c r="E107" s="6" t="str">
        <x:f>IF(D107="","",VLOOKUP(D107,Courses!$A$5:$G$10,2,FALSE))</x:f>
      </x:c>
      <x:c r="F107" s="47" t="str">
        <x:f>IF(D107="","",VLOOKUP(D107,Courses!$A$5:$G$10,3,FALSE))</x:f>
      </x:c>
      <x:c r="G107" s="9"/>
      <x:c r="H107" s="9"/>
      <x:c r="I107" s="9"/>
      <x:c r="J107" s="43"/>
      <x:c r="K107" s="9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9"/>
      <x:c r="B108" s="43"/>
      <x:c r="C108" s="9"/>
      <x:c r="D108" s="9"/>
      <x:c r="E108" s="6" t="str">
        <x:f>IF(D108="","",VLOOKUP(D108,Courses!$A$5:$G$10,2,FALSE))</x:f>
      </x:c>
      <x:c r="F108" s="47" t="str">
        <x:f>IF(D108="","",VLOOKUP(D108,Courses!$A$5:$G$10,3,FALSE))</x:f>
      </x:c>
      <x:c r="G108" s="9"/>
      <x:c r="H108" s="9"/>
      <x:c r="I108" s="9"/>
      <x:c r="J108" s="43"/>
      <x:c r="K108" s="9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9"/>
      <x:c r="B109" s="43"/>
      <x:c r="C109" s="9"/>
      <x:c r="D109" s="9"/>
      <x:c r="E109" s="6" t="str">
        <x:f>IF(D109="","",VLOOKUP(D109,Courses!$A$5:$G$10,2,FALSE))</x:f>
      </x:c>
      <x:c r="F109" s="47" t="str">
        <x:f>IF(D109="","",VLOOKUP(D109,Courses!$A$5:$G$10,3,FALSE))</x:f>
      </x:c>
      <x:c r="G109" s="9"/>
      <x:c r="H109" s="9"/>
      <x:c r="I109" s="9"/>
      <x:c r="J109" s="43"/>
      <x:c r="K109" s="9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9"/>
      <x:c r="B110" s="43"/>
      <x:c r="C110" s="9"/>
      <x:c r="D110" s="9"/>
      <x:c r="E110" s="6" t="str">
        <x:f>IF(D110="","",VLOOKUP(D110,Courses!$A$5:$G$10,2,FALSE))</x:f>
      </x:c>
      <x:c r="F110" s="47" t="str">
        <x:f>IF(D110="","",VLOOKUP(D110,Courses!$A$5:$G$10,3,FALSE))</x:f>
      </x:c>
      <x:c r="G110" s="9"/>
      <x:c r="H110" s="9"/>
      <x:c r="I110" s="9"/>
      <x:c r="J110" s="43"/>
      <x:c r="K110" s="9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9"/>
      <x:c r="B111" s="43"/>
      <x:c r="C111" s="9"/>
      <x:c r="D111" s="9"/>
      <x:c r="E111" s="6" t="str">
        <x:f>IF(D111="","",VLOOKUP(D111,Courses!$A$5:$G$10,2,FALSE))</x:f>
      </x:c>
      <x:c r="F111" s="47" t="str">
        <x:f>IF(D111="","",VLOOKUP(D111,Courses!$A$5:$G$10,3,FALSE))</x:f>
      </x:c>
      <x:c r="G111" s="9"/>
      <x:c r="H111" s="9"/>
      <x:c r="I111" s="9"/>
      <x:c r="J111" s="43"/>
      <x:c r="K111" s="9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9"/>
      <x:c r="B112" s="43"/>
      <x:c r="C112" s="9"/>
      <x:c r="D112" s="9"/>
      <x:c r="E112" s="6" t="str">
        <x:f>IF(D112="","",VLOOKUP(D112,Courses!$A$5:$G$10,2,FALSE))</x:f>
      </x:c>
      <x:c r="F112" s="47" t="str">
        <x:f>IF(D112="","",VLOOKUP(D112,Courses!$A$5:$G$10,3,FALSE))</x:f>
      </x:c>
      <x:c r="G112" s="9"/>
      <x:c r="H112" s="9"/>
      <x:c r="I112" s="9"/>
      <x:c r="J112" s="43"/>
      <x:c r="K112" s="9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9"/>
      <x:c r="B113" s="43"/>
      <x:c r="C113" s="9"/>
      <x:c r="D113" s="9"/>
      <x:c r="E113" s="6" t="str">
        <x:f>IF(D113="","",VLOOKUP(D113,Courses!$A$5:$G$10,2,FALSE))</x:f>
      </x:c>
      <x:c r="F113" s="47" t="str">
        <x:f>IF(D113="","",VLOOKUP(D113,Courses!$A$5:$G$10,3,FALSE))</x:f>
      </x:c>
      <x:c r="G113" s="9"/>
      <x:c r="H113" s="9"/>
      <x:c r="I113" s="9"/>
      <x:c r="J113" s="43"/>
      <x:c r="K113" s="9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9"/>
      <x:c r="B114" s="43"/>
      <x:c r="C114" s="9"/>
      <x:c r="D114" s="9"/>
      <x:c r="E114" s="6" t="str">
        <x:f>IF(D114="","",VLOOKUP(D114,Courses!$A$5:$G$10,2,FALSE))</x:f>
      </x:c>
      <x:c r="F114" s="47" t="str">
        <x:f>IF(D114="","",VLOOKUP(D114,Courses!$A$5:$G$10,3,FALSE))</x:f>
      </x:c>
      <x:c r="G114" s="9"/>
      <x:c r="H114" s="9"/>
      <x:c r="I114" s="9"/>
      <x:c r="J114" s="43"/>
      <x:c r="K114" s="9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9"/>
      <x:c r="B115" s="43"/>
      <x:c r="C115" s="9"/>
      <x:c r="D115" s="9"/>
      <x:c r="E115" s="6" t="str">
        <x:f>IF(D115="","",VLOOKUP(D115,Courses!$A$5:$G$10,2,FALSE))</x:f>
      </x:c>
      <x:c r="F115" s="47" t="str">
        <x:f>IF(D115="","",VLOOKUP(D115,Courses!$A$5:$G$10,3,FALSE))</x:f>
      </x:c>
      <x:c r="G115" s="9"/>
      <x:c r="H115" s="9"/>
      <x:c r="I115" s="9"/>
      <x:c r="J115" s="43"/>
      <x:c r="K115" s="9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9"/>
      <x:c r="B116" s="43"/>
      <x:c r="C116" s="9"/>
      <x:c r="D116" s="9"/>
      <x:c r="E116" s="6" t="str">
        <x:f>IF(D116="","",VLOOKUP(D116,Courses!$A$5:$G$10,2,FALSE))</x:f>
      </x:c>
      <x:c r="F116" s="47" t="str">
        <x:f>IF(D116="","",VLOOKUP(D116,Courses!$A$5:$G$10,3,FALSE))</x:f>
      </x:c>
      <x:c r="G116" s="9"/>
      <x:c r="H116" s="9"/>
      <x:c r="I116" s="9"/>
      <x:c r="J116" s="43"/>
      <x:c r="K116" s="9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9"/>
      <x:c r="B117" s="43"/>
      <x:c r="C117" s="9"/>
      <x:c r="D117" s="9"/>
      <x:c r="E117" s="6" t="str">
        <x:f>IF(D117="","",VLOOKUP(D117,Courses!$A$5:$G$10,2,FALSE))</x:f>
      </x:c>
      <x:c r="F117" s="47" t="str">
        <x:f>IF(D117="","",VLOOKUP(D117,Courses!$A$5:$G$10,3,FALSE))</x:f>
      </x:c>
      <x:c r="G117" s="9"/>
      <x:c r="H117" s="9"/>
      <x:c r="I117" s="9"/>
      <x:c r="J117" s="43"/>
      <x:c r="K117" s="9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9"/>
      <x:c r="B118" s="43"/>
      <x:c r="C118" s="9"/>
      <x:c r="D118" s="9"/>
      <x:c r="E118" s="6" t="str">
        <x:f>IF(D118="","",VLOOKUP(D118,Courses!$A$5:$G$10,2,FALSE))</x:f>
      </x:c>
      <x:c r="F118" s="47" t="str">
        <x:f>IF(D118="","",VLOOKUP(D118,Courses!$A$5:$G$10,3,FALSE))</x:f>
      </x:c>
      <x:c r="G118" s="9"/>
      <x:c r="H118" s="9"/>
      <x:c r="I118" s="9"/>
      <x:c r="J118" s="43"/>
      <x:c r="K118" s="9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9"/>
      <x:c r="B119" s="43"/>
      <x:c r="C119" s="9"/>
      <x:c r="D119" s="9"/>
      <x:c r="E119" s="6" t="str">
        <x:f>IF(D119="","",VLOOKUP(D119,Courses!$A$5:$G$10,2,FALSE))</x:f>
      </x:c>
      <x:c r="F119" s="47" t="str">
        <x:f>IF(D119="","",VLOOKUP(D119,Courses!$A$5:$G$10,3,FALSE))</x:f>
      </x:c>
      <x:c r="G119" s="9"/>
      <x:c r="H119" s="9"/>
      <x:c r="I119" s="9"/>
      <x:c r="J119" s="43"/>
      <x:c r="K119" s="9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9"/>
      <x:c r="B120" s="43"/>
      <x:c r="C120" s="9"/>
      <x:c r="D120" s="9"/>
      <x:c r="E120" s="6" t="str">
        <x:f>IF(D120="","",VLOOKUP(D120,Courses!$A$5:$G$10,2,FALSE))</x:f>
      </x:c>
      <x:c r="F120" s="47" t="str">
        <x:f>IF(D120="","",VLOOKUP(D120,Courses!$A$5:$G$10,3,FALSE))</x:f>
      </x:c>
      <x:c r="G120" s="9"/>
      <x:c r="H120" s="9"/>
      <x:c r="I120" s="9"/>
      <x:c r="J120" s="43"/>
      <x:c r="K120" s="9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9"/>
      <x:c r="B121" s="43"/>
      <x:c r="C121" s="9"/>
      <x:c r="D121" s="9"/>
      <x:c r="E121" s="6" t="str">
        <x:f>IF(D121="","",VLOOKUP(D121,Courses!$A$5:$G$10,2,FALSE))</x:f>
      </x:c>
      <x:c r="F121" s="47" t="str">
        <x:f>IF(D121="","",VLOOKUP(D121,Courses!$A$5:$G$10,3,FALSE))</x:f>
      </x:c>
      <x:c r="G121" s="9"/>
      <x:c r="H121" s="9"/>
      <x:c r="I121" s="9"/>
      <x:c r="J121" s="43"/>
      <x:c r="K121" s="9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9"/>
      <x:c r="B122" s="43"/>
      <x:c r="C122" s="9"/>
      <x:c r="D122" s="9"/>
      <x:c r="E122" s="6" t="str">
        <x:f>IF(D122="","",VLOOKUP(D122,Courses!$A$5:$G$10,2,FALSE))</x:f>
      </x:c>
      <x:c r="F122" s="47" t="str">
        <x:f>IF(D122="","",VLOOKUP(D122,Courses!$A$5:$G$10,3,FALSE))</x:f>
      </x:c>
      <x:c r="G122" s="9"/>
      <x:c r="H122" s="9"/>
      <x:c r="I122" s="9"/>
      <x:c r="J122" s="43"/>
      <x:c r="K122" s="9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9"/>
      <x:c r="B123" s="43"/>
      <x:c r="C123" s="9"/>
      <x:c r="D123" s="9"/>
      <x:c r="E123" s="6" t="str">
        <x:f>IF(D123="","",VLOOKUP(D123,Courses!$A$5:$G$10,2,FALSE))</x:f>
      </x:c>
      <x:c r="F123" s="47" t="str">
        <x:f>IF(D123="","",VLOOKUP(D123,Courses!$A$5:$G$10,3,FALSE))</x:f>
      </x:c>
      <x:c r="G123" s="9"/>
      <x:c r="H123" s="9"/>
      <x:c r="I123" s="9"/>
      <x:c r="J123" s="43"/>
      <x:c r="K123" s="9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9"/>
      <x:c r="B124" s="43"/>
      <x:c r="C124" s="9"/>
      <x:c r="D124" s="9"/>
      <x:c r="E124" s="6" t="str">
        <x:f>IF(D124="","",VLOOKUP(D124,Courses!$A$5:$G$10,2,FALSE))</x:f>
      </x:c>
      <x:c r="F124" s="47" t="str">
        <x:f>IF(D124="","",VLOOKUP(D124,Courses!$A$5:$G$10,3,FALSE))</x:f>
      </x:c>
      <x:c r="G124" s="9"/>
      <x:c r="H124" s="9"/>
      <x:c r="I124" s="9"/>
      <x:c r="J124" s="43"/>
      <x:c r="K124" s="9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9"/>
      <x:c r="B125" s="43"/>
      <x:c r="C125" s="9"/>
      <x:c r="D125" s="9"/>
      <x:c r="E125" s="6" t="str">
        <x:f>IF(D125="","",VLOOKUP(D125,Courses!$A$5:$G$10,2,FALSE))</x:f>
      </x:c>
      <x:c r="F125" s="47" t="str">
        <x:f>IF(D125="","",VLOOKUP(D125,Courses!$A$5:$G$10,3,FALSE))</x:f>
      </x:c>
      <x:c r="G125" s="9"/>
      <x:c r="H125" s="9"/>
      <x:c r="I125" s="9"/>
      <x:c r="J125" s="43"/>
      <x:c r="K125" s="9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9"/>
      <x:c r="B126" s="43"/>
      <x:c r="C126" s="9"/>
      <x:c r="D126" s="9"/>
      <x:c r="E126" s="6" t="str">
        <x:f>IF(D126="","",VLOOKUP(D126,Courses!$A$5:$G$10,2,FALSE))</x:f>
      </x:c>
      <x:c r="F126" s="47" t="str">
        <x:f>IF(D126="","",VLOOKUP(D126,Courses!$A$5:$G$10,3,FALSE))</x:f>
      </x:c>
      <x:c r="G126" s="9"/>
      <x:c r="H126" s="9"/>
      <x:c r="I126" s="9"/>
      <x:c r="J126" s="43"/>
      <x:c r="K126" s="9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9"/>
      <x:c r="B127" s="43"/>
      <x:c r="C127" s="9"/>
      <x:c r="D127" s="9"/>
      <x:c r="E127" s="6" t="str">
        <x:f>IF(D127="","",VLOOKUP(D127,Courses!$A$5:$G$10,2,FALSE))</x:f>
      </x:c>
      <x:c r="F127" s="47" t="str">
        <x:f>IF(D127="","",VLOOKUP(D127,Courses!$A$5:$G$10,3,FALSE))</x:f>
      </x:c>
      <x:c r="G127" s="9"/>
      <x:c r="H127" s="9"/>
      <x:c r="I127" s="9"/>
      <x:c r="J127" s="43"/>
      <x:c r="K127" s="9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9"/>
      <x:c r="B128" s="43"/>
      <x:c r="C128" s="9"/>
      <x:c r="D128" s="9"/>
      <x:c r="E128" s="6" t="str">
        <x:f>IF(D128="","",VLOOKUP(D128,Courses!$A$5:$G$10,2,FALSE))</x:f>
      </x:c>
      <x:c r="F128" s="47" t="str">
        <x:f>IF(D128="","",VLOOKUP(D128,Courses!$A$5:$G$10,3,FALSE))</x:f>
      </x:c>
      <x:c r="G128" s="9"/>
      <x:c r="H128" s="9"/>
      <x:c r="I128" s="9"/>
      <x:c r="J128" s="43"/>
      <x:c r="K128" s="9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9"/>
      <x:c r="B129" s="43"/>
      <x:c r="C129" s="9"/>
      <x:c r="D129" s="9"/>
      <x:c r="E129" s="6" t="str">
        <x:f>IF(D129="","",VLOOKUP(D129,Courses!$A$5:$G$10,2,FALSE))</x:f>
      </x:c>
      <x:c r="F129" s="47" t="str">
        <x:f>IF(D129="","",VLOOKUP(D129,Courses!$A$5:$G$10,3,FALSE))</x:f>
      </x:c>
      <x:c r="G129" s="9"/>
      <x:c r="H129" s="9"/>
      <x:c r="I129" s="9"/>
      <x:c r="J129" s="43"/>
      <x:c r="K129" s="9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9"/>
      <x:c r="B130" s="43"/>
      <x:c r="C130" s="9"/>
      <x:c r="D130" s="9"/>
      <x:c r="E130" s="6" t="str">
        <x:f>IF(D130="","",VLOOKUP(D130,Courses!$A$5:$G$10,2,FALSE))</x:f>
      </x:c>
      <x:c r="F130" s="47" t="str">
        <x:f>IF(D130="","",VLOOKUP(D130,Courses!$A$5:$G$10,3,FALSE))</x:f>
      </x:c>
      <x:c r="G130" s="9"/>
      <x:c r="H130" s="9"/>
      <x:c r="I130" s="9"/>
      <x:c r="J130" s="43"/>
      <x:c r="K130" s="9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9"/>
      <x:c r="B131" s="43"/>
      <x:c r="C131" s="9"/>
      <x:c r="D131" s="9"/>
      <x:c r="E131" s="6" t="str">
        <x:f>IF(D131="","",VLOOKUP(D131,Courses!$A$5:$G$10,2,FALSE))</x:f>
      </x:c>
      <x:c r="F131" s="47" t="str">
        <x:f>IF(D131="","",VLOOKUP(D131,Courses!$A$5:$G$10,3,FALSE))</x:f>
      </x:c>
      <x:c r="G131" s="9"/>
      <x:c r="H131" s="9"/>
      <x:c r="I131" s="9"/>
      <x:c r="J131" s="43"/>
      <x:c r="K131" s="9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9"/>
      <x:c r="B132" s="43"/>
      <x:c r="C132" s="9"/>
      <x:c r="D132" s="9"/>
      <x:c r="E132" s="6" t="str">
        <x:f>IF(D132="","",VLOOKUP(D132,Courses!$A$5:$G$10,2,FALSE))</x:f>
      </x:c>
      <x:c r="F132" s="47" t="str">
        <x:f>IF(D132="","",VLOOKUP(D132,Courses!$A$5:$G$10,3,FALSE))</x:f>
      </x:c>
      <x:c r="G132" s="9"/>
      <x:c r="H132" s="9"/>
      <x:c r="I132" s="9"/>
      <x:c r="J132" s="43"/>
      <x:c r="K132" s="9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9"/>
      <x:c r="B133" s="43"/>
      <x:c r="C133" s="9"/>
      <x:c r="D133" s="9"/>
      <x:c r="E133" s="6" t="str">
        <x:f>IF(D133="","",VLOOKUP(D133,Courses!$A$5:$G$10,2,FALSE))</x:f>
      </x:c>
      <x:c r="F133" s="47" t="str">
        <x:f>IF(D133="","",VLOOKUP(D133,Courses!$A$5:$G$10,3,FALSE))</x:f>
      </x:c>
      <x:c r="G133" s="9"/>
      <x:c r="H133" s="9"/>
      <x:c r="I133" s="9"/>
      <x:c r="J133" s="43"/>
      <x:c r="K133" s="9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9"/>
      <x:c r="B134" s="43"/>
      <x:c r="C134" s="9"/>
      <x:c r="D134" s="9"/>
      <x:c r="E134" s="6" t="str">
        <x:f>IF(D134="","",VLOOKUP(D134,Courses!$A$5:$G$10,2,FALSE))</x:f>
      </x:c>
      <x:c r="F134" s="47" t="str">
        <x:f>IF(D134="","",VLOOKUP(D134,Courses!$A$5:$G$10,3,FALSE))</x:f>
      </x:c>
      <x:c r="G134" s="9"/>
      <x:c r="H134" s="9"/>
      <x:c r="I134" s="9"/>
      <x:c r="J134" s="43"/>
      <x:c r="K134" s="9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9"/>
      <x:c r="B135" s="43"/>
      <x:c r="C135" s="9"/>
      <x:c r="D135" s="9"/>
      <x:c r="E135" s="6" t="str">
        <x:f>IF(D135="","",VLOOKUP(D135,Courses!$A$5:$G$10,2,FALSE))</x:f>
      </x:c>
      <x:c r="F135" s="47" t="str">
        <x:f>IF(D135="","",VLOOKUP(D135,Courses!$A$5:$G$10,3,FALSE))</x:f>
      </x:c>
      <x:c r="G135" s="9"/>
      <x:c r="H135" s="9"/>
      <x:c r="I135" s="9"/>
      <x:c r="J135" s="43"/>
      <x:c r="K135" s="9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9"/>
      <x:c r="B136" s="43"/>
      <x:c r="C136" s="9"/>
      <x:c r="D136" s="9"/>
      <x:c r="E136" s="6" t="str">
        <x:f>IF(D136="","",VLOOKUP(D136,Courses!$A$5:$G$10,2,FALSE))</x:f>
      </x:c>
      <x:c r="F136" s="47" t="str">
        <x:f>IF(D136="","",VLOOKUP(D136,Courses!$A$5:$G$10,3,FALSE))</x:f>
      </x:c>
      <x:c r="G136" s="9"/>
      <x:c r="H136" s="9"/>
      <x:c r="I136" s="9"/>
      <x:c r="J136" s="43"/>
      <x:c r="K136" s="9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9"/>
      <x:c r="B137" s="43"/>
      <x:c r="C137" s="9"/>
      <x:c r="D137" s="9"/>
      <x:c r="E137" s="6" t="str">
        <x:f>IF(D137="","",VLOOKUP(D137,Courses!$A$5:$G$10,2,FALSE))</x:f>
      </x:c>
      <x:c r="F137" s="47" t="str">
        <x:f>IF(D137="","",VLOOKUP(D137,Courses!$A$5:$G$10,3,FALSE))</x:f>
      </x:c>
      <x:c r="G137" s="9"/>
      <x:c r="H137" s="9"/>
      <x:c r="I137" s="9"/>
      <x:c r="J137" s="43"/>
      <x:c r="K137" s="9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9"/>
      <x:c r="B138" s="43"/>
      <x:c r="C138" s="9"/>
      <x:c r="D138" s="9"/>
      <x:c r="E138" s="6" t="str">
        <x:f>IF(D138="","",VLOOKUP(D138,Courses!$A$5:$G$10,2,FALSE))</x:f>
      </x:c>
      <x:c r="F138" s="47" t="str">
        <x:f>IF(D138="","",VLOOKUP(D138,Courses!$A$5:$G$10,3,FALSE))</x:f>
      </x:c>
      <x:c r="G138" s="9"/>
      <x:c r="H138" s="9"/>
      <x:c r="I138" s="9"/>
      <x:c r="J138" s="43"/>
      <x:c r="K138" s="9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9"/>
      <x:c r="B139" s="43"/>
      <x:c r="C139" s="9"/>
      <x:c r="D139" s="9"/>
      <x:c r="E139" s="6" t="str">
        <x:f>IF(D139="","",VLOOKUP(D139,Courses!$A$5:$G$10,2,FALSE))</x:f>
      </x:c>
      <x:c r="F139" s="47" t="str">
        <x:f>IF(D139="","",VLOOKUP(D139,Courses!$A$5:$G$10,3,FALSE))</x:f>
      </x:c>
      <x:c r="G139" s="9"/>
      <x:c r="H139" s="9"/>
      <x:c r="I139" s="9"/>
      <x:c r="J139" s="43"/>
      <x:c r="K139" s="9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9"/>
      <x:c r="B140" s="43"/>
      <x:c r="C140" s="9"/>
      <x:c r="D140" s="9"/>
      <x:c r="E140" s="6" t="str">
        <x:f>IF(D140="","",VLOOKUP(D140,Courses!$A$5:$G$10,2,FALSE))</x:f>
      </x:c>
      <x:c r="F140" s="47" t="str">
        <x:f>IF(D140="","",VLOOKUP(D140,Courses!$A$5:$G$10,3,FALSE))</x:f>
      </x:c>
      <x:c r="G140" s="9"/>
      <x:c r="H140" s="9"/>
      <x:c r="I140" s="9"/>
      <x:c r="J140" s="43"/>
      <x:c r="K140" s="9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9"/>
      <x:c r="B141" s="43"/>
      <x:c r="C141" s="9"/>
      <x:c r="D141" s="9"/>
      <x:c r="E141" s="6" t="str">
        <x:f>IF(D141="","",VLOOKUP(D141,Courses!$A$5:$G$10,2,FALSE))</x:f>
      </x:c>
      <x:c r="F141" s="47" t="str">
        <x:f>IF(D141="","",VLOOKUP(D141,Courses!$A$5:$G$10,3,FALSE))</x:f>
      </x:c>
      <x:c r="G141" s="9"/>
      <x:c r="H141" s="9"/>
      <x:c r="I141" s="9"/>
      <x:c r="J141" s="43"/>
      <x:c r="K141" s="9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9"/>
      <x:c r="B142" s="43"/>
      <x:c r="C142" s="9"/>
      <x:c r="D142" s="9"/>
      <x:c r="E142" s="6" t="str">
        <x:f>IF(D142="","",VLOOKUP(D142,Courses!$A$5:$G$10,2,FALSE))</x:f>
      </x:c>
      <x:c r="F142" s="47" t="str">
        <x:f>IF(D142="","",VLOOKUP(D142,Courses!$A$5:$G$10,3,FALSE))</x:f>
      </x:c>
      <x:c r="G142" s="9"/>
      <x:c r="H142" s="9"/>
      <x:c r="I142" s="9"/>
      <x:c r="J142" s="43"/>
      <x:c r="K142" s="9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9"/>
      <x:c r="B143" s="43"/>
      <x:c r="C143" s="9"/>
      <x:c r="D143" s="9"/>
      <x:c r="E143" s="6" t="str">
        <x:f>IF(D143="","",VLOOKUP(D143,Courses!$A$5:$G$10,2,FALSE))</x:f>
      </x:c>
      <x:c r="F143" s="47" t="str">
        <x:f>IF(D143="","",VLOOKUP(D143,Courses!$A$5:$G$10,3,FALSE))</x:f>
      </x:c>
      <x:c r="G143" s="9"/>
      <x:c r="H143" s="9"/>
      <x:c r="I143" s="9"/>
      <x:c r="J143" s="43"/>
      <x:c r="K143" s="9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9"/>
      <x:c r="B144" s="43"/>
      <x:c r="C144" s="9"/>
      <x:c r="D144" s="9"/>
      <x:c r="E144" s="6" t="str">
        <x:f>IF(D144="","",VLOOKUP(D144,Courses!$A$5:$G$10,2,FALSE))</x:f>
      </x:c>
      <x:c r="F144" s="47" t="str">
        <x:f>IF(D144="","",VLOOKUP(D144,Courses!$A$5:$G$10,3,FALSE))</x:f>
      </x:c>
      <x:c r="G144" s="9"/>
      <x:c r="H144" s="9"/>
      <x:c r="I144" s="9"/>
      <x:c r="J144" s="43"/>
      <x:c r="K144" s="9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9"/>
      <x:c r="B145" s="43"/>
      <x:c r="C145" s="9"/>
      <x:c r="D145" s="9"/>
      <x:c r="E145" s="6" t="str">
        <x:f>IF(D145="","",VLOOKUP(D145,Courses!$A$5:$G$10,2,FALSE))</x:f>
      </x:c>
      <x:c r="F145" s="47" t="str">
        <x:f>IF(D145="","",VLOOKUP(D145,Courses!$A$5:$G$10,3,FALSE))</x:f>
      </x:c>
      <x:c r="G145" s="9"/>
      <x:c r="H145" s="9"/>
      <x:c r="I145" s="9"/>
      <x:c r="J145" s="43"/>
      <x:c r="K145" s="9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9"/>
      <x:c r="B146" s="43"/>
      <x:c r="C146" s="9"/>
      <x:c r="D146" s="9"/>
      <x:c r="E146" s="6" t="str">
        <x:f>IF(D146="","",VLOOKUP(D146,Courses!$A$5:$G$10,2,FALSE))</x:f>
      </x:c>
      <x:c r="F146" s="47" t="str">
        <x:f>IF(D146="","",VLOOKUP(D146,Courses!$A$5:$G$10,3,FALSE))</x:f>
      </x:c>
      <x:c r="G146" s="9"/>
      <x:c r="H146" s="9"/>
      <x:c r="I146" s="9"/>
      <x:c r="J146" s="43"/>
      <x:c r="K146" s="9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9"/>
      <x:c r="B147" s="43"/>
      <x:c r="C147" s="9"/>
      <x:c r="D147" s="9"/>
      <x:c r="E147" s="6" t="str">
        <x:f>IF(D147="","",VLOOKUP(D147,Courses!$A$5:$G$10,2,FALSE))</x:f>
      </x:c>
      <x:c r="F147" s="47" t="str">
        <x:f>IF(D147="","",VLOOKUP(D147,Courses!$A$5:$G$10,3,FALSE))</x:f>
      </x:c>
      <x:c r="G147" s="9"/>
      <x:c r="H147" s="9"/>
      <x:c r="I147" s="9"/>
      <x:c r="J147" s="43"/>
      <x:c r="K147" s="9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9"/>
      <x:c r="B148" s="43"/>
      <x:c r="C148" s="9"/>
      <x:c r="D148" s="9"/>
      <x:c r="E148" s="6" t="str">
        <x:f>IF(D148="","",VLOOKUP(D148,Courses!$A$5:$G$10,2,FALSE))</x:f>
      </x:c>
      <x:c r="F148" s="47" t="str">
        <x:f>IF(D148="","",VLOOKUP(D148,Courses!$A$5:$G$10,3,FALSE))</x:f>
      </x:c>
      <x:c r="G148" s="9"/>
      <x:c r="H148" s="9"/>
      <x:c r="I148" s="9"/>
      <x:c r="J148" s="43"/>
      <x:c r="K148" s="9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9"/>
      <x:c r="B149" s="43"/>
      <x:c r="C149" s="9"/>
      <x:c r="D149" s="9"/>
      <x:c r="E149" s="6" t="str">
        <x:f>IF(D149="","",VLOOKUP(D149,Courses!$A$5:$G$10,2,FALSE))</x:f>
      </x:c>
      <x:c r="F149" s="47" t="str">
        <x:f>IF(D149="","",VLOOKUP(D149,Courses!$A$5:$G$10,3,FALSE))</x:f>
      </x:c>
      <x:c r="G149" s="9"/>
      <x:c r="H149" s="9"/>
      <x:c r="I149" s="9"/>
      <x:c r="J149" s="43"/>
      <x:c r="K149" s="9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9"/>
      <x:c r="B150" s="43"/>
      <x:c r="C150" s="9"/>
      <x:c r="D150" s="9"/>
      <x:c r="E150" s="6" t="str">
        <x:f>IF(D150="","",VLOOKUP(D150,Courses!$A$5:$G$10,2,FALSE))</x:f>
      </x:c>
      <x:c r="F150" s="47" t="str">
        <x:f>IF(D150="","",VLOOKUP(D150,Courses!$A$5:$G$10,3,FALSE))</x:f>
      </x:c>
      <x:c r="G150" s="9"/>
      <x:c r="H150" s="9"/>
      <x:c r="I150" s="9"/>
      <x:c r="J150" s="43"/>
      <x:c r="K150" s="9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9"/>
      <x:c r="B151" s="43"/>
      <x:c r="C151" s="9"/>
      <x:c r="D151" s="9"/>
      <x:c r="E151" s="6" t="str">
        <x:f>IF(D151="","",VLOOKUP(D151,Courses!$A$5:$G$10,2,FALSE))</x:f>
      </x:c>
      <x:c r="F151" s="47" t="str">
        <x:f>IF(D151="","",VLOOKUP(D151,Courses!$A$5:$G$10,3,FALSE))</x:f>
      </x:c>
      <x:c r="G151" s="9"/>
      <x:c r="H151" s="9"/>
      <x:c r="I151" s="9"/>
      <x:c r="J151" s="43"/>
      <x:c r="K151" s="9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9"/>
      <x:c r="B152" s="43"/>
      <x:c r="C152" s="9"/>
      <x:c r="D152" s="9"/>
      <x:c r="E152" s="6" t="str">
        <x:f>IF(D152="","",VLOOKUP(D152,Courses!$A$5:$G$10,2,FALSE))</x:f>
      </x:c>
      <x:c r="F152" s="47" t="str">
        <x:f>IF(D152="","",VLOOKUP(D152,Courses!$A$5:$G$10,3,FALSE))</x:f>
      </x:c>
      <x:c r="G152" s="9"/>
      <x:c r="H152" s="9"/>
      <x:c r="I152" s="9"/>
      <x:c r="J152" s="43"/>
      <x:c r="K152" s="9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9"/>
      <x:c r="B153" s="43"/>
      <x:c r="C153" s="9"/>
      <x:c r="D153" s="9"/>
      <x:c r="E153" s="6" t="str">
        <x:f>IF(D153="","",VLOOKUP(D153,Courses!$A$5:$G$10,2,FALSE))</x:f>
      </x:c>
      <x:c r="F153" s="47" t="str">
        <x:f>IF(D153="","",VLOOKUP(D153,Courses!$A$5:$G$10,3,FALSE))</x:f>
      </x:c>
      <x:c r="G153" s="9"/>
      <x:c r="H153" s="9"/>
      <x:c r="I153" s="9"/>
      <x:c r="J153" s="43"/>
      <x:c r="K153" s="9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9"/>
      <x:c r="B154" s="43"/>
      <x:c r="C154" s="9"/>
      <x:c r="D154" s="9"/>
      <x:c r="E154" s="6" t="str">
        <x:f>IF(D154="","",VLOOKUP(D154,Courses!$A$5:$G$10,2,FALSE))</x:f>
      </x:c>
      <x:c r="F154" s="47" t="str">
        <x:f>IF(D154="","",VLOOKUP(D154,Courses!$A$5:$G$10,3,FALSE))</x:f>
      </x:c>
      <x:c r="G154" s="9"/>
      <x:c r="H154" s="9"/>
      <x:c r="I154" s="9"/>
      <x:c r="J154" s="43"/>
      <x:c r="K154" s="9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9"/>
      <x:c r="B155" s="43"/>
      <x:c r="C155" s="9"/>
      <x:c r="D155" s="9"/>
      <x:c r="E155" s="6" t="str">
        <x:f>IF(D155="","",VLOOKUP(D155,Courses!$A$5:$G$10,2,FALSE))</x:f>
      </x:c>
      <x:c r="F155" s="47" t="str">
        <x:f>IF(D155="","",VLOOKUP(D155,Courses!$A$5:$G$10,3,FALSE))</x:f>
      </x:c>
      <x:c r="G155" s="9"/>
      <x:c r="H155" s="9"/>
      <x:c r="I155" s="9"/>
      <x:c r="J155" s="43"/>
      <x:c r="K155" s="9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9"/>
      <x:c r="B156" s="43"/>
      <x:c r="C156" s="9"/>
      <x:c r="D156" s="9"/>
      <x:c r="E156" s="6" t="str">
        <x:f>IF(D156="","",VLOOKUP(D156,Courses!$A$5:$G$10,2,FALSE))</x:f>
      </x:c>
      <x:c r="F156" s="47" t="str">
        <x:f>IF(D156="","",VLOOKUP(D156,Courses!$A$5:$G$10,3,FALSE))</x:f>
      </x:c>
      <x:c r="G156" s="9"/>
      <x:c r="H156" s="9"/>
      <x:c r="I156" s="9"/>
      <x:c r="J156" s="43"/>
      <x:c r="K156" s="9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9"/>
      <x:c r="B157" s="43"/>
      <x:c r="C157" s="9"/>
      <x:c r="D157" s="9"/>
      <x:c r="E157" s="6" t="str">
        <x:f>IF(D157="","",VLOOKUP(D157,Courses!$A$5:$G$10,2,FALSE))</x:f>
      </x:c>
      <x:c r="F157" s="47" t="str">
        <x:f>IF(D157="","",VLOOKUP(D157,Courses!$A$5:$G$10,3,FALSE))</x:f>
      </x:c>
      <x:c r="G157" s="9"/>
      <x:c r="H157" s="9"/>
      <x:c r="I157" s="9"/>
      <x:c r="J157" s="43"/>
      <x:c r="K157" s="9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9"/>
      <x:c r="B158" s="43"/>
      <x:c r="C158" s="9"/>
      <x:c r="D158" s="9"/>
      <x:c r="E158" s="6" t="str">
        <x:f>IF(D158="","",VLOOKUP(D158,Courses!$A$5:$G$10,2,FALSE))</x:f>
      </x:c>
      <x:c r="F158" s="47" t="str">
        <x:f>IF(D158="","",VLOOKUP(D158,Courses!$A$5:$G$10,3,FALSE))</x:f>
      </x:c>
      <x:c r="G158" s="9"/>
      <x:c r="H158" s="9"/>
      <x:c r="I158" s="9"/>
      <x:c r="J158" s="43"/>
      <x:c r="K158" s="9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9"/>
      <x:c r="B159" s="43"/>
      <x:c r="C159" s="9"/>
      <x:c r="D159" s="9"/>
      <x:c r="E159" s="6" t="str">
        <x:f>IF(D159="","",VLOOKUP(D159,Courses!$A$5:$G$10,2,FALSE))</x:f>
      </x:c>
      <x:c r="F159" s="47" t="str">
        <x:f>IF(D159="","",VLOOKUP(D159,Courses!$A$5:$G$10,3,FALSE))</x:f>
      </x:c>
      <x:c r="G159" s="9"/>
      <x:c r="H159" s="9"/>
      <x:c r="I159" s="9"/>
      <x:c r="J159" s="43"/>
      <x:c r="K159" s="9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9"/>
      <x:c r="B160" s="43"/>
      <x:c r="C160" s="9"/>
      <x:c r="D160" s="9"/>
      <x:c r="E160" s="6" t="str">
        <x:f>IF(D160="","",VLOOKUP(D160,Courses!$A$5:$G$10,2,FALSE))</x:f>
      </x:c>
      <x:c r="F160" s="47" t="str">
        <x:f>IF(D160="","",VLOOKUP(D160,Courses!$A$5:$G$10,3,FALSE))</x:f>
      </x:c>
      <x:c r="G160" s="9"/>
      <x:c r="H160" s="9"/>
      <x:c r="I160" s="9"/>
      <x:c r="J160" s="43"/>
      <x:c r="K160" s="9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9"/>
      <x:c r="B161" s="43"/>
      <x:c r="C161" s="9"/>
      <x:c r="D161" s="9"/>
      <x:c r="E161" s="6" t="str">
        <x:f>IF(D161="","",VLOOKUP(D161,Courses!$A$5:$G$10,2,FALSE))</x:f>
      </x:c>
      <x:c r="F161" s="47" t="str">
        <x:f>IF(D161="","",VLOOKUP(D161,Courses!$A$5:$G$10,3,FALSE))</x:f>
      </x:c>
      <x:c r="G161" s="9"/>
      <x:c r="H161" s="9"/>
      <x:c r="I161" s="9"/>
      <x:c r="J161" s="43"/>
      <x:c r="K161" s="9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9"/>
      <x:c r="B162" s="43"/>
      <x:c r="C162" s="9"/>
      <x:c r="D162" s="9"/>
      <x:c r="E162" s="6" t="str">
        <x:f>IF(D162="","",VLOOKUP(D162,Courses!$A$5:$G$10,2,FALSE))</x:f>
      </x:c>
      <x:c r="F162" s="47" t="str">
        <x:f>IF(D162="","",VLOOKUP(D162,Courses!$A$5:$G$10,3,FALSE))</x:f>
      </x:c>
      <x:c r="G162" s="9"/>
      <x:c r="H162" s="9"/>
      <x:c r="I162" s="9"/>
      <x:c r="J162" s="43"/>
      <x:c r="K162" s="9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9"/>
      <x:c r="B163" s="43"/>
      <x:c r="C163" s="9"/>
      <x:c r="D163" s="9"/>
      <x:c r="E163" s="6" t="str">
        <x:f>IF(D163="","",VLOOKUP(D163,Courses!$A$5:$G$10,2,FALSE))</x:f>
      </x:c>
      <x:c r="F163" s="47" t="str">
        <x:f>IF(D163="","",VLOOKUP(D163,Courses!$A$5:$G$10,3,FALSE))</x:f>
      </x:c>
      <x:c r="G163" s="9"/>
      <x:c r="H163" s="9"/>
      <x:c r="I163" s="9"/>
      <x:c r="J163" s="43"/>
      <x:c r="K163" s="9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9"/>
      <x:c r="B164" s="43"/>
      <x:c r="C164" s="9"/>
      <x:c r="D164" s="9"/>
      <x:c r="E164" s="6" t="str">
        <x:f>IF(D164="","",VLOOKUP(D164,Courses!$A$5:$G$10,2,FALSE))</x:f>
      </x:c>
      <x:c r="F164" s="47" t="str">
        <x:f>IF(D164="","",VLOOKUP(D164,Courses!$A$5:$G$10,3,FALSE))</x:f>
      </x:c>
      <x:c r="G164" s="9"/>
      <x:c r="H164" s="9"/>
      <x:c r="I164" s="9"/>
      <x:c r="J164" s="43"/>
      <x:c r="K164" s="9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9"/>
      <x:c r="B165" s="43"/>
      <x:c r="C165" s="9"/>
      <x:c r="D165" s="9"/>
      <x:c r="E165" s="6" t="str">
        <x:f>IF(D165="","",VLOOKUP(D165,Courses!$A$5:$G$10,2,FALSE))</x:f>
      </x:c>
      <x:c r="F165" s="47" t="str">
        <x:f>IF(D165="","",VLOOKUP(D165,Courses!$A$5:$G$10,3,FALSE))</x:f>
      </x:c>
      <x:c r="G165" s="9"/>
      <x:c r="H165" s="9"/>
      <x:c r="I165" s="9"/>
      <x:c r="J165" s="43"/>
      <x:c r="K165" s="9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9"/>
      <x:c r="B166" s="43"/>
      <x:c r="C166" s="9"/>
      <x:c r="D166" s="9"/>
      <x:c r="E166" s="6" t="str">
        <x:f>IF(D166="","",VLOOKUP(D166,Courses!$A$5:$G$10,2,FALSE))</x:f>
      </x:c>
      <x:c r="F166" s="47" t="str">
        <x:f>IF(D166="","",VLOOKUP(D166,Courses!$A$5:$G$10,3,FALSE))</x:f>
      </x:c>
      <x:c r="G166" s="9"/>
      <x:c r="H166" s="9"/>
      <x:c r="I166" s="9"/>
      <x:c r="J166" s="43"/>
      <x:c r="K166" s="9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9"/>
      <x:c r="B167" s="43"/>
      <x:c r="C167" s="9"/>
      <x:c r="D167" s="9"/>
      <x:c r="E167" s="6" t="str">
        <x:f>IF(D167="","",VLOOKUP(D167,Courses!$A$5:$G$10,2,FALSE))</x:f>
      </x:c>
      <x:c r="F167" s="47" t="str">
        <x:f>IF(D167="","",VLOOKUP(D167,Courses!$A$5:$G$10,3,FALSE))</x:f>
      </x:c>
      <x:c r="G167" s="9"/>
      <x:c r="H167" s="9"/>
      <x:c r="I167" s="9"/>
      <x:c r="J167" s="43"/>
      <x:c r="K167" s="9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9"/>
      <x:c r="B168" s="43"/>
      <x:c r="C168" s="9"/>
      <x:c r="D168" s="9"/>
      <x:c r="E168" s="6" t="str">
        <x:f>IF(D168="","",VLOOKUP(D168,Courses!$A$5:$G$10,2,FALSE))</x:f>
      </x:c>
      <x:c r="F168" s="47" t="str">
        <x:f>IF(D168="","",VLOOKUP(D168,Courses!$A$5:$G$10,3,FALSE))</x:f>
      </x:c>
      <x:c r="G168" s="9"/>
      <x:c r="H168" s="9"/>
      <x:c r="I168" s="9"/>
      <x:c r="J168" s="43"/>
      <x:c r="K168" s="9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9"/>
      <x:c r="B169" s="43"/>
      <x:c r="C169" s="9"/>
      <x:c r="D169" s="9"/>
      <x:c r="E169" s="6" t="str">
        <x:f>IF(D169="","",VLOOKUP(D169,Courses!$A$5:$G$10,2,FALSE))</x:f>
      </x:c>
      <x:c r="F169" s="47" t="str">
        <x:f>IF(D169="","",VLOOKUP(D169,Courses!$A$5:$G$10,3,FALSE))</x:f>
      </x:c>
      <x:c r="G169" s="9"/>
      <x:c r="H169" s="9"/>
      <x:c r="I169" s="9"/>
      <x:c r="J169" s="43"/>
      <x:c r="K169" s="9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9"/>
      <x:c r="B170" s="43"/>
      <x:c r="C170" s="9"/>
      <x:c r="D170" s="9"/>
      <x:c r="E170" s="6" t="str">
        <x:f>IF(D170="","",VLOOKUP(D170,Courses!$A$5:$G$10,2,FALSE))</x:f>
      </x:c>
      <x:c r="F170" s="47" t="str">
        <x:f>IF(D170="","",VLOOKUP(D170,Courses!$A$5:$G$10,3,FALSE))</x:f>
      </x:c>
      <x:c r="G170" s="9"/>
      <x:c r="H170" s="9"/>
      <x:c r="I170" s="9"/>
      <x:c r="J170" s="43"/>
      <x:c r="K170" s="9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9"/>
      <x:c r="B171" s="43"/>
      <x:c r="C171" s="9"/>
      <x:c r="D171" s="9"/>
      <x:c r="E171" s="6" t="str">
        <x:f>IF(D171="","",VLOOKUP(D171,Courses!$A$5:$G$10,2,FALSE))</x:f>
      </x:c>
      <x:c r="F171" s="47" t="str">
        <x:f>IF(D171="","",VLOOKUP(D171,Courses!$A$5:$G$10,3,FALSE))</x:f>
      </x:c>
      <x:c r="G171" s="9"/>
      <x:c r="H171" s="9"/>
      <x:c r="I171" s="9"/>
      <x:c r="J171" s="43"/>
      <x:c r="K171" s="9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9"/>
      <x:c r="B172" s="43"/>
      <x:c r="C172" s="9"/>
      <x:c r="D172" s="9"/>
      <x:c r="E172" s="6" t="str">
        <x:f>IF(D172="","",VLOOKUP(D172,Courses!$A$5:$G$10,2,FALSE))</x:f>
      </x:c>
      <x:c r="F172" s="47" t="str">
        <x:f>IF(D172="","",VLOOKUP(D172,Courses!$A$5:$G$10,3,FALSE))</x:f>
      </x:c>
      <x:c r="G172" s="9"/>
      <x:c r="H172" s="9"/>
      <x:c r="I172" s="9"/>
      <x:c r="J172" s="43"/>
      <x:c r="K172" s="9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9"/>
      <x:c r="B173" s="43"/>
      <x:c r="C173" s="9"/>
      <x:c r="D173" s="9"/>
      <x:c r="E173" s="6" t="str">
        <x:f>IF(D173="","",VLOOKUP(D173,Courses!$A$5:$G$10,2,FALSE))</x:f>
      </x:c>
      <x:c r="F173" s="47" t="str">
        <x:f>IF(D173="","",VLOOKUP(D173,Courses!$A$5:$G$10,3,FALSE))</x:f>
      </x:c>
      <x:c r="G173" s="9"/>
      <x:c r="H173" s="9"/>
      <x:c r="I173" s="9"/>
      <x:c r="J173" s="43"/>
      <x:c r="K173" s="9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9"/>
      <x:c r="B174" s="43"/>
      <x:c r="C174" s="9"/>
      <x:c r="D174" s="9"/>
      <x:c r="E174" s="6" t="str">
        <x:f>IF(D174="","",VLOOKUP(D174,Courses!$A$5:$G$10,2,FALSE))</x:f>
      </x:c>
      <x:c r="F174" s="47" t="str">
        <x:f>IF(D174="","",VLOOKUP(D174,Courses!$A$5:$G$10,3,FALSE))</x:f>
      </x:c>
      <x:c r="G174" s="9"/>
      <x:c r="H174" s="9"/>
      <x:c r="I174" s="9"/>
      <x:c r="J174" s="43"/>
      <x:c r="K174" s="9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9"/>
      <x:c r="B175" s="43"/>
      <x:c r="C175" s="9"/>
      <x:c r="D175" s="9"/>
      <x:c r="E175" s="6" t="str">
        <x:f>IF(D175="","",VLOOKUP(D175,Courses!$A$5:$G$10,2,FALSE))</x:f>
      </x:c>
      <x:c r="F175" s="47" t="str">
        <x:f>IF(D175="","",VLOOKUP(D175,Courses!$A$5:$G$10,3,FALSE))</x:f>
      </x:c>
      <x:c r="G175" s="9"/>
      <x:c r="H175" s="9"/>
      <x:c r="I175" s="9"/>
      <x:c r="J175" s="43"/>
      <x:c r="K175" s="9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9"/>
      <x:c r="B176" s="43"/>
      <x:c r="C176" s="9"/>
      <x:c r="D176" s="9"/>
      <x:c r="E176" s="6" t="str">
        <x:f>IF(D176="","",VLOOKUP(D176,Courses!$A$5:$G$10,2,FALSE))</x:f>
      </x:c>
      <x:c r="F176" s="47" t="str">
        <x:f>IF(D176="","",VLOOKUP(D176,Courses!$A$5:$G$10,3,FALSE))</x:f>
      </x:c>
      <x:c r="G176" s="9"/>
      <x:c r="H176" s="9"/>
      <x:c r="I176" s="9"/>
      <x:c r="J176" s="43"/>
      <x:c r="K176" s="9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9"/>
      <x:c r="B177" s="43"/>
      <x:c r="C177" s="9"/>
      <x:c r="D177" s="9"/>
      <x:c r="E177" s="6" t="str">
        <x:f>IF(D177="","",VLOOKUP(D177,Courses!$A$5:$G$10,2,FALSE))</x:f>
      </x:c>
      <x:c r="F177" s="47" t="str">
        <x:f>IF(D177="","",VLOOKUP(D177,Courses!$A$5:$G$10,3,FALSE))</x:f>
      </x:c>
      <x:c r="G177" s="9"/>
      <x:c r="H177" s="9"/>
      <x:c r="I177" s="9"/>
      <x:c r="J177" s="43"/>
      <x:c r="K177" s="9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9"/>
      <x:c r="B178" s="43"/>
      <x:c r="C178" s="9"/>
      <x:c r="D178" s="9"/>
      <x:c r="E178" s="6" t="str">
        <x:f>IF(D178="","",VLOOKUP(D178,Courses!$A$5:$G$10,2,FALSE))</x:f>
      </x:c>
      <x:c r="F178" s="47" t="str">
        <x:f>IF(D178="","",VLOOKUP(D178,Courses!$A$5:$G$10,3,FALSE))</x:f>
      </x:c>
      <x:c r="G178" s="9"/>
      <x:c r="H178" s="9"/>
      <x:c r="I178" s="9"/>
      <x:c r="J178" s="43"/>
      <x:c r="K178" s="9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9"/>
      <x:c r="B179" s="43"/>
      <x:c r="C179" s="9"/>
      <x:c r="D179" s="9"/>
      <x:c r="E179" s="6" t="str">
        <x:f>IF(D179="","",VLOOKUP(D179,Courses!$A$5:$G$10,2,FALSE))</x:f>
      </x:c>
      <x:c r="F179" s="47" t="str">
        <x:f>IF(D179="","",VLOOKUP(D179,Courses!$A$5:$G$10,3,FALSE))</x:f>
      </x:c>
      <x:c r="G179" s="9"/>
      <x:c r="H179" s="9"/>
      <x:c r="I179" s="9"/>
      <x:c r="J179" s="43"/>
      <x:c r="K179" s="9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9"/>
      <x:c r="B180" s="43"/>
      <x:c r="C180" s="9"/>
      <x:c r="D180" s="9"/>
      <x:c r="E180" s="6" t="str">
        <x:f>IF(D180="","",VLOOKUP(D180,Courses!$A$5:$G$10,2,FALSE))</x:f>
      </x:c>
      <x:c r="F180" s="47" t="str">
        <x:f>IF(D180="","",VLOOKUP(D180,Courses!$A$5:$G$10,3,FALSE))</x:f>
      </x:c>
      <x:c r="G180" s="9"/>
      <x:c r="H180" s="9"/>
      <x:c r="I180" s="9"/>
      <x:c r="J180" s="43"/>
      <x:c r="K180" s="9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9"/>
      <x:c r="B181" s="43"/>
      <x:c r="C181" s="9"/>
      <x:c r="D181" s="9"/>
      <x:c r="E181" s="6" t="str">
        <x:f>IF(D181="","",VLOOKUP(D181,Courses!$A$5:$G$10,2,FALSE))</x:f>
      </x:c>
      <x:c r="F181" s="47" t="str">
        <x:f>IF(D181="","",VLOOKUP(D181,Courses!$A$5:$G$10,3,FALSE))</x:f>
      </x:c>
      <x:c r="G181" s="9"/>
      <x:c r="H181" s="9"/>
      <x:c r="I181" s="9"/>
      <x:c r="J181" s="43"/>
      <x:c r="K181" s="9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9"/>
      <x:c r="B182" s="43"/>
      <x:c r="C182" s="9"/>
      <x:c r="D182" s="9"/>
      <x:c r="E182" s="6" t="str">
        <x:f>IF(D182="","",VLOOKUP(D182,Courses!$A$5:$G$10,2,FALSE))</x:f>
      </x:c>
      <x:c r="F182" s="47" t="str">
        <x:f>IF(D182="","",VLOOKUP(D182,Courses!$A$5:$G$10,3,FALSE))</x:f>
      </x:c>
      <x:c r="G182" s="9"/>
      <x:c r="H182" s="9"/>
      <x:c r="I182" s="9"/>
      <x:c r="J182" s="43"/>
      <x:c r="K182" s="9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9"/>
      <x:c r="B183" s="43"/>
      <x:c r="C183" s="9"/>
      <x:c r="D183" s="9"/>
      <x:c r="E183" s="6" t="str">
        <x:f>IF(D183="","",VLOOKUP(D183,Courses!$A$5:$G$10,2,FALSE))</x:f>
      </x:c>
      <x:c r="F183" s="47" t="str">
        <x:f>IF(D183="","",VLOOKUP(D183,Courses!$A$5:$G$10,3,FALSE))</x:f>
      </x:c>
      <x:c r="G183" s="9"/>
      <x:c r="H183" s="9"/>
      <x:c r="I183" s="9"/>
      <x:c r="J183" s="43"/>
      <x:c r="K183" s="9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9"/>
      <x:c r="B184" s="43"/>
      <x:c r="C184" s="9"/>
      <x:c r="D184" s="9"/>
      <x:c r="E184" s="6" t="str">
        <x:f>IF(D184="","",VLOOKUP(D184,Courses!$A$5:$G$10,2,FALSE))</x:f>
      </x:c>
      <x:c r="F184" s="47" t="str">
        <x:f>IF(D184="","",VLOOKUP(D184,Courses!$A$5:$G$10,3,FALSE))</x:f>
      </x:c>
      <x:c r="G184" s="9"/>
      <x:c r="H184" s="9"/>
      <x:c r="I184" s="9"/>
      <x:c r="J184" s="43"/>
      <x:c r="K184" s="9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9"/>
      <x:c r="B185" s="43"/>
      <x:c r="C185" s="9"/>
      <x:c r="D185" s="9"/>
      <x:c r="E185" s="6" t="str">
        <x:f>IF(D185="","",VLOOKUP(D185,Courses!$A$5:$G$10,2,FALSE))</x:f>
      </x:c>
      <x:c r="F185" s="47" t="str">
        <x:f>IF(D185="","",VLOOKUP(D185,Courses!$A$5:$G$10,3,FALSE))</x:f>
      </x:c>
      <x:c r="G185" s="9"/>
      <x:c r="H185" s="9"/>
      <x:c r="I185" s="9"/>
      <x:c r="J185" s="43"/>
      <x:c r="K185" s="9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9"/>
      <x:c r="B186" s="43"/>
      <x:c r="C186" s="9"/>
      <x:c r="D186" s="9"/>
      <x:c r="E186" s="6" t="str">
        <x:f>IF(D186="","",VLOOKUP(D186,Courses!$A$5:$G$10,2,FALSE))</x:f>
      </x:c>
      <x:c r="F186" s="47" t="str">
        <x:f>IF(D186="","",VLOOKUP(D186,Courses!$A$5:$G$10,3,FALSE))</x:f>
      </x:c>
      <x:c r="G186" s="9"/>
      <x:c r="H186" s="9"/>
      <x:c r="I186" s="9"/>
      <x:c r="J186" s="43"/>
      <x:c r="K186" s="9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9"/>
      <x:c r="B187" s="43"/>
      <x:c r="C187" s="9"/>
      <x:c r="D187" s="9"/>
      <x:c r="E187" s="6" t="str">
        <x:f>IF(D187="","",VLOOKUP(D187,Courses!$A$5:$G$10,2,FALSE))</x:f>
      </x:c>
      <x:c r="F187" s="47" t="str">
        <x:f>IF(D187="","",VLOOKUP(D187,Courses!$A$5:$G$10,3,FALSE))</x:f>
      </x:c>
      <x:c r="G187" s="9"/>
      <x:c r="H187" s="9"/>
      <x:c r="I187" s="9"/>
      <x:c r="J187" s="43"/>
      <x:c r="K187" s="9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9"/>
      <x:c r="B188" s="43"/>
      <x:c r="C188" s="9"/>
      <x:c r="D188" s="9"/>
      <x:c r="E188" s="6" t="str">
        <x:f>IF(D188="","",VLOOKUP(D188,Courses!$A$5:$G$10,2,FALSE))</x:f>
      </x:c>
      <x:c r="F188" s="47" t="str">
        <x:f>IF(D188="","",VLOOKUP(D188,Courses!$A$5:$G$10,3,FALSE))</x:f>
      </x:c>
      <x:c r="G188" s="9"/>
      <x:c r="H188" s="9"/>
      <x:c r="I188" s="9"/>
      <x:c r="J188" s="43"/>
      <x:c r="K188" s="9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9"/>
      <x:c r="B189" s="43"/>
      <x:c r="C189" s="9"/>
      <x:c r="D189" s="9"/>
      <x:c r="E189" s="6" t="str">
        <x:f>IF(D189="","",VLOOKUP(D189,Courses!$A$5:$G$10,2,FALSE))</x:f>
      </x:c>
      <x:c r="F189" s="47" t="str">
        <x:f>IF(D189="","",VLOOKUP(D189,Courses!$A$5:$G$10,3,FALSE))</x:f>
      </x:c>
      <x:c r="G189" s="9"/>
      <x:c r="H189" s="9"/>
      <x:c r="I189" s="9"/>
      <x:c r="J189" s="43"/>
      <x:c r="K189" s="9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9"/>
      <x:c r="B190" s="43"/>
      <x:c r="C190" s="9"/>
      <x:c r="D190" s="9"/>
      <x:c r="E190" s="6" t="str">
        <x:f>IF(D190="","",VLOOKUP(D190,Courses!$A$5:$G$10,2,FALSE))</x:f>
      </x:c>
      <x:c r="F190" s="47" t="str">
        <x:f>IF(D190="","",VLOOKUP(D190,Courses!$A$5:$G$10,3,FALSE))</x:f>
      </x:c>
      <x:c r="G190" s="9"/>
      <x:c r="H190" s="9"/>
      <x:c r="I190" s="9"/>
      <x:c r="J190" s="43"/>
      <x:c r="K190" s="9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9"/>
      <x:c r="B191" s="43"/>
      <x:c r="C191" s="9"/>
      <x:c r="D191" s="9"/>
      <x:c r="E191" s="6" t="str">
        <x:f>IF(D191="","",VLOOKUP(D191,Courses!$A$5:$G$10,2,FALSE))</x:f>
      </x:c>
      <x:c r="F191" s="47" t="str">
        <x:f>IF(D191="","",VLOOKUP(D191,Courses!$A$5:$G$10,3,FALSE))</x:f>
      </x:c>
      <x:c r="G191" s="9"/>
      <x:c r="H191" s="9"/>
      <x:c r="I191" s="9"/>
      <x:c r="J191" s="43"/>
      <x:c r="K191" s="9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9"/>
      <x:c r="B192" s="43"/>
      <x:c r="C192" s="9"/>
      <x:c r="D192" s="9"/>
      <x:c r="E192" s="6" t="str">
        <x:f>IF(D192="","",VLOOKUP(D192,Courses!$A$5:$G$10,2,FALSE))</x:f>
      </x:c>
      <x:c r="F192" s="47" t="str">
        <x:f>IF(D192="","",VLOOKUP(D192,Courses!$A$5:$G$10,3,FALSE))</x:f>
      </x:c>
      <x:c r="G192" s="9"/>
      <x:c r="H192" s="9"/>
      <x:c r="I192" s="9"/>
      <x:c r="J192" s="43"/>
      <x:c r="K192" s="9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9"/>
      <x:c r="B193" s="43"/>
      <x:c r="C193" s="9"/>
      <x:c r="D193" s="9"/>
      <x:c r="E193" s="6" t="str">
        <x:f>IF(D193="","",VLOOKUP(D193,Courses!$A$5:$G$10,2,FALSE))</x:f>
      </x:c>
      <x:c r="F193" s="47" t="str">
        <x:f>IF(D193="","",VLOOKUP(D193,Courses!$A$5:$G$10,3,FALSE))</x:f>
      </x:c>
      <x:c r="G193" s="9"/>
      <x:c r="H193" s="9"/>
      <x:c r="I193" s="9"/>
      <x:c r="J193" s="43"/>
      <x:c r="K193" s="9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9"/>
      <x:c r="B194" s="43"/>
      <x:c r="C194" s="9"/>
      <x:c r="D194" s="9"/>
      <x:c r="E194" s="6" t="str">
        <x:f>IF(D194="","",VLOOKUP(D194,Courses!$A$5:$G$10,2,FALSE))</x:f>
      </x:c>
      <x:c r="F194" s="47" t="str">
        <x:f>IF(D194="","",VLOOKUP(D194,Courses!$A$5:$G$10,3,FALSE))</x:f>
      </x:c>
      <x:c r="G194" s="9"/>
      <x:c r="H194" s="9"/>
      <x:c r="I194" s="9"/>
      <x:c r="J194" s="43"/>
      <x:c r="K194" s="9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9"/>
      <x:c r="B195" s="43"/>
      <x:c r="C195" s="9"/>
      <x:c r="D195" s="9"/>
      <x:c r="E195" s="6" t="str">
        <x:f>IF(D195="","",VLOOKUP(D195,Courses!$A$5:$G$10,2,FALSE))</x:f>
      </x:c>
      <x:c r="F195" s="47" t="str">
        <x:f>IF(D195="","",VLOOKUP(D195,Courses!$A$5:$G$10,3,FALSE))</x:f>
      </x:c>
      <x:c r="G195" s="9"/>
      <x:c r="H195" s="9"/>
      <x:c r="I195" s="9"/>
      <x:c r="J195" s="43"/>
      <x:c r="K195" s="9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9"/>
      <x:c r="B196" s="43"/>
      <x:c r="C196" s="9"/>
      <x:c r="D196" s="9"/>
      <x:c r="E196" s="6" t="str">
        <x:f>IF(D196="","",VLOOKUP(D196,Courses!$A$5:$G$10,2,FALSE))</x:f>
      </x:c>
      <x:c r="F196" s="47" t="str">
        <x:f>IF(D196="","",VLOOKUP(D196,Courses!$A$5:$G$10,3,FALSE))</x:f>
      </x:c>
      <x:c r="G196" s="9"/>
      <x:c r="H196" s="9"/>
      <x:c r="I196" s="9"/>
      <x:c r="J196" s="43"/>
      <x:c r="K196" s="9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9"/>
      <x:c r="B197" s="43"/>
      <x:c r="C197" s="9"/>
      <x:c r="D197" s="9"/>
      <x:c r="E197" s="6" t="str">
        <x:f>IF(D197="","",VLOOKUP(D197,Courses!$A$5:$G$10,2,FALSE))</x:f>
      </x:c>
      <x:c r="F197" s="47" t="str">
        <x:f>IF(D197="","",VLOOKUP(D197,Courses!$A$5:$G$10,3,FALSE))</x:f>
      </x:c>
      <x:c r="G197" s="9"/>
      <x:c r="H197" s="9"/>
      <x:c r="I197" s="9"/>
      <x:c r="J197" s="43"/>
      <x:c r="K197" s="9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9"/>
      <x:c r="B198" s="43"/>
      <x:c r="C198" s="9"/>
      <x:c r="D198" s="9"/>
      <x:c r="E198" s="6" t="str">
        <x:f>IF(D198="","",VLOOKUP(D198,Courses!$A$5:$G$10,2,FALSE))</x:f>
      </x:c>
      <x:c r="F198" s="47" t="str">
        <x:f>IF(D198="","",VLOOKUP(D198,Courses!$A$5:$G$10,3,FALSE))</x:f>
      </x:c>
      <x:c r="G198" s="9"/>
      <x:c r="H198" s="9"/>
      <x:c r="I198" s="9"/>
      <x:c r="J198" s="43"/>
      <x:c r="K198" s="9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9"/>
      <x:c r="B199" s="43"/>
      <x:c r="C199" s="9"/>
      <x:c r="D199" s="9"/>
      <x:c r="E199" s="6" t="str">
        <x:f>IF(D199="","",VLOOKUP(D199,Courses!$A$5:$G$10,2,FALSE))</x:f>
      </x:c>
      <x:c r="F199" s="47" t="str">
        <x:f>IF(D199="","",VLOOKUP(D199,Courses!$A$5:$G$10,3,FALSE))</x:f>
      </x:c>
      <x:c r="G199" s="9"/>
      <x:c r="H199" s="9"/>
      <x:c r="I199" s="9"/>
      <x:c r="J199" s="43"/>
      <x:c r="K199" s="9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9"/>
      <x:c r="B200" s="43"/>
      <x:c r="C200" s="9"/>
      <x:c r="D200" s="9"/>
      <x:c r="E200" s="6" t="str">
        <x:f>IF(D200="","",VLOOKUP(D200,Courses!$A$5:$G$10,2,FALSE))</x:f>
      </x:c>
      <x:c r="F200" s="47" t="str">
        <x:f>IF(D200="","",VLOOKUP(D200,Courses!$A$5:$G$10,3,FALSE))</x:f>
      </x:c>
      <x:c r="G200" s="9"/>
      <x:c r="H200" s="9"/>
      <x:c r="I200" s="9"/>
      <x:c r="J200" s="43"/>
      <x:c r="K200" s="9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9"/>
      <x:c r="B201" s="43"/>
      <x:c r="C201" s="9"/>
      <x:c r="D201" s="9"/>
      <x:c r="E201" s="6" t="str">
        <x:f>IF(D201="","",VLOOKUP(D201,Courses!$A$5:$G$10,2,FALSE))</x:f>
      </x:c>
      <x:c r="F201" s="47" t="str">
        <x:f>IF(D201="","",VLOOKUP(D201,Courses!$A$5:$G$10,3,FALSE))</x:f>
      </x:c>
      <x:c r="G201" s="9"/>
      <x:c r="H201" s="9"/>
      <x:c r="I201" s="9"/>
      <x:c r="J201" s="43"/>
      <x:c r="K201" s="9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9"/>
      <x:c r="B202" s="43"/>
      <x:c r="C202" s="9"/>
      <x:c r="D202" s="9"/>
      <x:c r="E202" s="6" t="str">
        <x:f>IF(D202="","",VLOOKUP(D202,Courses!$A$5:$G$10,2,FALSE))</x:f>
      </x:c>
      <x:c r="F202" s="47" t="str">
        <x:f>IF(D202="","",VLOOKUP(D202,Courses!$A$5:$G$10,3,FALSE))</x:f>
      </x:c>
      <x:c r="G202" s="9"/>
      <x:c r="H202" s="9"/>
      <x:c r="I202" s="9"/>
      <x:c r="J202" s="43"/>
      <x:c r="K202" s="9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9"/>
      <x:c r="B203" s="43"/>
      <x:c r="C203" s="9"/>
      <x:c r="D203" s="9"/>
      <x:c r="E203" s="6" t="str">
        <x:f>IF(D203="","",VLOOKUP(D203,Courses!$A$5:$G$10,2,FALSE))</x:f>
      </x:c>
      <x:c r="F203" s="47" t="str">
        <x:f>IF(D203="","",VLOOKUP(D203,Courses!$A$5:$G$10,3,FALSE))</x:f>
      </x:c>
      <x:c r="G203" s="9"/>
      <x:c r="H203" s="9"/>
      <x:c r="I203" s="9"/>
      <x:c r="J203" s="43"/>
      <x:c r="K203" s="9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9"/>
      <x:c r="B204" s="43"/>
      <x:c r="C204" s="9"/>
      <x:c r="D204" s="9"/>
      <x:c r="E204" s="6" t="str">
        <x:f>IF(D204="","",VLOOKUP(D204,Courses!$A$5:$G$10,2,FALSE))</x:f>
      </x:c>
      <x:c r="F204" s="47" t="str">
        <x:f>IF(D204="","",VLOOKUP(D204,Courses!$A$5:$G$10,3,FALSE))</x:f>
      </x:c>
      <x:c r="G204" s="9"/>
      <x:c r="H204" s="9"/>
      <x:c r="I204" s="9"/>
      <x:c r="J204" s="43"/>
      <x:c r="K204" s="9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9"/>
      <x:c r="B205" s="43"/>
      <x:c r="C205" s="9"/>
      <x:c r="D205" s="9"/>
      <x:c r="E205" s="6" t="str">
        <x:f>IF(D205="","",VLOOKUP(D205,Courses!$A$5:$G$10,2,FALSE))</x:f>
      </x:c>
      <x:c r="F205" s="47" t="str">
        <x:f>IF(D205="","",VLOOKUP(D205,Courses!$A$5:$G$10,3,FALSE))</x:f>
      </x:c>
      <x:c r="G205" s="9"/>
      <x:c r="H205" s="9"/>
      <x:c r="I205" s="9"/>
      <x:c r="J205" s="43"/>
      <x:c r="K205" s="9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9"/>
      <x:c r="B206" s="43"/>
      <x:c r="C206" s="9"/>
      <x:c r="D206" s="9"/>
      <x:c r="E206" s="6" t="str">
        <x:f>IF(D206="","",VLOOKUP(D206,Courses!$A$5:$G$10,2,FALSE))</x:f>
      </x:c>
      <x:c r="F206" s="47" t="str">
        <x:f>IF(D206="","",VLOOKUP(D206,Courses!$A$5:$G$10,3,FALSE))</x:f>
      </x:c>
      <x:c r="G206" s="9"/>
      <x:c r="H206" s="9"/>
      <x:c r="I206" s="9"/>
      <x:c r="J206" s="43"/>
      <x:c r="K206" s="9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9"/>
      <x:c r="B207" s="43"/>
      <x:c r="C207" s="9"/>
      <x:c r="D207" s="9"/>
      <x:c r="E207" s="6" t="str">
        <x:f>IF(D207="","",VLOOKUP(D207,Courses!$A$5:$G$10,2,FALSE))</x:f>
      </x:c>
      <x:c r="F207" s="47" t="str">
        <x:f>IF(D207="","",VLOOKUP(D207,Courses!$A$5:$G$10,3,FALSE))</x:f>
      </x:c>
      <x:c r="G207" s="9"/>
      <x:c r="H207" s="9"/>
      <x:c r="I207" s="9"/>
      <x:c r="J207" s="43"/>
      <x:c r="K207" s="9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9"/>
      <x:c r="B208" s="43"/>
      <x:c r="C208" s="9"/>
      <x:c r="D208" s="9"/>
      <x:c r="E208" s="6" t="str">
        <x:f>IF(D208="","",VLOOKUP(D208,Courses!$A$5:$G$10,2,FALSE))</x:f>
      </x:c>
      <x:c r="F208" s="47" t="str">
        <x:f>IF(D208="","",VLOOKUP(D208,Courses!$A$5:$G$10,3,FALSE))</x:f>
      </x:c>
      <x:c r="G208" s="9"/>
      <x:c r="H208" s="9"/>
      <x:c r="I208" s="9"/>
      <x:c r="J208" s="43"/>
      <x:c r="K208" s="9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9"/>
      <x:c r="B209" s="43"/>
      <x:c r="C209" s="9"/>
      <x:c r="D209" s="9"/>
      <x:c r="E209" s="6" t="str">
        <x:f>IF(D209="","",VLOOKUP(D209,Courses!$A$5:$G$10,2,FALSE))</x:f>
      </x:c>
      <x:c r="F209" s="47" t="str">
        <x:f>IF(D209="","",VLOOKUP(D209,Courses!$A$5:$G$10,3,FALSE))</x:f>
      </x:c>
      <x:c r="G209" s="9"/>
      <x:c r="H209" s="9"/>
      <x:c r="I209" s="9"/>
      <x:c r="J209" s="43"/>
      <x:c r="K209" s="9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9"/>
      <x:c r="B210" s="43"/>
      <x:c r="C210" s="9"/>
      <x:c r="D210" s="9"/>
      <x:c r="E210" s="6" t="str">
        <x:f>IF(D210="","",VLOOKUP(D210,Courses!$A$5:$G$10,2,FALSE))</x:f>
      </x:c>
      <x:c r="F210" s="47" t="str">
        <x:f>IF(D210="","",VLOOKUP(D210,Courses!$A$5:$G$10,3,FALSE))</x:f>
      </x:c>
      <x:c r="G210" s="9"/>
      <x:c r="H210" s="9"/>
      <x:c r="I210" s="9"/>
      <x:c r="J210" s="43"/>
      <x:c r="K210" s="9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9"/>
      <x:c r="B211" s="43"/>
      <x:c r="C211" s="9"/>
      <x:c r="D211" s="9"/>
      <x:c r="E211" s="6" t="str">
        <x:f>IF(D211="","",VLOOKUP(D211,Courses!$A$5:$G$10,2,FALSE))</x:f>
      </x:c>
      <x:c r="F211" s="47" t="str">
        <x:f>IF(D211="","",VLOOKUP(D211,Courses!$A$5:$G$10,3,FALSE))</x:f>
      </x:c>
      <x:c r="G211" s="9"/>
      <x:c r="H211" s="9"/>
      <x:c r="I211" s="9"/>
      <x:c r="J211" s="43"/>
      <x:c r="K211" s="9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9"/>
      <x:c r="B212" s="43"/>
      <x:c r="C212" s="9"/>
      <x:c r="D212" s="9"/>
      <x:c r="E212" s="6" t="str">
        <x:f>IF(D212="","",VLOOKUP(D212,Courses!$A$5:$G$10,2,FALSE))</x:f>
      </x:c>
      <x:c r="F212" s="47" t="str">
        <x:f>IF(D212="","",VLOOKUP(D212,Courses!$A$5:$G$10,3,FALSE))</x:f>
      </x:c>
      <x:c r="G212" s="9"/>
      <x:c r="H212" s="9"/>
      <x:c r="I212" s="9"/>
      <x:c r="J212" s="43"/>
      <x:c r="K212" s="9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9"/>
      <x:c r="B213" s="43"/>
      <x:c r="C213" s="9"/>
      <x:c r="D213" s="9"/>
      <x:c r="E213" s="6" t="str">
        <x:f>IF(D213="","",VLOOKUP(D213,Courses!$A$5:$G$10,2,FALSE))</x:f>
      </x:c>
      <x:c r="F213" s="47" t="str">
        <x:f>IF(D213="","",VLOOKUP(D213,Courses!$A$5:$G$10,3,FALSE))</x:f>
      </x:c>
      <x:c r="G213" s="9"/>
      <x:c r="H213" s="9"/>
      <x:c r="I213" s="9"/>
      <x:c r="J213" s="43"/>
      <x:c r="K213" s="9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9"/>
      <x:c r="B214" s="43"/>
      <x:c r="C214" s="9"/>
      <x:c r="D214" s="9"/>
      <x:c r="E214" s="6" t="str">
        <x:f>IF(D214="","",VLOOKUP(D214,Courses!$A$5:$G$10,2,FALSE))</x:f>
      </x:c>
      <x:c r="F214" s="47" t="str">
        <x:f>IF(D214="","",VLOOKUP(D214,Courses!$A$5:$G$10,3,FALSE))</x:f>
      </x:c>
      <x:c r="G214" s="9"/>
      <x:c r="H214" s="9"/>
      <x:c r="I214" s="9"/>
      <x:c r="J214" s="43"/>
      <x:c r="K214" s="9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9"/>
      <x:c r="B215" s="43"/>
      <x:c r="C215" s="9"/>
      <x:c r="D215" s="9"/>
      <x:c r="E215" s="6" t="str">
        <x:f>IF(D215="","",VLOOKUP(D215,Courses!$A$5:$G$10,2,FALSE))</x:f>
      </x:c>
      <x:c r="F215" s="47" t="str">
        <x:f>IF(D215="","",VLOOKUP(D215,Courses!$A$5:$G$10,3,FALSE))</x:f>
      </x:c>
      <x:c r="G215" s="9"/>
      <x:c r="H215" s="9"/>
      <x:c r="I215" s="9"/>
      <x:c r="J215" s="43"/>
      <x:c r="K215" s="9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9"/>
      <x:c r="B216" s="43"/>
      <x:c r="C216" s="9"/>
      <x:c r="D216" s="9"/>
      <x:c r="E216" s="6" t="str">
        <x:f>IF(D216="","",VLOOKUP(D216,Courses!$A$5:$G$10,2,FALSE))</x:f>
      </x:c>
      <x:c r="F216" s="47" t="str">
        <x:f>IF(D216="","",VLOOKUP(D216,Courses!$A$5:$G$10,3,FALSE))</x:f>
      </x:c>
      <x:c r="G216" s="9"/>
      <x:c r="H216" s="9"/>
      <x:c r="I216" s="9"/>
      <x:c r="J216" s="43"/>
      <x:c r="K216" s="9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9"/>
      <x:c r="B217" s="43"/>
      <x:c r="C217" s="9"/>
      <x:c r="D217" s="9"/>
      <x:c r="E217" s="6" t="str">
        <x:f>IF(D217="","",VLOOKUP(D217,Courses!$A$5:$G$10,2,FALSE))</x:f>
      </x:c>
      <x:c r="F217" s="47" t="str">
        <x:f>IF(D217="","",VLOOKUP(D217,Courses!$A$5:$G$10,3,FALSE))</x:f>
      </x:c>
      <x:c r="G217" s="9"/>
      <x:c r="H217" s="9"/>
      <x:c r="I217" s="9"/>
      <x:c r="J217" s="43"/>
      <x:c r="K217" s="9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9"/>
      <x:c r="B218" s="43"/>
      <x:c r="C218" s="9"/>
      <x:c r="D218" s="9"/>
      <x:c r="E218" s="6" t="str">
        <x:f>IF(D218="","",VLOOKUP(D218,Courses!$A$5:$G$10,2,FALSE))</x:f>
      </x:c>
      <x:c r="F218" s="47" t="str">
        <x:f>IF(D218="","",VLOOKUP(D218,Courses!$A$5:$G$10,3,FALSE))</x:f>
      </x:c>
      <x:c r="G218" s="9"/>
      <x:c r="H218" s="9"/>
      <x:c r="I218" s="9"/>
      <x:c r="J218" s="43"/>
      <x:c r="K218" s="9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9"/>
      <x:c r="B219" s="43"/>
      <x:c r="C219" s="9"/>
      <x:c r="D219" s="9"/>
      <x:c r="E219" s="6" t="str">
        <x:f>IF(D219="","",VLOOKUP(D219,Courses!$A$5:$G$10,2,FALSE))</x:f>
      </x:c>
      <x:c r="F219" s="47" t="str">
        <x:f>IF(D219="","",VLOOKUP(D219,Courses!$A$5:$G$10,3,FALSE))</x:f>
      </x:c>
      <x:c r="G219" s="9"/>
      <x:c r="H219" s="9"/>
      <x:c r="I219" s="9"/>
      <x:c r="J219" s="43"/>
      <x:c r="K219" s="9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9"/>
      <x:c r="B220" s="43"/>
      <x:c r="C220" s="9"/>
      <x:c r="D220" s="9"/>
      <x:c r="E220" s="6" t="str">
        <x:f>IF(D220="","",VLOOKUP(D220,Courses!$A$5:$G$10,2,FALSE))</x:f>
      </x:c>
      <x:c r="F220" s="47" t="str">
        <x:f>IF(D220="","",VLOOKUP(D220,Courses!$A$5:$G$10,3,FALSE))</x:f>
      </x:c>
      <x:c r="G220" s="9"/>
      <x:c r="H220" s="9"/>
      <x:c r="I220" s="9"/>
      <x:c r="J220" s="43"/>
      <x:c r="K220" s="9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9"/>
      <x:c r="B221" s="43"/>
      <x:c r="C221" s="9"/>
      <x:c r="D221" s="9"/>
      <x:c r="E221" s="6" t="str">
        <x:f>IF(D221="","",VLOOKUP(D221,Courses!$A$5:$G$10,2,FALSE))</x:f>
      </x:c>
      <x:c r="F221" s="47" t="str">
        <x:f>IF(D221="","",VLOOKUP(D221,Courses!$A$5:$G$10,3,FALSE))</x:f>
      </x:c>
      <x:c r="G221" s="9"/>
      <x:c r="H221" s="9"/>
      <x:c r="I221" s="9"/>
      <x:c r="J221" s="43"/>
      <x:c r="K221" s="9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9"/>
      <x:c r="B222" s="43"/>
      <x:c r="C222" s="9"/>
      <x:c r="D222" s="9"/>
      <x:c r="E222" s="6" t="str">
        <x:f>IF(D222="","",VLOOKUP(D222,Courses!$A$5:$G$10,2,FALSE))</x:f>
      </x:c>
      <x:c r="F222" s="47" t="str">
        <x:f>IF(D222="","",VLOOKUP(D222,Courses!$A$5:$G$10,3,FALSE))</x:f>
      </x:c>
      <x:c r="G222" s="9"/>
      <x:c r="H222" s="9"/>
      <x:c r="I222" s="9"/>
      <x:c r="J222" s="43"/>
      <x:c r="K222" s="9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9"/>
      <x:c r="B223" s="43"/>
      <x:c r="C223" s="9"/>
      <x:c r="D223" s="9"/>
      <x:c r="E223" s="6" t="str">
        <x:f>IF(D223="","",VLOOKUP(D223,Courses!$A$5:$G$10,2,FALSE))</x:f>
      </x:c>
      <x:c r="F223" s="47" t="str">
        <x:f>IF(D223="","",VLOOKUP(D223,Courses!$A$5:$G$10,3,FALSE))</x:f>
      </x:c>
      <x:c r="G223" s="9"/>
      <x:c r="H223" s="9"/>
      <x:c r="I223" s="9"/>
      <x:c r="J223" s="43"/>
      <x:c r="K223" s="9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9"/>
      <x:c r="B224" s="43"/>
      <x:c r="C224" s="9"/>
      <x:c r="D224" s="9"/>
      <x:c r="E224" s="6" t="str">
        <x:f>IF(D224="","",VLOOKUP(D224,Courses!$A$5:$G$10,2,FALSE))</x:f>
      </x:c>
      <x:c r="F224" s="47" t="str">
        <x:f>IF(D224="","",VLOOKUP(D224,Courses!$A$5:$G$10,3,FALSE))</x:f>
      </x:c>
      <x:c r="G224" s="9"/>
      <x:c r="H224" s="9"/>
      <x:c r="I224" s="9"/>
      <x:c r="J224" s="43"/>
      <x:c r="K224" s="9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9"/>
      <x:c r="B225" s="43"/>
      <x:c r="C225" s="9"/>
      <x:c r="D225" s="9"/>
      <x:c r="E225" s="6" t="str">
        <x:f>IF(D225="","",VLOOKUP(D225,Courses!$A$5:$G$10,2,FALSE))</x:f>
      </x:c>
      <x:c r="F225" s="47" t="str">
        <x:f>IF(D225="","",VLOOKUP(D225,Courses!$A$5:$G$10,3,FALSE))</x:f>
      </x:c>
      <x:c r="G225" s="9"/>
      <x:c r="H225" s="9"/>
      <x:c r="I225" s="9"/>
      <x:c r="J225" s="43"/>
      <x:c r="K225" s="9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9"/>
      <x:c r="B226" s="43"/>
      <x:c r="C226" s="9"/>
      <x:c r="D226" s="9"/>
      <x:c r="E226" s="6" t="str">
        <x:f>IF(D226="","",VLOOKUP(D226,Courses!$A$5:$G$10,2,FALSE))</x:f>
      </x:c>
      <x:c r="F226" s="47" t="str">
        <x:f>IF(D226="","",VLOOKUP(D226,Courses!$A$5:$G$10,3,FALSE))</x:f>
      </x:c>
      <x:c r="G226" s="9"/>
      <x:c r="H226" s="9"/>
      <x:c r="I226" s="9"/>
      <x:c r="J226" s="43"/>
      <x:c r="K226" s="9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9"/>
      <x:c r="B227" s="43"/>
      <x:c r="C227" s="9"/>
      <x:c r="D227" s="9"/>
      <x:c r="E227" s="6" t="str">
        <x:f>IF(D227="","",VLOOKUP(D227,Courses!$A$5:$G$10,2,FALSE))</x:f>
      </x:c>
      <x:c r="F227" s="47" t="str">
        <x:f>IF(D227="","",VLOOKUP(D227,Courses!$A$5:$G$10,3,FALSE))</x:f>
      </x:c>
      <x:c r="G227" s="9"/>
      <x:c r="H227" s="9"/>
      <x:c r="I227" s="9"/>
      <x:c r="J227" s="43"/>
      <x:c r="K227" s="9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9"/>
      <x:c r="B228" s="43"/>
      <x:c r="C228" s="9"/>
      <x:c r="D228" s="9"/>
      <x:c r="E228" s="6" t="str">
        <x:f>IF(D228="","",VLOOKUP(D228,Courses!$A$5:$G$10,2,FALSE))</x:f>
      </x:c>
      <x:c r="F228" s="47" t="str">
        <x:f>IF(D228="","",VLOOKUP(D228,Courses!$A$5:$G$10,3,FALSE))</x:f>
      </x:c>
      <x:c r="G228" s="9"/>
      <x:c r="H228" s="9"/>
      <x:c r="I228" s="9"/>
      <x:c r="J228" s="43"/>
      <x:c r="K228" s="9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9"/>
      <x:c r="B229" s="43"/>
      <x:c r="C229" s="9"/>
      <x:c r="D229" s="9"/>
      <x:c r="E229" s="6" t="str">
        <x:f>IF(D229="","",VLOOKUP(D229,Courses!$A$5:$G$10,2,FALSE))</x:f>
      </x:c>
      <x:c r="F229" s="47" t="str">
        <x:f>IF(D229="","",VLOOKUP(D229,Courses!$A$5:$G$10,3,FALSE))</x:f>
      </x:c>
      <x:c r="G229" s="9"/>
      <x:c r="H229" s="9"/>
      <x:c r="I229" s="9"/>
      <x:c r="J229" s="43"/>
      <x:c r="K229" s="9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9"/>
      <x:c r="B230" s="43"/>
      <x:c r="C230" s="9"/>
      <x:c r="D230" s="9"/>
      <x:c r="E230" s="6" t="str">
        <x:f>IF(D230="","",VLOOKUP(D230,Courses!$A$5:$G$10,2,FALSE))</x:f>
      </x:c>
      <x:c r="F230" s="47" t="str">
        <x:f>IF(D230="","",VLOOKUP(D230,Courses!$A$5:$G$10,3,FALSE))</x:f>
      </x:c>
      <x:c r="G230" s="9"/>
      <x:c r="H230" s="9"/>
      <x:c r="I230" s="9"/>
      <x:c r="J230" s="43"/>
      <x:c r="K230" s="9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9"/>
      <x:c r="B231" s="43"/>
      <x:c r="C231" s="9"/>
      <x:c r="D231" s="9"/>
      <x:c r="E231" s="6" t="str">
        <x:f>IF(D231="","",VLOOKUP(D231,Courses!$A$5:$G$10,2,FALSE))</x:f>
      </x:c>
      <x:c r="F231" s="47" t="str">
        <x:f>IF(D231="","",VLOOKUP(D231,Courses!$A$5:$G$10,3,FALSE))</x:f>
      </x:c>
      <x:c r="G231" s="9"/>
      <x:c r="H231" s="9"/>
      <x:c r="I231" s="9"/>
      <x:c r="J231" s="43"/>
      <x:c r="K231" s="9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9"/>
      <x:c r="B232" s="43"/>
      <x:c r="C232" s="9"/>
      <x:c r="D232" s="9"/>
      <x:c r="E232" s="6" t="str">
        <x:f>IF(D232="","",VLOOKUP(D232,Courses!$A$5:$G$10,2,FALSE))</x:f>
      </x:c>
      <x:c r="F232" s="47" t="str">
        <x:f>IF(D232="","",VLOOKUP(D232,Courses!$A$5:$G$10,3,FALSE))</x:f>
      </x:c>
      <x:c r="G232" s="9"/>
      <x:c r="H232" s="9"/>
      <x:c r="I232" s="9"/>
      <x:c r="J232" s="43"/>
      <x:c r="K232" s="9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9"/>
      <x:c r="B233" s="43"/>
      <x:c r="C233" s="9"/>
      <x:c r="D233" s="9"/>
      <x:c r="E233" s="6" t="str">
        <x:f>IF(D233="","",VLOOKUP(D233,Courses!$A$5:$G$10,2,FALSE))</x:f>
      </x:c>
      <x:c r="F233" s="47" t="str">
        <x:f>IF(D233="","",VLOOKUP(D233,Courses!$A$5:$G$10,3,FALSE))</x:f>
      </x:c>
      <x:c r="G233" s="9"/>
      <x:c r="H233" s="9"/>
      <x:c r="I233" s="9"/>
      <x:c r="J233" s="43"/>
      <x:c r="K233" s="9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9"/>
      <x:c r="B234" s="43"/>
      <x:c r="C234" s="9"/>
      <x:c r="D234" s="9"/>
      <x:c r="E234" s="6" t="str">
        <x:f>IF(D234="","",VLOOKUP(D234,Courses!$A$5:$G$10,2,FALSE))</x:f>
      </x:c>
      <x:c r="F234" s="47" t="str">
        <x:f>IF(D234="","",VLOOKUP(D234,Courses!$A$5:$G$10,3,FALSE))</x:f>
      </x:c>
      <x:c r="G234" s="9"/>
      <x:c r="H234" s="9"/>
      <x:c r="I234" s="9"/>
      <x:c r="J234" s="43"/>
      <x:c r="K234" s="9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9"/>
      <x:c r="B235" s="43"/>
      <x:c r="C235" s="9"/>
      <x:c r="D235" s="9"/>
      <x:c r="E235" s="6" t="str">
        <x:f>IF(D235="","",VLOOKUP(D235,Courses!$A$5:$G$10,2,FALSE))</x:f>
      </x:c>
      <x:c r="F235" s="47" t="str">
        <x:f>IF(D235="","",VLOOKUP(D235,Courses!$A$5:$G$10,3,FALSE))</x:f>
      </x:c>
      <x:c r="G235" s="9"/>
      <x:c r="H235" s="9"/>
      <x:c r="I235" s="9"/>
      <x:c r="J235" s="43"/>
      <x:c r="K235" s="9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9"/>
      <x:c r="B236" s="43"/>
      <x:c r="C236" s="9"/>
      <x:c r="D236" s="9"/>
      <x:c r="E236" s="6" t="str">
        <x:f>IF(D236="","",VLOOKUP(D236,Courses!$A$5:$G$10,2,FALSE))</x:f>
      </x:c>
      <x:c r="F236" s="47" t="str">
        <x:f>IF(D236="","",VLOOKUP(D236,Courses!$A$5:$G$10,3,FALSE))</x:f>
      </x:c>
      <x:c r="G236" s="9"/>
      <x:c r="H236" s="9"/>
      <x:c r="I236" s="9"/>
      <x:c r="J236" s="43"/>
      <x:c r="K236" s="9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9"/>
      <x:c r="B237" s="43"/>
      <x:c r="C237" s="9"/>
      <x:c r="D237" s="9"/>
      <x:c r="E237" s="6" t="str">
        <x:f>IF(D237="","",VLOOKUP(D237,Courses!$A$5:$G$10,2,FALSE))</x:f>
      </x:c>
      <x:c r="F237" s="47" t="str">
        <x:f>IF(D237="","",VLOOKUP(D237,Courses!$A$5:$G$10,3,FALSE))</x:f>
      </x:c>
      <x:c r="G237" s="9"/>
      <x:c r="H237" s="9"/>
      <x:c r="I237" s="9"/>
      <x:c r="J237" s="43"/>
      <x:c r="K237" s="9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9"/>
      <x:c r="B238" s="43"/>
      <x:c r="C238" s="9"/>
      <x:c r="D238" s="9"/>
      <x:c r="E238" s="6" t="str">
        <x:f>IF(D238="","",VLOOKUP(D238,Courses!$A$5:$G$10,2,FALSE))</x:f>
      </x:c>
      <x:c r="F238" s="47" t="str">
        <x:f>IF(D238="","",VLOOKUP(D238,Courses!$A$5:$G$10,3,FALSE))</x:f>
      </x:c>
      <x:c r="G238" s="9"/>
      <x:c r="H238" s="9"/>
      <x:c r="I238" s="9"/>
      <x:c r="J238" s="43"/>
      <x:c r="K238" s="9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9"/>
      <x:c r="B239" s="43"/>
      <x:c r="C239" s="9"/>
      <x:c r="D239" s="9"/>
      <x:c r="E239" s="6" t="str">
        <x:f>IF(D239="","",VLOOKUP(D239,Courses!$A$5:$G$10,2,FALSE))</x:f>
      </x:c>
      <x:c r="F239" s="47" t="str">
        <x:f>IF(D239="","",VLOOKUP(D239,Courses!$A$5:$G$10,3,FALSE))</x:f>
      </x:c>
      <x:c r="G239" s="9"/>
      <x:c r="H239" s="9"/>
      <x:c r="I239" s="9"/>
      <x:c r="J239" s="43"/>
      <x:c r="K239" s="9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9"/>
      <x:c r="B240" s="43"/>
      <x:c r="C240" s="9"/>
      <x:c r="D240" s="9"/>
      <x:c r="E240" s="6" t="str">
        <x:f>IF(D240="","",VLOOKUP(D240,Courses!$A$5:$G$10,2,FALSE))</x:f>
      </x:c>
      <x:c r="F240" s="47" t="str">
        <x:f>IF(D240="","",VLOOKUP(D240,Courses!$A$5:$G$10,3,FALSE))</x:f>
      </x:c>
      <x:c r="G240" s="9"/>
      <x:c r="H240" s="9"/>
      <x:c r="I240" s="9"/>
      <x:c r="J240" s="43"/>
      <x:c r="K240" s="9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9"/>
      <x:c r="B241" s="43"/>
      <x:c r="C241" s="9"/>
      <x:c r="D241" s="9"/>
      <x:c r="E241" s="6" t="str">
        <x:f>IF(D241="","",VLOOKUP(D241,Courses!$A$5:$G$10,2,FALSE))</x:f>
      </x:c>
      <x:c r="F241" s="47" t="str">
        <x:f>IF(D241="","",VLOOKUP(D241,Courses!$A$5:$G$10,3,FALSE))</x:f>
      </x:c>
      <x:c r="G241" s="9"/>
      <x:c r="H241" s="9"/>
      <x:c r="I241" s="9"/>
      <x:c r="J241" s="43"/>
      <x:c r="K241" s="9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9"/>
      <x:c r="B242" s="43"/>
      <x:c r="C242" s="9"/>
      <x:c r="D242" s="9"/>
      <x:c r="E242" s="6" t="str">
        <x:f>IF(D242="","",VLOOKUP(D242,Courses!$A$5:$G$10,2,FALSE))</x:f>
      </x:c>
      <x:c r="F242" s="47" t="str">
        <x:f>IF(D242="","",VLOOKUP(D242,Courses!$A$5:$G$10,3,FALSE))</x:f>
      </x:c>
      <x:c r="G242" s="9"/>
      <x:c r="H242" s="9"/>
      <x:c r="I242" s="9"/>
      <x:c r="J242" s="43"/>
      <x:c r="K242" s="9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9"/>
      <x:c r="B243" s="43"/>
      <x:c r="C243" s="9"/>
      <x:c r="D243" s="9"/>
      <x:c r="E243" s="6" t="str">
        <x:f>IF(D243="","",VLOOKUP(D243,Courses!$A$5:$G$10,2,FALSE))</x:f>
      </x:c>
      <x:c r="F243" s="47" t="str">
        <x:f>IF(D243="","",VLOOKUP(D243,Courses!$A$5:$G$10,3,FALSE))</x:f>
      </x:c>
      <x:c r="G243" s="9"/>
      <x:c r="H243" s="9"/>
      <x:c r="I243" s="9"/>
      <x:c r="J243" s="43"/>
      <x:c r="K243" s="9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9"/>
      <x:c r="B244" s="43"/>
      <x:c r="C244" s="9"/>
      <x:c r="D244" s="9"/>
      <x:c r="E244" s="6" t="str">
        <x:f>IF(D244="","",VLOOKUP(D244,Courses!$A$5:$G$10,2,FALSE))</x:f>
      </x:c>
      <x:c r="F244" s="47" t="str">
        <x:f>IF(D244="","",VLOOKUP(D244,Courses!$A$5:$G$10,3,FALSE))</x:f>
      </x:c>
      <x:c r="G244" s="9"/>
      <x:c r="H244" s="9"/>
      <x:c r="I244" s="9"/>
      <x:c r="J244" s="43"/>
      <x:c r="K244" s="9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9"/>
      <x:c r="B245" s="43"/>
      <x:c r="C245" s="9"/>
      <x:c r="D245" s="9"/>
      <x:c r="E245" s="6" t="str">
        <x:f>IF(D245="","",VLOOKUP(D245,Courses!$A$5:$G$10,2,FALSE))</x:f>
      </x:c>
      <x:c r="F245" s="47" t="str">
        <x:f>IF(D245="","",VLOOKUP(D245,Courses!$A$5:$G$10,3,FALSE))</x:f>
      </x:c>
      <x:c r="G245" s="9"/>
      <x:c r="H245" s="9"/>
      <x:c r="I245" s="9"/>
      <x:c r="J245" s="43"/>
      <x:c r="K245" s="9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9"/>
      <x:c r="B246" s="43"/>
      <x:c r="C246" s="9"/>
      <x:c r="D246" s="9"/>
      <x:c r="E246" s="6" t="str">
        <x:f>IF(D246="","",VLOOKUP(D246,Courses!$A$5:$G$10,2,FALSE))</x:f>
      </x:c>
      <x:c r="F246" s="47" t="str">
        <x:f>IF(D246="","",VLOOKUP(D246,Courses!$A$5:$G$10,3,FALSE))</x:f>
      </x:c>
      <x:c r="G246" s="9"/>
      <x:c r="H246" s="9"/>
      <x:c r="I246" s="9"/>
      <x:c r="J246" s="43"/>
      <x:c r="K246" s="9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9"/>
      <x:c r="B247" s="43"/>
      <x:c r="C247" s="9"/>
      <x:c r="D247" s="9"/>
      <x:c r="E247" s="6" t="str">
        <x:f>IF(D247="","",VLOOKUP(D247,Courses!$A$5:$G$10,2,FALSE))</x:f>
      </x:c>
      <x:c r="F247" s="47" t="str">
        <x:f>IF(D247="","",VLOOKUP(D247,Courses!$A$5:$G$10,3,FALSE))</x:f>
      </x:c>
      <x:c r="G247" s="9"/>
      <x:c r="H247" s="9"/>
      <x:c r="I247" s="9"/>
      <x:c r="J247" s="43"/>
      <x:c r="K247" s="9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9"/>
      <x:c r="B248" s="43"/>
      <x:c r="C248" s="9"/>
      <x:c r="D248" s="9"/>
      <x:c r="E248" s="6" t="str">
        <x:f>IF(D248="","",VLOOKUP(D248,Courses!$A$5:$G$10,2,FALSE))</x:f>
      </x:c>
      <x:c r="F248" s="47" t="str">
        <x:f>IF(D248="","",VLOOKUP(D248,Courses!$A$5:$G$10,3,FALSE))</x:f>
      </x:c>
      <x:c r="G248" s="9"/>
      <x:c r="H248" s="9"/>
      <x:c r="I248" s="9"/>
      <x:c r="J248" s="43"/>
      <x:c r="K248" s="9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9"/>
      <x:c r="B249" s="43"/>
      <x:c r="C249" s="9"/>
      <x:c r="D249" s="9"/>
      <x:c r="E249" s="6" t="str">
        <x:f>IF(D249="","",VLOOKUP(D249,Courses!$A$5:$G$10,2,FALSE))</x:f>
      </x:c>
      <x:c r="F249" s="47" t="str">
        <x:f>IF(D249="","",VLOOKUP(D249,Courses!$A$5:$G$10,3,FALSE))</x:f>
      </x:c>
      <x:c r="G249" s="9"/>
      <x:c r="H249" s="9"/>
      <x:c r="I249" s="9"/>
      <x:c r="J249" s="43"/>
      <x:c r="K249" s="9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9"/>
      <x:c r="B250" s="43"/>
      <x:c r="C250" s="9"/>
      <x:c r="D250" s="9"/>
      <x:c r="E250" s="6" t="str">
        <x:f>IF(D250="","",VLOOKUP(D250,Courses!$A$5:$G$10,2,FALSE))</x:f>
      </x:c>
      <x:c r="F250" s="47" t="str">
        <x:f>IF(D250="","",VLOOKUP(D250,Courses!$A$5:$G$10,3,FALSE))</x:f>
      </x:c>
      <x:c r="G250" s="9"/>
      <x:c r="H250" s="9"/>
      <x:c r="I250" s="9"/>
      <x:c r="J250" s="43"/>
      <x:c r="K250" s="9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9"/>
      <x:c r="B251" s="43"/>
      <x:c r="C251" s="9"/>
      <x:c r="D251" s="9"/>
      <x:c r="E251" s="6" t="str">
        <x:f>IF(D251="","",VLOOKUP(D251,Courses!$A$5:$G$10,2,FALSE))</x:f>
      </x:c>
      <x:c r="F251" s="47" t="str">
        <x:f>IF(D251="","",VLOOKUP(D251,Courses!$A$5:$G$10,3,FALSE))</x:f>
      </x:c>
      <x:c r="G251" s="9"/>
      <x:c r="H251" s="9"/>
      <x:c r="I251" s="9"/>
      <x:c r="J251" s="43"/>
      <x:c r="K251" s="9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9"/>
      <x:c r="B252" s="43"/>
      <x:c r="C252" s="9"/>
      <x:c r="D252" s="9"/>
      <x:c r="E252" s="6" t="str">
        <x:f>IF(D252="","",VLOOKUP(D252,Courses!$A$5:$G$10,2,FALSE))</x:f>
      </x:c>
      <x:c r="F252" s="47" t="str">
        <x:f>IF(D252="","",VLOOKUP(D252,Courses!$A$5:$G$10,3,FALSE))</x:f>
      </x:c>
      <x:c r="G252" s="9"/>
      <x:c r="H252" s="9"/>
      <x:c r="I252" s="9"/>
      <x:c r="J252" s="43"/>
      <x:c r="K252" s="9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9"/>
      <x:c r="B253" s="43"/>
      <x:c r="C253" s="9"/>
      <x:c r="D253" s="9"/>
      <x:c r="E253" s="6" t="str">
        <x:f>IF(D253="","",VLOOKUP(D253,Courses!$A$5:$G$10,2,FALSE))</x:f>
      </x:c>
      <x:c r="F253" s="47" t="str">
        <x:f>IF(D253="","",VLOOKUP(D253,Courses!$A$5:$G$10,3,FALSE))</x:f>
      </x:c>
      <x:c r="G253" s="9"/>
      <x:c r="H253" s="9"/>
      <x:c r="I253" s="9"/>
      <x:c r="J253" s="43"/>
      <x:c r="K253" s="9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9"/>
      <x:c r="B254" s="43"/>
      <x:c r="C254" s="9"/>
      <x:c r="D254" s="9"/>
      <x:c r="E254" s="6" t="str">
        <x:f>IF(D254="","",VLOOKUP(D254,Courses!$A$5:$G$10,2,FALSE))</x:f>
      </x:c>
      <x:c r="F254" s="47" t="str">
        <x:f>IF(D254="","",VLOOKUP(D254,Courses!$A$5:$G$10,3,FALSE))</x:f>
      </x:c>
      <x:c r="G254" s="9"/>
      <x:c r="H254" s="9"/>
      <x:c r="I254" s="9"/>
      <x:c r="J254" s="43"/>
      <x:c r="K254" s="9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9"/>
      <x:c r="B255" s="43"/>
      <x:c r="C255" s="9"/>
      <x:c r="D255" s="9"/>
      <x:c r="E255" s="6" t="str">
        <x:f>IF(D255="","",VLOOKUP(D255,Courses!$A$5:$G$10,2,FALSE))</x:f>
      </x:c>
      <x:c r="F255" s="47" t="str">
        <x:f>IF(D255="","",VLOOKUP(D255,Courses!$A$5:$G$10,3,FALSE))</x:f>
      </x:c>
      <x:c r="G255" s="9"/>
      <x:c r="H255" s="9"/>
      <x:c r="I255" s="9"/>
      <x:c r="J255" s="43"/>
      <x:c r="K255" s="9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9"/>
      <x:c r="B256" s="43"/>
      <x:c r="C256" s="9"/>
      <x:c r="D256" s="9"/>
      <x:c r="E256" s="6" t="str">
        <x:f>IF(D256="","",VLOOKUP(D256,Courses!$A$5:$G$10,2,FALSE))</x:f>
      </x:c>
      <x:c r="F256" s="47" t="str">
        <x:f>IF(D256="","",VLOOKUP(D256,Courses!$A$5:$G$10,3,FALSE))</x:f>
      </x:c>
      <x:c r="G256" s="9"/>
      <x:c r="H256" s="9"/>
      <x:c r="I256" s="9"/>
      <x:c r="J256" s="43"/>
      <x:c r="K256" s="9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9"/>
      <x:c r="B257" s="43"/>
      <x:c r="C257" s="9"/>
      <x:c r="D257" s="9"/>
      <x:c r="E257" s="6" t="str">
        <x:f>IF(D257="","",VLOOKUP(D257,Courses!$A$5:$G$10,2,FALSE))</x:f>
      </x:c>
      <x:c r="F257" s="47" t="str">
        <x:f>IF(D257="","",VLOOKUP(D257,Courses!$A$5:$G$10,3,FALSE))</x:f>
      </x:c>
      <x:c r="G257" s="9"/>
      <x:c r="H257" s="9"/>
      <x:c r="I257" s="9"/>
      <x:c r="J257" s="43"/>
      <x:c r="K257" s="9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9"/>
      <x:c r="B258" s="43"/>
      <x:c r="C258" s="9"/>
      <x:c r="D258" s="9"/>
      <x:c r="E258" s="6" t="str">
        <x:f>IF(D258="","",VLOOKUP(D258,Courses!$A$5:$G$10,2,FALSE))</x:f>
      </x:c>
      <x:c r="F258" s="47" t="str">
        <x:f>IF(D258="","",VLOOKUP(D258,Courses!$A$5:$G$10,3,FALSE))</x:f>
      </x:c>
      <x:c r="G258" s="9"/>
      <x:c r="H258" s="9"/>
      <x:c r="I258" s="9"/>
      <x:c r="J258" s="43"/>
      <x:c r="K258" s="9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9"/>
      <x:c r="B259" s="43"/>
      <x:c r="C259" s="9"/>
      <x:c r="D259" s="9"/>
      <x:c r="E259" s="6" t="str">
        <x:f>IF(D259="","",VLOOKUP(D259,Courses!$A$5:$G$10,2,FALSE))</x:f>
      </x:c>
      <x:c r="F259" s="47" t="str">
        <x:f>IF(D259="","",VLOOKUP(D259,Courses!$A$5:$G$10,3,FALSE))</x:f>
      </x:c>
      <x:c r="G259" s="9"/>
      <x:c r="H259" s="9"/>
      <x:c r="I259" s="9"/>
      <x:c r="J259" s="43"/>
      <x:c r="K259" s="9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9"/>
      <x:c r="B260" s="43"/>
      <x:c r="C260" s="9"/>
      <x:c r="D260" s="9"/>
      <x:c r="E260" s="6" t="str">
        <x:f>IF(D260="","",VLOOKUP(D260,Courses!$A$5:$G$10,2,FALSE))</x:f>
      </x:c>
      <x:c r="F260" s="47" t="str">
        <x:f>IF(D260="","",VLOOKUP(D260,Courses!$A$5:$G$10,3,FALSE))</x:f>
      </x:c>
      <x:c r="G260" s="9"/>
      <x:c r="H260" s="9"/>
      <x:c r="I260" s="9"/>
      <x:c r="J260" s="43"/>
      <x:c r="K260" s="9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9"/>
      <x:c r="B261" s="43"/>
      <x:c r="C261" s="9"/>
      <x:c r="D261" s="9"/>
      <x:c r="E261" s="6" t="str">
        <x:f>IF(D261="","",VLOOKUP(D261,Courses!$A$5:$G$10,2,FALSE))</x:f>
      </x:c>
      <x:c r="F261" s="47" t="str">
        <x:f>IF(D261="","",VLOOKUP(D261,Courses!$A$5:$G$10,3,FALSE))</x:f>
      </x:c>
      <x:c r="G261" s="9"/>
      <x:c r="H261" s="9"/>
      <x:c r="I261" s="9"/>
      <x:c r="J261" s="43"/>
      <x:c r="K261" s="9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9"/>
      <x:c r="B262" s="43"/>
      <x:c r="C262" s="9"/>
      <x:c r="D262" s="9"/>
      <x:c r="E262" s="6" t="str">
        <x:f>IF(D262="","",VLOOKUP(D262,Courses!$A$5:$G$10,2,FALSE))</x:f>
      </x:c>
      <x:c r="F262" s="47" t="str">
        <x:f>IF(D262="","",VLOOKUP(D262,Courses!$A$5:$G$10,3,FALSE))</x:f>
      </x:c>
      <x:c r="G262" s="9"/>
      <x:c r="H262" s="9"/>
      <x:c r="I262" s="9"/>
      <x:c r="J262" s="43"/>
      <x:c r="K262" s="9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9"/>
      <x:c r="B263" s="43"/>
      <x:c r="C263" s="9"/>
      <x:c r="D263" s="9"/>
      <x:c r="E263" s="6" t="str">
        <x:f>IF(D263="","",VLOOKUP(D263,Courses!$A$5:$G$10,2,FALSE))</x:f>
      </x:c>
      <x:c r="F263" s="47" t="str">
        <x:f>IF(D263="","",VLOOKUP(D263,Courses!$A$5:$G$10,3,FALSE))</x:f>
      </x:c>
      <x:c r="G263" s="9"/>
      <x:c r="H263" s="9"/>
      <x:c r="I263" s="9"/>
      <x:c r="J263" s="43"/>
      <x:c r="K263" s="9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9"/>
      <x:c r="B264" s="43"/>
      <x:c r="C264" s="9"/>
      <x:c r="D264" s="9"/>
      <x:c r="E264" s="6" t="str">
        <x:f>IF(D264="","",VLOOKUP(D264,Courses!$A$5:$G$10,2,FALSE))</x:f>
      </x:c>
      <x:c r="F264" s="47" t="str">
        <x:f>IF(D264="","",VLOOKUP(D264,Courses!$A$5:$G$10,3,FALSE))</x:f>
      </x:c>
      <x:c r="G264" s="9"/>
      <x:c r="H264" s="9"/>
      <x:c r="I264" s="9"/>
      <x:c r="J264" s="43"/>
      <x:c r="K264" s="9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9"/>
      <x:c r="B265" s="43"/>
      <x:c r="C265" s="9"/>
      <x:c r="D265" s="9"/>
      <x:c r="E265" s="6" t="str">
        <x:f>IF(D265="","",VLOOKUP(D265,Courses!$A$5:$G$10,2,FALSE))</x:f>
      </x:c>
      <x:c r="F265" s="47" t="str">
        <x:f>IF(D265="","",VLOOKUP(D265,Courses!$A$5:$G$10,3,FALSE))</x:f>
      </x:c>
      <x:c r="G265" s="9"/>
      <x:c r="H265" s="9"/>
      <x:c r="I265" s="9"/>
      <x:c r="J265" s="43"/>
      <x:c r="K265" s="9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9"/>
      <x:c r="B266" s="43"/>
      <x:c r="C266" s="9"/>
      <x:c r="D266" s="9"/>
      <x:c r="E266" s="6" t="str">
        <x:f>IF(D266="","",VLOOKUP(D266,Courses!$A$5:$G$10,2,FALSE))</x:f>
      </x:c>
      <x:c r="F266" s="47" t="str">
        <x:f>IF(D266="","",VLOOKUP(D266,Courses!$A$5:$G$10,3,FALSE))</x:f>
      </x:c>
      <x:c r="G266" s="9"/>
      <x:c r="H266" s="9"/>
      <x:c r="I266" s="9"/>
      <x:c r="J266" s="43"/>
      <x:c r="K266" s="9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9"/>
      <x:c r="B267" s="43"/>
      <x:c r="C267" s="9"/>
      <x:c r="D267" s="9"/>
      <x:c r="E267" s="6" t="str">
        <x:f>IF(D267="","",VLOOKUP(D267,Courses!$A$5:$G$10,2,FALSE))</x:f>
      </x:c>
      <x:c r="F267" s="47" t="str">
        <x:f>IF(D267="","",VLOOKUP(D267,Courses!$A$5:$G$10,3,FALSE))</x:f>
      </x:c>
      <x:c r="G267" s="9"/>
      <x:c r="H267" s="9"/>
      <x:c r="I267" s="9"/>
      <x:c r="J267" s="43"/>
      <x:c r="K267" s="9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9"/>
      <x:c r="B268" s="43"/>
      <x:c r="C268" s="9"/>
      <x:c r="D268" s="9"/>
      <x:c r="E268" s="6" t="str">
        <x:f>IF(D268="","",VLOOKUP(D268,Courses!$A$5:$G$10,2,FALSE))</x:f>
      </x:c>
      <x:c r="F268" s="47" t="str">
        <x:f>IF(D268="","",VLOOKUP(D268,Courses!$A$5:$G$10,3,FALSE))</x:f>
      </x:c>
      <x:c r="G268" s="9"/>
      <x:c r="H268" s="9"/>
      <x:c r="I268" s="9"/>
      <x:c r="J268" s="43"/>
      <x:c r="K268" s="9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9"/>
      <x:c r="B269" s="43"/>
      <x:c r="C269" s="9"/>
      <x:c r="D269" s="9"/>
      <x:c r="E269" s="6" t="str">
        <x:f>IF(D269="","",VLOOKUP(D269,Courses!$A$5:$G$10,2,FALSE))</x:f>
      </x:c>
      <x:c r="F269" s="47" t="str">
        <x:f>IF(D269="","",VLOOKUP(D269,Courses!$A$5:$G$10,3,FALSE))</x:f>
      </x:c>
      <x:c r="G269" s="9"/>
      <x:c r="H269" s="9"/>
      <x:c r="I269" s="9"/>
      <x:c r="J269" s="43"/>
      <x:c r="K269" s="9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9"/>
      <x:c r="B270" s="43"/>
      <x:c r="C270" s="9"/>
      <x:c r="D270" s="9"/>
      <x:c r="E270" s="6" t="str">
        <x:f>IF(D270="","",VLOOKUP(D270,Courses!$A$5:$G$10,2,FALSE))</x:f>
      </x:c>
      <x:c r="F270" s="47" t="str">
        <x:f>IF(D270="","",VLOOKUP(D270,Courses!$A$5:$G$10,3,FALSE))</x:f>
      </x:c>
      <x:c r="G270" s="9"/>
      <x:c r="H270" s="9"/>
      <x:c r="I270" s="9"/>
      <x:c r="J270" s="43"/>
      <x:c r="K270" s="9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9"/>
      <x:c r="B271" s="43"/>
      <x:c r="C271" s="9"/>
      <x:c r="D271" s="9"/>
      <x:c r="E271" s="6" t="str">
        <x:f>IF(D271="","",VLOOKUP(D271,Courses!$A$5:$G$10,2,FALSE))</x:f>
      </x:c>
      <x:c r="F271" s="47" t="str">
        <x:f>IF(D271="","",VLOOKUP(D271,Courses!$A$5:$G$10,3,FALSE))</x:f>
      </x:c>
      <x:c r="G271" s="9"/>
      <x:c r="H271" s="9"/>
      <x:c r="I271" s="9"/>
      <x:c r="J271" s="43"/>
      <x:c r="K271" s="9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9"/>
      <x:c r="B272" s="43"/>
      <x:c r="C272" s="9"/>
      <x:c r="D272" s="9"/>
      <x:c r="E272" s="6" t="str">
        <x:f>IF(D272="","",VLOOKUP(D272,Courses!$A$5:$G$10,2,FALSE))</x:f>
      </x:c>
      <x:c r="F272" s="47" t="str">
        <x:f>IF(D272="","",VLOOKUP(D272,Courses!$A$5:$G$10,3,FALSE))</x:f>
      </x:c>
      <x:c r="G272" s="9"/>
      <x:c r="H272" s="9"/>
      <x:c r="I272" s="9"/>
      <x:c r="J272" s="43"/>
      <x:c r="K272" s="9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9"/>
      <x:c r="B273" s="43"/>
      <x:c r="C273" s="9"/>
      <x:c r="D273" s="9"/>
      <x:c r="E273" s="6" t="str">
        <x:f>IF(D273="","",VLOOKUP(D273,Courses!$A$5:$G$10,2,FALSE))</x:f>
      </x:c>
      <x:c r="F273" s="47" t="str">
        <x:f>IF(D273="","",VLOOKUP(D273,Courses!$A$5:$G$10,3,FALSE))</x:f>
      </x:c>
      <x:c r="G273" s="9"/>
      <x:c r="H273" s="9"/>
      <x:c r="I273" s="9"/>
      <x:c r="J273" s="43"/>
      <x:c r="K273" s="9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9"/>
      <x:c r="B274" s="43"/>
      <x:c r="C274" s="9"/>
      <x:c r="D274" s="9"/>
      <x:c r="E274" s="6" t="str">
        <x:f>IF(D274="","",VLOOKUP(D274,Courses!$A$5:$G$10,2,FALSE))</x:f>
      </x:c>
      <x:c r="F274" s="47" t="str">
        <x:f>IF(D274="","",VLOOKUP(D274,Courses!$A$5:$G$10,3,FALSE))</x:f>
      </x:c>
      <x:c r="G274" s="9"/>
      <x:c r="H274" s="9"/>
      <x:c r="I274" s="9"/>
      <x:c r="J274" s="43"/>
      <x:c r="K274" s="9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9"/>
      <x:c r="B275" s="43"/>
      <x:c r="C275" s="9"/>
      <x:c r="D275" s="9"/>
      <x:c r="E275" s="6" t="str">
        <x:f>IF(D275="","",VLOOKUP(D275,Courses!$A$5:$G$10,2,FALSE))</x:f>
      </x:c>
      <x:c r="F275" s="47" t="str">
        <x:f>IF(D275="","",VLOOKUP(D275,Courses!$A$5:$G$10,3,FALSE))</x:f>
      </x:c>
      <x:c r="G275" s="9"/>
      <x:c r="H275" s="9"/>
      <x:c r="I275" s="9"/>
      <x:c r="J275" s="43"/>
      <x:c r="K275" s="9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9"/>
      <x:c r="B276" s="43"/>
      <x:c r="C276" s="9"/>
      <x:c r="D276" s="9"/>
      <x:c r="E276" s="6" t="str">
        <x:f>IF(D276="","",VLOOKUP(D276,Courses!$A$5:$G$10,2,FALSE))</x:f>
      </x:c>
      <x:c r="F276" s="47" t="str">
        <x:f>IF(D276="","",VLOOKUP(D276,Courses!$A$5:$G$10,3,FALSE))</x:f>
      </x:c>
      <x:c r="G276" s="9"/>
      <x:c r="H276" s="9"/>
      <x:c r="I276" s="9"/>
      <x:c r="J276" s="43"/>
      <x:c r="K276" s="9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9"/>
      <x:c r="B277" s="43"/>
      <x:c r="C277" s="9"/>
      <x:c r="D277" s="9"/>
      <x:c r="E277" s="6" t="str">
        <x:f>IF(D277="","",VLOOKUP(D277,Courses!$A$5:$G$10,2,FALSE))</x:f>
      </x:c>
      <x:c r="F277" s="47" t="str">
        <x:f>IF(D277="","",VLOOKUP(D277,Courses!$A$5:$G$10,3,FALSE))</x:f>
      </x:c>
      <x:c r="G277" s="9"/>
      <x:c r="H277" s="9"/>
      <x:c r="I277" s="9"/>
      <x:c r="J277" s="43"/>
      <x:c r="K277" s="9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9"/>
      <x:c r="B278" s="43"/>
      <x:c r="C278" s="9"/>
      <x:c r="D278" s="9"/>
      <x:c r="E278" s="6" t="str">
        <x:f>IF(D278="","",VLOOKUP(D278,Courses!$A$5:$G$10,2,FALSE))</x:f>
      </x:c>
      <x:c r="F278" s="47" t="str">
        <x:f>IF(D278="","",VLOOKUP(D278,Courses!$A$5:$G$10,3,FALSE))</x:f>
      </x:c>
      <x:c r="G278" s="9"/>
      <x:c r="H278" s="9"/>
      <x:c r="I278" s="9"/>
      <x:c r="J278" s="43"/>
      <x:c r="K278" s="9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9"/>
      <x:c r="B279" s="43"/>
      <x:c r="C279" s="9"/>
      <x:c r="D279" s="9"/>
      <x:c r="E279" s="6" t="str">
        <x:f>IF(D279="","",VLOOKUP(D279,Courses!$A$5:$G$10,2,FALSE))</x:f>
      </x:c>
      <x:c r="F279" s="47" t="str">
        <x:f>IF(D279="","",VLOOKUP(D279,Courses!$A$5:$G$10,3,FALSE))</x:f>
      </x:c>
      <x:c r="G279" s="9"/>
      <x:c r="H279" s="9"/>
      <x:c r="I279" s="9"/>
      <x:c r="J279" s="43"/>
      <x:c r="K279" s="9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9"/>
      <x:c r="B280" s="43"/>
      <x:c r="C280" s="9"/>
      <x:c r="D280" s="9"/>
      <x:c r="E280" s="6" t="str">
        <x:f>IF(D280="","",VLOOKUP(D280,Courses!$A$5:$G$10,2,FALSE))</x:f>
      </x:c>
      <x:c r="F280" s="47" t="str">
        <x:f>IF(D280="","",VLOOKUP(D280,Courses!$A$5:$G$10,3,FALSE))</x:f>
      </x:c>
      <x:c r="G280" s="9"/>
      <x:c r="H280" s="9"/>
      <x:c r="I280" s="9"/>
      <x:c r="J280" s="43"/>
      <x:c r="K280" s="9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9"/>
      <x:c r="B281" s="43"/>
      <x:c r="C281" s="9"/>
      <x:c r="D281" s="9"/>
      <x:c r="E281" s="6" t="str">
        <x:f>IF(D281="","",VLOOKUP(D281,Courses!$A$5:$G$10,2,FALSE))</x:f>
      </x:c>
      <x:c r="F281" s="47" t="str">
        <x:f>IF(D281="","",VLOOKUP(D281,Courses!$A$5:$G$10,3,FALSE))</x:f>
      </x:c>
      <x:c r="G281" s="9"/>
      <x:c r="H281" s="9"/>
      <x:c r="I281" s="9"/>
      <x:c r="J281" s="43"/>
      <x:c r="K281" s="9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9"/>
      <x:c r="B282" s="43"/>
      <x:c r="C282" s="9"/>
      <x:c r="D282" s="9"/>
      <x:c r="E282" s="6" t="str">
        <x:f>IF(D282="","",VLOOKUP(D282,Courses!$A$5:$G$10,2,FALSE))</x:f>
      </x:c>
      <x:c r="F282" s="47" t="str">
        <x:f>IF(D282="","",VLOOKUP(D282,Courses!$A$5:$G$10,3,FALSE))</x:f>
      </x:c>
      <x:c r="G282" s="9"/>
      <x:c r="H282" s="9"/>
      <x:c r="I282" s="9"/>
      <x:c r="J282" s="43"/>
      <x:c r="K282" s="9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9"/>
      <x:c r="B283" s="43"/>
      <x:c r="C283" s="9"/>
      <x:c r="D283" s="9"/>
      <x:c r="E283" s="6" t="str">
        <x:f>IF(D283="","",VLOOKUP(D283,Courses!$A$5:$G$10,2,FALSE))</x:f>
      </x:c>
      <x:c r="F283" s="47" t="str">
        <x:f>IF(D283="","",VLOOKUP(D283,Courses!$A$5:$G$10,3,FALSE))</x:f>
      </x:c>
      <x:c r="G283" s="9"/>
      <x:c r="H283" s="9"/>
      <x:c r="I283" s="9"/>
      <x:c r="J283" s="43"/>
      <x:c r="K283" s="9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9"/>
      <x:c r="B284" s="43"/>
      <x:c r="C284" s="9"/>
      <x:c r="D284" s="9"/>
      <x:c r="E284" s="6" t="str">
        <x:f>IF(D284="","",VLOOKUP(D284,Courses!$A$5:$G$10,2,FALSE))</x:f>
      </x:c>
      <x:c r="F284" s="47" t="str">
        <x:f>IF(D284="","",VLOOKUP(D284,Courses!$A$5:$G$10,3,FALSE))</x:f>
      </x:c>
      <x:c r="G284" s="9"/>
      <x:c r="H284" s="9"/>
      <x:c r="I284" s="9"/>
      <x:c r="J284" s="43"/>
      <x:c r="K284" s="9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9"/>
      <x:c r="B285" s="43"/>
      <x:c r="C285" s="9"/>
      <x:c r="D285" s="9"/>
      <x:c r="E285" s="6" t="str">
        <x:f>IF(D285="","",VLOOKUP(D285,Courses!$A$5:$G$10,2,FALSE))</x:f>
      </x:c>
      <x:c r="F285" s="47" t="str">
        <x:f>IF(D285="","",VLOOKUP(D285,Courses!$A$5:$G$10,3,FALSE))</x:f>
      </x:c>
      <x:c r="G285" s="9"/>
      <x:c r="H285" s="9"/>
      <x:c r="I285" s="9"/>
      <x:c r="J285" s="43"/>
      <x:c r="K285" s="9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9"/>
      <x:c r="B286" s="43"/>
      <x:c r="C286" s="9"/>
      <x:c r="D286" s="9"/>
      <x:c r="E286" s="6" t="str">
        <x:f>IF(D286="","",VLOOKUP(D286,Courses!$A$5:$G$10,2,FALSE))</x:f>
      </x:c>
      <x:c r="F286" s="47" t="str">
        <x:f>IF(D286="","",VLOOKUP(D286,Courses!$A$5:$G$10,3,FALSE))</x:f>
      </x:c>
      <x:c r="G286" s="9"/>
      <x:c r="H286" s="9"/>
      <x:c r="I286" s="9"/>
      <x:c r="J286" s="43"/>
      <x:c r="K286" s="9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9"/>
      <x:c r="B287" s="43"/>
      <x:c r="C287" s="9"/>
      <x:c r="D287" s="9"/>
      <x:c r="E287" s="6" t="str">
        <x:f>IF(D287="","",VLOOKUP(D287,Courses!$A$5:$G$10,2,FALSE))</x:f>
      </x:c>
      <x:c r="F287" s="47" t="str">
        <x:f>IF(D287="","",VLOOKUP(D287,Courses!$A$5:$G$10,3,FALSE))</x:f>
      </x:c>
      <x:c r="G287" s="9"/>
      <x:c r="H287" s="9"/>
      <x:c r="I287" s="9"/>
      <x:c r="J287" s="43"/>
      <x:c r="K287" s="9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9"/>
      <x:c r="B288" s="43"/>
      <x:c r="C288" s="9"/>
      <x:c r="D288" s="9"/>
      <x:c r="E288" s="6" t="str">
        <x:f>IF(D288="","",VLOOKUP(D288,Courses!$A$5:$G$10,2,FALSE))</x:f>
      </x:c>
      <x:c r="F288" s="47" t="str">
        <x:f>IF(D288="","",VLOOKUP(D288,Courses!$A$5:$G$10,3,FALSE))</x:f>
      </x:c>
      <x:c r="G288" s="9"/>
      <x:c r="H288" s="9"/>
      <x:c r="I288" s="9"/>
      <x:c r="J288" s="43"/>
      <x:c r="K288" s="9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9"/>
      <x:c r="B289" s="43"/>
      <x:c r="C289" s="9"/>
      <x:c r="D289" s="9"/>
      <x:c r="E289" s="6" t="str">
        <x:f>IF(D289="","",VLOOKUP(D289,Courses!$A$5:$G$10,2,FALSE))</x:f>
      </x:c>
      <x:c r="F289" s="47" t="str">
        <x:f>IF(D289="","",VLOOKUP(D289,Courses!$A$5:$G$10,3,FALSE))</x:f>
      </x:c>
      <x:c r="G289" s="9"/>
      <x:c r="H289" s="9"/>
      <x:c r="I289" s="9"/>
      <x:c r="J289" s="43"/>
      <x:c r="K289" s="9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9"/>
      <x:c r="B290" s="43"/>
      <x:c r="C290" s="9"/>
      <x:c r="D290" s="9"/>
      <x:c r="E290" s="6" t="str">
        <x:f>IF(D290="","",VLOOKUP(D290,Courses!$A$5:$G$10,2,FALSE))</x:f>
      </x:c>
      <x:c r="F290" s="47" t="str">
        <x:f>IF(D290="","",VLOOKUP(D290,Courses!$A$5:$G$10,3,FALSE))</x:f>
      </x:c>
      <x:c r="G290" s="9"/>
      <x:c r="H290" s="9"/>
      <x:c r="I290" s="9"/>
      <x:c r="J290" s="43"/>
      <x:c r="K290" s="9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9"/>
      <x:c r="B291" s="43"/>
      <x:c r="C291" s="9"/>
      <x:c r="D291" s="9"/>
      <x:c r="E291" s="6" t="str">
        <x:f>IF(D291="","",VLOOKUP(D291,Courses!$A$5:$G$10,2,FALSE))</x:f>
      </x:c>
      <x:c r="F291" s="47" t="str">
        <x:f>IF(D291="","",VLOOKUP(D291,Courses!$A$5:$G$10,3,FALSE))</x:f>
      </x:c>
      <x:c r="G291" s="9"/>
      <x:c r="H291" s="9"/>
      <x:c r="I291" s="9"/>
      <x:c r="J291" s="43"/>
      <x:c r="K291" s="9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9"/>
      <x:c r="B292" s="43"/>
      <x:c r="C292" s="9"/>
      <x:c r="D292" s="9"/>
      <x:c r="E292" s="6" t="str">
        <x:f>IF(D292="","",VLOOKUP(D292,Courses!$A$5:$G$10,2,FALSE))</x:f>
      </x:c>
      <x:c r="F292" s="47" t="str">
        <x:f>IF(D292="","",VLOOKUP(D292,Courses!$A$5:$G$10,3,FALSE))</x:f>
      </x:c>
      <x:c r="G292" s="9"/>
      <x:c r="H292" s="9"/>
      <x:c r="I292" s="9"/>
      <x:c r="J292" s="43"/>
      <x:c r="K292" s="9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9"/>
      <x:c r="B293" s="43"/>
      <x:c r="C293" s="9"/>
      <x:c r="D293" s="9"/>
      <x:c r="E293" s="6" t="str">
        <x:f>IF(D293="","",VLOOKUP(D293,Courses!$A$5:$G$10,2,FALSE))</x:f>
      </x:c>
      <x:c r="F293" s="47" t="str">
        <x:f>IF(D293="","",VLOOKUP(D293,Courses!$A$5:$G$10,3,FALSE))</x:f>
      </x:c>
      <x:c r="G293" s="9"/>
      <x:c r="H293" s="9"/>
      <x:c r="I293" s="9"/>
      <x:c r="J293" s="43"/>
      <x:c r="K293" s="9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9"/>
      <x:c r="B294" s="43"/>
      <x:c r="C294" s="9"/>
      <x:c r="D294" s="9"/>
      <x:c r="E294" s="6" t="str">
        <x:f>IF(D294="","",VLOOKUP(D294,Courses!$A$5:$G$10,2,FALSE))</x:f>
      </x:c>
      <x:c r="F294" s="47" t="str">
        <x:f>IF(D294="","",VLOOKUP(D294,Courses!$A$5:$G$10,3,FALSE))</x:f>
      </x:c>
      <x:c r="G294" s="9"/>
      <x:c r="H294" s="9"/>
      <x:c r="I294" s="9"/>
      <x:c r="J294" s="43"/>
      <x:c r="K294" s="9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9"/>
      <x:c r="B295" s="43"/>
      <x:c r="C295" s="9"/>
      <x:c r="D295" s="9"/>
      <x:c r="E295" s="6" t="str">
        <x:f>IF(D295="","",VLOOKUP(D295,Courses!$A$5:$G$10,2,FALSE))</x:f>
      </x:c>
      <x:c r="F295" s="47" t="str">
        <x:f>IF(D295="","",VLOOKUP(D295,Courses!$A$5:$G$10,3,FALSE))</x:f>
      </x:c>
      <x:c r="G295" s="9"/>
      <x:c r="H295" s="9"/>
      <x:c r="I295" s="9"/>
      <x:c r="J295" s="43"/>
      <x:c r="K295" s="9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9"/>
      <x:c r="B296" s="43"/>
      <x:c r="C296" s="9"/>
      <x:c r="D296" s="9"/>
      <x:c r="E296" s="6" t="str">
        <x:f>IF(D296="","",VLOOKUP(D296,Courses!$A$5:$G$10,2,FALSE))</x:f>
      </x:c>
      <x:c r="F296" s="47" t="str">
        <x:f>IF(D296="","",VLOOKUP(D296,Courses!$A$5:$G$10,3,FALSE))</x:f>
      </x:c>
      <x:c r="G296" s="9"/>
      <x:c r="H296" s="9"/>
      <x:c r="I296" s="9"/>
      <x:c r="J296" s="43"/>
      <x:c r="K296" s="9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9"/>
      <x:c r="B297" s="43"/>
      <x:c r="C297" s="9"/>
      <x:c r="D297" s="9"/>
      <x:c r="E297" s="6" t="str">
        <x:f>IF(D297="","",VLOOKUP(D297,Courses!$A$5:$G$10,2,FALSE))</x:f>
      </x:c>
      <x:c r="F297" s="47" t="str">
        <x:f>IF(D297="","",VLOOKUP(D297,Courses!$A$5:$G$10,3,FALSE))</x:f>
      </x:c>
      <x:c r="G297" s="9"/>
      <x:c r="H297" s="9"/>
      <x:c r="I297" s="9"/>
      <x:c r="J297" s="43"/>
      <x:c r="K297" s="9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9"/>
      <x:c r="B298" s="43"/>
      <x:c r="C298" s="9"/>
      <x:c r="D298" s="9"/>
      <x:c r="E298" s="6" t="str">
        <x:f>IF(D298="","",VLOOKUP(D298,Courses!$A$5:$G$10,2,FALSE))</x:f>
      </x:c>
      <x:c r="F298" s="47" t="str">
        <x:f>IF(D298="","",VLOOKUP(D298,Courses!$A$5:$G$10,3,FALSE))</x:f>
      </x:c>
      <x:c r="G298" s="9"/>
      <x:c r="H298" s="9"/>
      <x:c r="I298" s="9"/>
      <x:c r="J298" s="43"/>
      <x:c r="K298" s="9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9"/>
      <x:c r="B299" s="43"/>
      <x:c r="C299" s="9"/>
      <x:c r="D299" s="9"/>
      <x:c r="E299" s="6" t="str">
        <x:f>IF(D299="","",VLOOKUP(D299,Courses!$A$5:$G$10,2,FALSE))</x:f>
      </x:c>
      <x:c r="F299" s="47" t="str">
        <x:f>IF(D299="","",VLOOKUP(D299,Courses!$A$5:$G$10,3,FALSE))</x:f>
      </x:c>
      <x:c r="G299" s="9"/>
      <x:c r="H299" s="9"/>
      <x:c r="I299" s="9"/>
      <x:c r="J299" s="43"/>
      <x:c r="K299" s="9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9"/>
      <x:c r="B300" s="43"/>
      <x:c r="C300" s="9"/>
      <x:c r="D300" s="9"/>
      <x:c r="E300" s="6" t="str">
        <x:f>IF(D300="","",VLOOKUP(D300,Courses!$A$5:$G$10,2,FALSE))</x:f>
      </x:c>
      <x:c r="F300" s="47" t="str">
        <x:f>IF(D300="","",VLOOKUP(D300,Courses!$A$5:$G$10,3,FALSE))</x:f>
      </x:c>
      <x:c r="G300" s="9"/>
      <x:c r="H300" s="9"/>
      <x:c r="I300" s="9"/>
      <x:c r="J300" s="43"/>
      <x:c r="K300" s="9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9"/>
      <x:c r="B301" s="43"/>
      <x:c r="C301" s="9"/>
      <x:c r="D301" s="9"/>
      <x:c r="E301" s="6" t="str">
        <x:f>IF(D301="","",VLOOKUP(D301,Courses!$A$5:$G$10,2,FALSE))</x:f>
      </x:c>
      <x:c r="F301" s="47" t="str">
        <x:f>IF(D301="","",VLOOKUP(D301,Courses!$A$5:$G$10,3,FALSE))</x:f>
      </x:c>
      <x:c r="G301" s="9"/>
      <x:c r="H301" s="9"/>
      <x:c r="I301" s="9"/>
      <x:c r="J301" s="43"/>
      <x:c r="K301" s="9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9"/>
      <x:c r="B302" s="43"/>
      <x:c r="C302" s="9"/>
      <x:c r="D302" s="9"/>
      <x:c r="E302" s="6" t="str">
        <x:f>IF(D302="","",VLOOKUP(D302,Courses!$A$5:$G$10,2,FALSE))</x:f>
      </x:c>
      <x:c r="F302" s="47" t="str">
        <x:f>IF(D302="","",VLOOKUP(D302,Courses!$A$5:$G$10,3,FALSE))</x:f>
      </x:c>
      <x:c r="G302" s="9"/>
      <x:c r="H302" s="9"/>
      <x:c r="I302" s="9"/>
      <x:c r="J302" s="43"/>
      <x:c r="K302" s="9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9"/>
      <x:c r="B303" s="43"/>
      <x:c r="C303" s="9"/>
      <x:c r="D303" s="9"/>
      <x:c r="E303" s="6" t="str">
        <x:f>IF(D303="","",VLOOKUP(D303,Courses!$A$5:$G$10,2,FALSE))</x:f>
      </x:c>
      <x:c r="F303" s="47" t="str">
        <x:f>IF(D303="","",VLOOKUP(D303,Courses!$A$5:$G$10,3,FALSE))</x:f>
      </x:c>
      <x:c r="G303" s="9"/>
      <x:c r="H303" s="9"/>
      <x:c r="I303" s="9"/>
      <x:c r="J303" s="43"/>
      <x:c r="K303" s="9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9"/>
      <x:c r="B304" s="43"/>
      <x:c r="C304" s="9"/>
      <x:c r="D304" s="9"/>
      <x:c r="E304" s="6" t="str">
        <x:f>IF(D304="","",VLOOKUP(D304,Courses!$A$5:$G$10,2,FALSE))</x:f>
      </x:c>
      <x:c r="F304" s="47" t="str">
        <x:f>IF(D304="","",VLOOKUP(D304,Courses!$A$5:$G$10,3,FALSE))</x:f>
      </x:c>
      <x:c r="G304" s="9"/>
      <x:c r="H304" s="9"/>
      <x:c r="I304" s="9"/>
      <x:c r="J304" s="43"/>
      <x:c r="K304" s="9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9"/>
      <x:c r="B305" s="43"/>
      <x:c r="C305" s="9"/>
      <x:c r="D305" s="9"/>
      <x:c r="E305" s="6" t="str">
        <x:f>IF(D305="","",VLOOKUP(D305,Courses!$A$5:$G$10,2,FALSE))</x:f>
      </x:c>
      <x:c r="F305" s="47" t="str">
        <x:f>IF(D305="","",VLOOKUP(D305,Courses!$A$5:$G$10,3,FALSE))</x:f>
      </x:c>
      <x:c r="G305" s="9"/>
      <x:c r="H305" s="9"/>
      <x:c r="I305" s="9"/>
      <x:c r="J305" s="43"/>
      <x:c r="K305" s="9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9"/>
      <x:c r="B306" s="43"/>
      <x:c r="C306" s="9"/>
      <x:c r="D306" s="9"/>
      <x:c r="E306" s="6" t="str">
        <x:f>IF(D306="","",VLOOKUP(D306,Courses!$A$5:$G$10,2,FALSE))</x:f>
      </x:c>
      <x:c r="F306" s="47" t="str">
        <x:f>IF(D306="","",VLOOKUP(D306,Courses!$A$5:$G$10,3,FALSE))</x:f>
      </x:c>
      <x:c r="G306" s="9"/>
      <x:c r="H306" s="9"/>
      <x:c r="I306" s="9"/>
      <x:c r="J306" s="43"/>
      <x:c r="K306" s="9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9"/>
      <x:c r="B307" s="43"/>
      <x:c r="C307" s="9"/>
      <x:c r="D307" s="9"/>
      <x:c r="E307" s="6" t="str">
        <x:f>IF(D307="","",VLOOKUP(D307,Courses!$A$5:$G$10,2,FALSE))</x:f>
      </x:c>
      <x:c r="F307" s="47" t="str">
        <x:f>IF(D307="","",VLOOKUP(D307,Courses!$A$5:$G$10,3,FALSE))</x:f>
      </x:c>
      <x:c r="G307" s="9"/>
      <x:c r="H307" s="9"/>
      <x:c r="I307" s="9"/>
      <x:c r="J307" s="43"/>
      <x:c r="K307" s="9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9"/>
      <x:c r="B308" s="43"/>
      <x:c r="C308" s="9"/>
      <x:c r="D308" s="9"/>
      <x:c r="E308" s="6" t="str">
        <x:f>IF(D308="","",VLOOKUP(D308,Courses!$A$5:$G$10,2,FALSE))</x:f>
      </x:c>
      <x:c r="F308" s="47" t="str">
        <x:f>IF(D308="","",VLOOKUP(D308,Courses!$A$5:$G$10,3,FALSE))</x:f>
      </x:c>
      <x:c r="G308" s="9"/>
      <x:c r="H308" s="9"/>
      <x:c r="I308" s="9"/>
      <x:c r="J308" s="43"/>
      <x:c r="K308" s="9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9"/>
      <x:c r="B309" s="43"/>
      <x:c r="C309" s="9"/>
      <x:c r="D309" s="9"/>
      <x:c r="E309" s="6" t="str">
        <x:f>IF(D309="","",VLOOKUP(D309,Courses!$A$5:$G$10,2,FALSE))</x:f>
      </x:c>
      <x:c r="F309" s="47" t="str">
        <x:f>IF(D309="","",VLOOKUP(D309,Courses!$A$5:$G$10,3,FALSE))</x:f>
      </x:c>
      <x:c r="G309" s="9"/>
      <x:c r="H309" s="9"/>
      <x:c r="I309" s="9"/>
      <x:c r="J309" s="43"/>
      <x:c r="K309" s="9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9"/>
      <x:c r="B310" s="43"/>
      <x:c r="C310" s="9"/>
      <x:c r="D310" s="9"/>
      <x:c r="E310" s="6" t="str">
        <x:f>IF(D310="","",VLOOKUP(D310,Courses!$A$5:$G$10,2,FALSE))</x:f>
      </x:c>
      <x:c r="F310" s="47" t="str">
        <x:f>IF(D310="","",VLOOKUP(D310,Courses!$A$5:$G$10,3,FALSE))</x:f>
      </x:c>
      <x:c r="G310" s="9"/>
      <x:c r="H310" s="9"/>
      <x:c r="I310" s="9"/>
      <x:c r="J310" s="43"/>
      <x:c r="K310" s="9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9"/>
      <x:c r="B311" s="43"/>
      <x:c r="C311" s="9"/>
      <x:c r="D311" s="9"/>
      <x:c r="E311" s="6" t="str">
        <x:f>IF(D311="","",VLOOKUP(D311,Courses!$A$5:$G$10,2,FALSE))</x:f>
      </x:c>
      <x:c r="F311" s="47" t="str">
        <x:f>IF(D311="","",VLOOKUP(D311,Courses!$A$5:$G$10,3,FALSE))</x:f>
      </x:c>
      <x:c r="G311" s="9"/>
      <x:c r="H311" s="9"/>
      <x:c r="I311" s="9"/>
      <x:c r="J311" s="43"/>
      <x:c r="K311" s="9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9"/>
      <x:c r="B312" s="43"/>
      <x:c r="C312" s="9"/>
      <x:c r="D312" s="9"/>
      <x:c r="E312" s="6" t="str">
        <x:f>IF(D312="","",VLOOKUP(D312,Courses!$A$5:$G$10,2,FALSE))</x:f>
      </x:c>
      <x:c r="F312" s="47" t="str">
        <x:f>IF(D312="","",VLOOKUP(D312,Courses!$A$5:$G$10,3,FALSE))</x:f>
      </x:c>
      <x:c r="G312" s="9"/>
      <x:c r="H312" s="9"/>
      <x:c r="I312" s="9"/>
      <x:c r="J312" s="43"/>
      <x:c r="K312" s="9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9"/>
      <x:c r="B313" s="43"/>
      <x:c r="C313" s="9"/>
      <x:c r="D313" s="9"/>
      <x:c r="E313" s="6" t="str">
        <x:f>IF(D313="","",VLOOKUP(D313,Courses!$A$5:$G$10,2,FALSE))</x:f>
      </x:c>
      <x:c r="F313" s="47" t="str">
        <x:f>IF(D313="","",VLOOKUP(D313,Courses!$A$5:$G$10,3,FALSE))</x:f>
      </x:c>
      <x:c r="G313" s="9"/>
      <x:c r="H313" s="9"/>
      <x:c r="I313" s="9"/>
      <x:c r="J313" s="43"/>
      <x:c r="K313" s="9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9"/>
      <x:c r="B314" s="43"/>
      <x:c r="C314" s="9"/>
      <x:c r="D314" s="9"/>
      <x:c r="E314" s="6" t="str">
        <x:f>IF(D314="","",VLOOKUP(D314,Courses!$A$5:$G$10,2,FALSE))</x:f>
      </x:c>
      <x:c r="F314" s="47" t="str">
        <x:f>IF(D314="","",VLOOKUP(D314,Courses!$A$5:$G$10,3,FALSE))</x:f>
      </x:c>
      <x:c r="G314" s="9"/>
      <x:c r="H314" s="9"/>
      <x:c r="I314" s="9"/>
      <x:c r="J314" s="43"/>
      <x:c r="K314" s="9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9"/>
      <x:c r="B315" s="43"/>
      <x:c r="C315" s="9"/>
      <x:c r="D315" s="9"/>
      <x:c r="E315" s="6" t="str">
        <x:f>IF(D315="","",VLOOKUP(D315,Courses!$A$5:$G$10,2,FALSE))</x:f>
      </x:c>
      <x:c r="F315" s="47" t="str">
        <x:f>IF(D315="","",VLOOKUP(D315,Courses!$A$5:$G$10,3,FALSE))</x:f>
      </x:c>
      <x:c r="G315" s="9"/>
      <x:c r="H315" s="9"/>
      <x:c r="I315" s="9"/>
      <x:c r="J315" s="43"/>
      <x:c r="K315" s="9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9"/>
      <x:c r="B316" s="43"/>
      <x:c r="C316" s="9"/>
      <x:c r="D316" s="9"/>
      <x:c r="E316" s="6" t="str">
        <x:f>IF(D316="","",VLOOKUP(D316,Courses!$A$5:$G$10,2,FALSE))</x:f>
      </x:c>
      <x:c r="F316" s="47" t="str">
        <x:f>IF(D316="","",VLOOKUP(D316,Courses!$A$5:$G$10,3,FALSE))</x:f>
      </x:c>
      <x:c r="G316" s="9"/>
      <x:c r="H316" s="9"/>
      <x:c r="I316" s="9"/>
      <x:c r="J316" s="43"/>
      <x:c r="K316" s="9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9"/>
      <x:c r="B317" s="43"/>
      <x:c r="C317" s="9"/>
      <x:c r="D317" s="9"/>
      <x:c r="E317" s="6" t="str">
        <x:f>IF(D317="","",VLOOKUP(D317,Courses!$A$5:$G$10,2,FALSE))</x:f>
      </x:c>
      <x:c r="F317" s="47" t="str">
        <x:f>IF(D317="","",VLOOKUP(D317,Courses!$A$5:$G$10,3,FALSE))</x:f>
      </x:c>
      <x:c r="G317" s="9"/>
      <x:c r="H317" s="9"/>
      <x:c r="I317" s="9"/>
      <x:c r="J317" s="43"/>
      <x:c r="K317" s="9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9"/>
      <x:c r="B318" s="43"/>
      <x:c r="C318" s="9"/>
      <x:c r="D318" s="9"/>
      <x:c r="E318" s="6" t="str">
        <x:f>IF(D318="","",VLOOKUP(D318,Courses!$A$5:$G$10,2,FALSE))</x:f>
      </x:c>
      <x:c r="F318" s="47" t="str">
        <x:f>IF(D318="","",VLOOKUP(D318,Courses!$A$5:$G$10,3,FALSE))</x:f>
      </x:c>
      <x:c r="G318" s="9"/>
      <x:c r="H318" s="9"/>
      <x:c r="I318" s="9"/>
      <x:c r="J318" s="43"/>
      <x:c r="K318" s="9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9"/>
      <x:c r="B319" s="43"/>
      <x:c r="C319" s="9"/>
      <x:c r="D319" s="9"/>
      <x:c r="E319" s="6" t="str">
        <x:f>IF(D319="","",VLOOKUP(D319,Courses!$A$5:$G$10,2,FALSE))</x:f>
      </x:c>
      <x:c r="F319" s="47" t="str">
        <x:f>IF(D319="","",VLOOKUP(D319,Courses!$A$5:$G$10,3,FALSE))</x:f>
      </x:c>
      <x:c r="G319" s="9"/>
      <x:c r="H319" s="9"/>
      <x:c r="I319" s="9"/>
      <x:c r="J319" s="43"/>
      <x:c r="K319" s="9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9"/>
      <x:c r="B320" s="43"/>
      <x:c r="C320" s="9"/>
      <x:c r="D320" s="9"/>
      <x:c r="E320" s="6" t="str">
        <x:f>IF(D320="","",VLOOKUP(D320,Courses!$A$5:$G$10,2,FALSE))</x:f>
      </x:c>
      <x:c r="F320" s="47" t="str">
        <x:f>IF(D320="","",VLOOKUP(D320,Courses!$A$5:$G$10,3,FALSE))</x:f>
      </x:c>
      <x:c r="G320" s="9"/>
      <x:c r="H320" s="9"/>
      <x:c r="I320" s="9"/>
      <x:c r="J320" s="43"/>
      <x:c r="K320" s="9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9"/>
      <x:c r="B321" s="43"/>
      <x:c r="C321" s="9"/>
      <x:c r="D321" s="9"/>
      <x:c r="E321" s="6" t="str">
        <x:f>IF(D321="","",VLOOKUP(D321,Courses!$A$5:$G$10,2,FALSE))</x:f>
      </x:c>
      <x:c r="F321" s="47" t="str">
        <x:f>IF(D321="","",VLOOKUP(D321,Courses!$A$5:$G$10,3,FALSE))</x:f>
      </x:c>
      <x:c r="G321" s="9"/>
      <x:c r="H321" s="9"/>
      <x:c r="I321" s="9"/>
      <x:c r="J321" s="43"/>
      <x:c r="K321" s="9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9"/>
      <x:c r="B322" s="43"/>
      <x:c r="C322" s="9"/>
      <x:c r="D322" s="9"/>
      <x:c r="E322" s="6" t="str">
        <x:f>IF(D322="","",VLOOKUP(D322,Courses!$A$5:$G$10,2,FALSE))</x:f>
      </x:c>
      <x:c r="F322" s="47" t="str">
        <x:f>IF(D322="","",VLOOKUP(D322,Courses!$A$5:$G$10,3,FALSE))</x:f>
      </x:c>
      <x:c r="G322" s="9"/>
      <x:c r="H322" s="9"/>
      <x:c r="I322" s="9"/>
      <x:c r="J322" s="43"/>
      <x:c r="K322" s="9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9"/>
      <x:c r="B323" s="43"/>
      <x:c r="C323" s="9"/>
      <x:c r="D323" s="9"/>
      <x:c r="E323" s="6" t="str">
        <x:f>IF(D323="","",VLOOKUP(D323,Courses!$A$5:$G$10,2,FALSE))</x:f>
      </x:c>
      <x:c r="F323" s="47" t="str">
        <x:f>IF(D323="","",VLOOKUP(D323,Courses!$A$5:$G$10,3,FALSE))</x:f>
      </x:c>
      <x:c r="G323" s="9"/>
      <x:c r="H323" s="9"/>
      <x:c r="I323" s="9"/>
      <x:c r="J323" s="43"/>
      <x:c r="K323" s="9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9"/>
      <x:c r="B324" s="43"/>
      <x:c r="C324" s="9"/>
      <x:c r="D324" s="9"/>
      <x:c r="E324" s="6" t="str">
        <x:f>IF(D324="","",VLOOKUP(D324,Courses!$A$5:$G$10,2,FALSE))</x:f>
      </x:c>
      <x:c r="F324" s="47" t="str">
        <x:f>IF(D324="","",VLOOKUP(D324,Courses!$A$5:$G$10,3,FALSE))</x:f>
      </x:c>
      <x:c r="G324" s="9"/>
      <x:c r="H324" s="9"/>
      <x:c r="I324" s="9"/>
      <x:c r="J324" s="43"/>
      <x:c r="K324" s="9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9"/>
      <x:c r="B325" s="43"/>
      <x:c r="C325" s="9"/>
      <x:c r="D325" s="9"/>
      <x:c r="E325" s="6" t="str">
        <x:f>IF(D325="","",VLOOKUP(D325,Courses!$A$5:$G$10,2,FALSE))</x:f>
      </x:c>
      <x:c r="F325" s="47" t="str">
        <x:f>IF(D325="","",VLOOKUP(D325,Courses!$A$5:$G$10,3,FALSE))</x:f>
      </x:c>
      <x:c r="G325" s="9"/>
      <x:c r="H325" s="9"/>
      <x:c r="I325" s="9"/>
      <x:c r="J325" s="43"/>
      <x:c r="K325" s="9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9"/>
      <x:c r="B326" s="43"/>
      <x:c r="C326" s="9"/>
      <x:c r="D326" s="9"/>
      <x:c r="E326" s="6" t="str">
        <x:f>IF(D326="","",VLOOKUP(D326,Courses!$A$5:$G$10,2,FALSE))</x:f>
      </x:c>
      <x:c r="F326" s="47" t="str">
        <x:f>IF(D326="","",VLOOKUP(D326,Courses!$A$5:$G$10,3,FALSE))</x:f>
      </x:c>
      <x:c r="G326" s="9"/>
      <x:c r="H326" s="9"/>
      <x:c r="I326" s="9"/>
      <x:c r="J326" s="43"/>
      <x:c r="K326" s="9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9"/>
      <x:c r="B327" s="43"/>
      <x:c r="C327" s="9"/>
      <x:c r="D327" s="9"/>
      <x:c r="E327" s="6" t="str">
        <x:f>IF(D327="","",VLOOKUP(D327,Courses!$A$5:$G$10,2,FALSE))</x:f>
      </x:c>
      <x:c r="F327" s="47" t="str">
        <x:f>IF(D327="","",VLOOKUP(D327,Courses!$A$5:$G$10,3,FALSE))</x:f>
      </x:c>
      <x:c r="G327" s="9"/>
      <x:c r="H327" s="9"/>
      <x:c r="I327" s="9"/>
      <x:c r="J327" s="43"/>
      <x:c r="K327" s="9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9"/>
      <x:c r="B328" s="43"/>
      <x:c r="C328" s="9"/>
      <x:c r="D328" s="9"/>
      <x:c r="E328" s="6" t="str">
        <x:f>IF(D328="","",VLOOKUP(D328,Courses!$A$5:$G$10,2,FALSE))</x:f>
      </x:c>
      <x:c r="F328" s="47" t="str">
        <x:f>IF(D328="","",VLOOKUP(D328,Courses!$A$5:$G$10,3,FALSE))</x:f>
      </x:c>
      <x:c r="G328" s="9"/>
      <x:c r="H328" s="9"/>
      <x:c r="I328" s="9"/>
      <x:c r="J328" s="43"/>
      <x:c r="K328" s="9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9"/>
      <x:c r="B329" s="43"/>
      <x:c r="C329" s="9"/>
      <x:c r="D329" s="9"/>
      <x:c r="E329" s="6" t="str">
        <x:f>IF(D329="","",VLOOKUP(D329,Courses!$A$5:$G$10,2,FALSE))</x:f>
      </x:c>
      <x:c r="F329" s="47" t="str">
        <x:f>IF(D329="","",VLOOKUP(D329,Courses!$A$5:$G$10,3,FALSE))</x:f>
      </x:c>
      <x:c r="G329" s="9"/>
      <x:c r="H329" s="9"/>
      <x:c r="I329" s="9"/>
      <x:c r="J329" s="43"/>
      <x:c r="K329" s="9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9"/>
      <x:c r="B330" s="43"/>
      <x:c r="C330" s="9"/>
      <x:c r="D330" s="9"/>
      <x:c r="E330" s="6" t="str">
        <x:f>IF(D330="","",VLOOKUP(D330,Courses!$A$5:$G$10,2,FALSE))</x:f>
      </x:c>
      <x:c r="F330" s="47" t="str">
        <x:f>IF(D330="","",VLOOKUP(D330,Courses!$A$5:$G$10,3,FALSE))</x:f>
      </x:c>
      <x:c r="G330" s="9"/>
      <x:c r="H330" s="9"/>
      <x:c r="I330" s="9"/>
      <x:c r="J330" s="43"/>
      <x:c r="K330" s="9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9"/>
      <x:c r="B331" s="43"/>
      <x:c r="C331" s="9"/>
      <x:c r="D331" s="9"/>
      <x:c r="E331" s="6" t="str">
        <x:f>IF(D331="","",VLOOKUP(D331,Courses!$A$5:$G$10,2,FALSE))</x:f>
      </x:c>
      <x:c r="F331" s="47" t="str">
        <x:f>IF(D331="","",VLOOKUP(D331,Courses!$A$5:$G$10,3,FALSE))</x:f>
      </x:c>
      <x:c r="G331" s="9"/>
      <x:c r="H331" s="9"/>
      <x:c r="I331" s="9"/>
      <x:c r="J331" s="43"/>
      <x:c r="K331" s="9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9"/>
      <x:c r="B332" s="43"/>
      <x:c r="C332" s="9"/>
      <x:c r="D332" s="9"/>
      <x:c r="E332" s="6" t="str">
        <x:f>IF(D332="","",VLOOKUP(D332,Courses!$A$5:$G$10,2,FALSE))</x:f>
      </x:c>
      <x:c r="F332" s="47" t="str">
        <x:f>IF(D332="","",VLOOKUP(D332,Courses!$A$5:$G$10,3,FALSE))</x:f>
      </x:c>
      <x:c r="G332" s="9"/>
      <x:c r="H332" s="9"/>
      <x:c r="I332" s="9"/>
      <x:c r="J332" s="43"/>
      <x:c r="K332" s="9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9"/>
      <x:c r="B333" s="43"/>
      <x:c r="C333" s="9"/>
      <x:c r="D333" s="9"/>
      <x:c r="E333" s="6" t="str">
        <x:f>IF(D333="","",VLOOKUP(D333,Courses!$A$5:$G$10,2,FALSE))</x:f>
      </x:c>
      <x:c r="F333" s="47" t="str">
        <x:f>IF(D333="","",VLOOKUP(D333,Courses!$A$5:$G$10,3,FALSE))</x:f>
      </x:c>
      <x:c r="G333" s="9"/>
      <x:c r="H333" s="9"/>
      <x:c r="I333" s="9"/>
      <x:c r="J333" s="43"/>
      <x:c r="K333" s="9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9"/>
      <x:c r="B334" s="43"/>
      <x:c r="C334" s="9"/>
      <x:c r="D334" s="9"/>
      <x:c r="E334" s="6" t="str">
        <x:f>IF(D334="","",VLOOKUP(D334,Courses!$A$5:$G$10,2,FALSE))</x:f>
      </x:c>
      <x:c r="F334" s="47" t="str">
        <x:f>IF(D334="","",VLOOKUP(D334,Courses!$A$5:$G$10,3,FALSE))</x:f>
      </x:c>
      <x:c r="G334" s="9"/>
      <x:c r="H334" s="9"/>
      <x:c r="I334" s="9"/>
      <x:c r="J334" s="43"/>
      <x:c r="K334" s="9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9"/>
      <x:c r="B335" s="43"/>
      <x:c r="C335" s="9"/>
      <x:c r="D335" s="9"/>
      <x:c r="E335" s="6" t="str">
        <x:f>IF(D335="","",VLOOKUP(D335,Courses!$A$5:$G$10,2,FALSE))</x:f>
      </x:c>
      <x:c r="F335" s="47" t="str">
        <x:f>IF(D335="","",VLOOKUP(D335,Courses!$A$5:$G$10,3,FALSE))</x:f>
      </x:c>
      <x:c r="G335" s="9"/>
      <x:c r="H335" s="9"/>
      <x:c r="I335" s="9"/>
      <x:c r="J335" s="43"/>
      <x:c r="K335" s="9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9"/>
      <x:c r="B336" s="43"/>
      <x:c r="C336" s="9"/>
      <x:c r="D336" s="9"/>
      <x:c r="E336" s="6" t="str">
        <x:f>IF(D336="","",VLOOKUP(D336,Courses!$A$5:$G$10,2,FALSE))</x:f>
      </x:c>
      <x:c r="F336" s="47" t="str">
        <x:f>IF(D336="","",VLOOKUP(D336,Courses!$A$5:$G$10,3,FALSE))</x:f>
      </x:c>
      <x:c r="G336" s="9"/>
      <x:c r="H336" s="9"/>
      <x:c r="I336" s="9"/>
      <x:c r="J336" s="43"/>
      <x:c r="K336" s="9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9"/>
      <x:c r="B337" s="43"/>
      <x:c r="C337" s="9"/>
      <x:c r="D337" s="9"/>
      <x:c r="E337" s="6" t="str">
        <x:f>IF(D337="","",VLOOKUP(D337,Courses!$A$5:$G$10,2,FALSE))</x:f>
      </x:c>
      <x:c r="F337" s="47" t="str">
        <x:f>IF(D337="","",VLOOKUP(D337,Courses!$A$5:$G$10,3,FALSE))</x:f>
      </x:c>
      <x:c r="G337" s="9"/>
      <x:c r="H337" s="9"/>
      <x:c r="I337" s="9"/>
      <x:c r="J337" s="43"/>
      <x:c r="K337" s="9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9"/>
      <x:c r="B338" s="43"/>
      <x:c r="C338" s="9"/>
      <x:c r="D338" s="9"/>
      <x:c r="E338" s="6" t="str">
        <x:f>IF(D338="","",VLOOKUP(D338,Courses!$A$5:$G$10,2,FALSE))</x:f>
      </x:c>
      <x:c r="F338" s="47" t="str">
        <x:f>IF(D338="","",VLOOKUP(D338,Courses!$A$5:$G$10,3,FALSE))</x:f>
      </x:c>
      <x:c r="G338" s="9"/>
      <x:c r="H338" s="9"/>
      <x:c r="I338" s="9"/>
      <x:c r="J338" s="43"/>
      <x:c r="K338" s="9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9"/>
      <x:c r="B339" s="43"/>
      <x:c r="C339" s="9"/>
      <x:c r="D339" s="9"/>
      <x:c r="E339" s="6" t="str">
        <x:f>IF(D339="","",VLOOKUP(D339,Courses!$A$5:$G$10,2,FALSE))</x:f>
      </x:c>
      <x:c r="F339" s="47" t="str">
        <x:f>IF(D339="","",VLOOKUP(D339,Courses!$A$5:$G$10,3,FALSE))</x:f>
      </x:c>
      <x:c r="G339" s="9"/>
      <x:c r="H339" s="9"/>
      <x:c r="I339" s="9"/>
      <x:c r="J339" s="43"/>
      <x:c r="K339" s="9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9"/>
      <x:c r="B340" s="43"/>
      <x:c r="C340" s="9"/>
      <x:c r="D340" s="9"/>
      <x:c r="E340" s="6" t="str">
        <x:f>IF(D340="","",VLOOKUP(D340,Courses!$A$5:$G$10,2,FALSE))</x:f>
      </x:c>
      <x:c r="F340" s="47" t="str">
        <x:f>IF(D340="","",VLOOKUP(D340,Courses!$A$5:$G$10,3,FALSE))</x:f>
      </x:c>
      <x:c r="G340" s="9"/>
      <x:c r="H340" s="9"/>
      <x:c r="I340" s="9"/>
      <x:c r="J340" s="43"/>
      <x:c r="K340" s="9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9"/>
      <x:c r="B341" s="43"/>
      <x:c r="C341" s="9"/>
      <x:c r="D341" s="9"/>
      <x:c r="E341" s="6" t="str">
        <x:f>IF(D341="","",VLOOKUP(D341,Courses!$A$5:$G$10,2,FALSE))</x:f>
      </x:c>
      <x:c r="F341" s="47" t="str">
        <x:f>IF(D341="","",VLOOKUP(D341,Courses!$A$5:$G$10,3,FALSE))</x:f>
      </x:c>
      <x:c r="G341" s="9"/>
      <x:c r="H341" s="9"/>
      <x:c r="I341" s="9"/>
      <x:c r="J341" s="43"/>
      <x:c r="K341" s="9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9"/>
      <x:c r="B342" s="43"/>
      <x:c r="C342" s="9"/>
      <x:c r="D342" s="9"/>
      <x:c r="E342" s="6" t="str">
        <x:f>IF(D342="","",VLOOKUP(D342,Courses!$A$5:$G$10,2,FALSE))</x:f>
      </x:c>
      <x:c r="F342" s="47" t="str">
        <x:f>IF(D342="","",VLOOKUP(D342,Courses!$A$5:$G$10,3,FALSE))</x:f>
      </x:c>
      <x:c r="G342" s="9"/>
      <x:c r="H342" s="9"/>
      <x:c r="I342" s="9"/>
      <x:c r="J342" s="43"/>
      <x:c r="K342" s="9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9"/>
      <x:c r="B343" s="43"/>
      <x:c r="C343" s="9"/>
      <x:c r="D343" s="9"/>
      <x:c r="E343" s="6" t="str">
        <x:f>IF(D343="","",VLOOKUP(D343,Courses!$A$5:$G$10,2,FALSE))</x:f>
      </x:c>
      <x:c r="F343" s="47" t="str">
        <x:f>IF(D343="","",VLOOKUP(D343,Courses!$A$5:$G$10,3,FALSE))</x:f>
      </x:c>
      <x:c r="G343" s="9"/>
      <x:c r="H343" s="9"/>
      <x:c r="I343" s="9"/>
      <x:c r="J343" s="43"/>
      <x:c r="K343" s="9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9"/>
      <x:c r="B344" s="43"/>
      <x:c r="C344" s="9"/>
      <x:c r="D344" s="9"/>
      <x:c r="E344" s="6" t="str">
        <x:f>IF(D344="","",VLOOKUP(D344,Courses!$A$5:$G$10,2,FALSE))</x:f>
      </x:c>
      <x:c r="F344" s="47" t="str">
        <x:f>IF(D344="","",VLOOKUP(D344,Courses!$A$5:$G$10,3,FALSE))</x:f>
      </x:c>
      <x:c r="G344" s="9"/>
      <x:c r="H344" s="9"/>
      <x:c r="I344" s="9"/>
      <x:c r="J344" s="43"/>
      <x:c r="K344" s="9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9"/>
      <x:c r="B345" s="43"/>
      <x:c r="C345" s="9"/>
      <x:c r="D345" s="9"/>
      <x:c r="E345" s="6" t="str">
        <x:f>IF(D345="","",VLOOKUP(D345,Courses!$A$5:$G$10,2,FALSE))</x:f>
      </x:c>
      <x:c r="F345" s="47" t="str">
        <x:f>IF(D345="","",VLOOKUP(D345,Courses!$A$5:$G$10,3,FALSE))</x:f>
      </x:c>
      <x:c r="G345" s="9"/>
      <x:c r="H345" s="9"/>
      <x:c r="I345" s="9"/>
      <x:c r="J345" s="43"/>
      <x:c r="K345" s="9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9"/>
      <x:c r="B346" s="43"/>
      <x:c r="C346" s="9"/>
      <x:c r="D346" s="9"/>
      <x:c r="E346" s="6" t="str">
        <x:f>IF(D346="","",VLOOKUP(D346,Courses!$A$5:$G$10,2,FALSE))</x:f>
      </x:c>
      <x:c r="F346" s="47" t="str">
        <x:f>IF(D346="","",VLOOKUP(D346,Courses!$A$5:$G$10,3,FALSE))</x:f>
      </x:c>
      <x:c r="G346" s="9"/>
      <x:c r="H346" s="9"/>
      <x:c r="I346" s="9"/>
      <x:c r="J346" s="43"/>
      <x:c r="K346" s="9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9"/>
      <x:c r="B347" s="43"/>
      <x:c r="C347" s="9"/>
      <x:c r="D347" s="9"/>
      <x:c r="E347" s="6" t="str">
        <x:f>IF(D347="","",VLOOKUP(D347,Courses!$A$5:$G$10,2,FALSE))</x:f>
      </x:c>
      <x:c r="F347" s="47" t="str">
        <x:f>IF(D347="","",VLOOKUP(D347,Courses!$A$5:$G$10,3,FALSE))</x:f>
      </x:c>
      <x:c r="G347" s="9"/>
      <x:c r="H347" s="9"/>
      <x:c r="I347" s="9"/>
      <x:c r="J347" s="43"/>
      <x:c r="K347" s="9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9"/>
      <x:c r="B348" s="43"/>
      <x:c r="C348" s="9"/>
      <x:c r="D348" s="9"/>
      <x:c r="E348" s="6" t="str">
        <x:f>IF(D348="","",VLOOKUP(D348,Courses!$A$5:$G$10,2,FALSE))</x:f>
      </x:c>
      <x:c r="F348" s="47" t="str">
        <x:f>IF(D348="","",VLOOKUP(D348,Courses!$A$5:$G$10,3,FALSE))</x:f>
      </x:c>
      <x:c r="G348" s="9"/>
      <x:c r="H348" s="9"/>
      <x:c r="I348" s="9"/>
      <x:c r="J348" s="43"/>
      <x:c r="K348" s="9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9"/>
      <x:c r="B349" s="43"/>
      <x:c r="C349" s="9"/>
      <x:c r="D349" s="9"/>
      <x:c r="E349" s="6" t="str">
        <x:f>IF(D349="","",VLOOKUP(D349,Courses!$A$5:$G$10,2,FALSE))</x:f>
      </x:c>
      <x:c r="F349" s="47" t="str">
        <x:f>IF(D349="","",VLOOKUP(D349,Courses!$A$5:$G$10,3,FALSE))</x:f>
      </x:c>
      <x:c r="G349" s="9"/>
      <x:c r="H349" s="9"/>
      <x:c r="I349" s="9"/>
      <x:c r="J349" s="43"/>
      <x:c r="K349" s="9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9"/>
      <x:c r="B350" s="43"/>
      <x:c r="C350" s="9"/>
      <x:c r="D350" s="9"/>
      <x:c r="E350" s="6" t="str">
        <x:f>IF(D350="","",VLOOKUP(D350,Courses!$A$5:$G$10,2,FALSE))</x:f>
      </x:c>
      <x:c r="F350" s="47" t="str">
        <x:f>IF(D350="","",VLOOKUP(D350,Courses!$A$5:$G$10,3,FALSE))</x:f>
      </x:c>
      <x:c r="G350" s="9"/>
      <x:c r="H350" s="9"/>
      <x:c r="I350" s="9"/>
      <x:c r="J350" s="43"/>
      <x:c r="K350" s="9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9"/>
      <x:c r="B351" s="43"/>
      <x:c r="C351" s="9"/>
      <x:c r="D351" s="9"/>
      <x:c r="E351" s="6" t="str">
        <x:f>IF(D351="","",VLOOKUP(D351,Courses!$A$5:$G$10,2,FALSE))</x:f>
      </x:c>
      <x:c r="F351" s="47" t="str">
        <x:f>IF(D351="","",VLOOKUP(D351,Courses!$A$5:$G$10,3,FALSE))</x:f>
      </x:c>
      <x:c r="G351" s="9"/>
      <x:c r="H351" s="9"/>
      <x:c r="I351" s="9"/>
      <x:c r="J351" s="43"/>
      <x:c r="K351" s="9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9"/>
      <x:c r="B352" s="43"/>
      <x:c r="C352" s="9"/>
      <x:c r="D352" s="9"/>
      <x:c r="E352" s="6" t="str">
        <x:f>IF(D352="","",VLOOKUP(D352,Courses!$A$5:$G$10,2,FALSE))</x:f>
      </x:c>
      <x:c r="F352" s="47" t="str">
        <x:f>IF(D352="","",VLOOKUP(D352,Courses!$A$5:$G$10,3,FALSE))</x:f>
      </x:c>
      <x:c r="G352" s="9"/>
      <x:c r="H352" s="9"/>
      <x:c r="I352" s="9"/>
      <x:c r="J352" s="43"/>
      <x:c r="K352" s="9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9"/>
      <x:c r="B353" s="43"/>
      <x:c r="C353" s="9"/>
      <x:c r="D353" s="9"/>
      <x:c r="E353" s="6" t="str">
        <x:f>IF(D353="","",VLOOKUP(D353,Courses!$A$5:$G$10,2,FALSE))</x:f>
      </x:c>
      <x:c r="F353" s="47" t="str">
        <x:f>IF(D353="","",VLOOKUP(D353,Courses!$A$5:$G$10,3,FALSE))</x:f>
      </x:c>
      <x:c r="G353" s="9"/>
      <x:c r="H353" s="9"/>
      <x:c r="I353" s="9"/>
      <x:c r="J353" s="43"/>
      <x:c r="K353" s="9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9"/>
      <x:c r="B354" s="43"/>
      <x:c r="C354" s="9"/>
      <x:c r="D354" s="9"/>
      <x:c r="E354" s="6" t="str">
        <x:f>IF(D354="","",VLOOKUP(D354,Courses!$A$5:$G$10,2,FALSE))</x:f>
      </x:c>
      <x:c r="F354" s="47" t="str">
        <x:f>IF(D354="","",VLOOKUP(D354,Courses!$A$5:$G$10,3,FALSE))</x:f>
      </x:c>
      <x:c r="G354" s="9"/>
      <x:c r="H354" s="9"/>
      <x:c r="I354" s="9"/>
      <x:c r="J354" s="43"/>
      <x:c r="K354" s="9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9"/>
      <x:c r="B355" s="43"/>
      <x:c r="C355" s="9"/>
      <x:c r="D355" s="9"/>
      <x:c r="E355" s="6" t="str">
        <x:f>IF(D355="","",VLOOKUP(D355,Courses!$A$5:$G$10,2,FALSE))</x:f>
      </x:c>
      <x:c r="F355" s="47" t="str">
        <x:f>IF(D355="","",VLOOKUP(D355,Courses!$A$5:$G$10,3,FALSE))</x:f>
      </x:c>
      <x:c r="G355" s="9"/>
      <x:c r="H355" s="9"/>
      <x:c r="I355" s="9"/>
      <x:c r="J355" s="43"/>
      <x:c r="K355" s="9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9"/>
      <x:c r="B356" s="43"/>
      <x:c r="C356" s="9"/>
      <x:c r="D356" s="9"/>
      <x:c r="E356" s="6" t="str">
        <x:f>IF(D356="","",VLOOKUP(D356,Courses!$A$5:$G$10,2,FALSE))</x:f>
      </x:c>
      <x:c r="F356" s="47" t="str">
        <x:f>IF(D356="","",VLOOKUP(D356,Courses!$A$5:$G$10,3,FALSE))</x:f>
      </x:c>
      <x:c r="G356" s="9"/>
      <x:c r="H356" s="9"/>
      <x:c r="I356" s="9"/>
      <x:c r="J356" s="43"/>
      <x:c r="K356" s="9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9"/>
      <x:c r="B357" s="43"/>
      <x:c r="C357" s="9"/>
      <x:c r="D357" s="9"/>
      <x:c r="E357" s="6" t="str">
        <x:f>IF(D357="","",VLOOKUP(D357,Courses!$A$5:$G$10,2,FALSE))</x:f>
      </x:c>
      <x:c r="F357" s="47" t="str">
        <x:f>IF(D357="","",VLOOKUP(D357,Courses!$A$5:$G$10,3,FALSE))</x:f>
      </x:c>
      <x:c r="G357" s="9"/>
      <x:c r="H357" s="9"/>
      <x:c r="I357" s="9"/>
      <x:c r="J357" s="43"/>
      <x:c r="K357" s="9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9"/>
      <x:c r="B358" s="43"/>
      <x:c r="C358" s="9"/>
      <x:c r="D358" s="9"/>
      <x:c r="E358" s="6" t="str">
        <x:f>IF(D358="","",VLOOKUP(D358,Courses!$A$5:$G$10,2,FALSE))</x:f>
      </x:c>
      <x:c r="F358" s="47" t="str">
        <x:f>IF(D358="","",VLOOKUP(D358,Courses!$A$5:$G$10,3,FALSE))</x:f>
      </x:c>
      <x:c r="G358" s="9"/>
      <x:c r="H358" s="9"/>
      <x:c r="I358" s="9"/>
      <x:c r="J358" s="43"/>
      <x:c r="K358" s="9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9"/>
      <x:c r="B359" s="43"/>
      <x:c r="C359" s="9"/>
      <x:c r="D359" s="9"/>
      <x:c r="E359" s="6" t="str">
        <x:f>IF(D359="","",VLOOKUP(D359,Courses!$A$5:$G$10,2,FALSE))</x:f>
      </x:c>
      <x:c r="F359" s="47" t="str">
        <x:f>IF(D359="","",VLOOKUP(D359,Courses!$A$5:$G$10,3,FALSE))</x:f>
      </x:c>
      <x:c r="G359" s="9"/>
      <x:c r="H359" s="9"/>
      <x:c r="I359" s="9"/>
      <x:c r="J359" s="43"/>
      <x:c r="K359" s="9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9"/>
      <x:c r="B360" s="43"/>
      <x:c r="C360" s="9"/>
      <x:c r="D360" s="9"/>
      <x:c r="E360" s="6" t="str">
        <x:f>IF(D360="","",VLOOKUP(D360,Courses!$A$5:$G$10,2,FALSE))</x:f>
      </x:c>
      <x:c r="F360" s="47" t="str">
        <x:f>IF(D360="","",VLOOKUP(D360,Courses!$A$5:$G$10,3,FALSE))</x:f>
      </x:c>
      <x:c r="G360" s="9"/>
      <x:c r="H360" s="9"/>
      <x:c r="I360" s="9"/>
      <x:c r="J360" s="43"/>
      <x:c r="K360" s="9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9"/>
      <x:c r="B361" s="43"/>
      <x:c r="C361" s="9"/>
      <x:c r="D361" s="9"/>
      <x:c r="E361" s="6" t="str">
        <x:f>IF(D361="","",VLOOKUP(D361,Courses!$A$5:$G$10,2,FALSE))</x:f>
      </x:c>
      <x:c r="F361" s="47" t="str">
        <x:f>IF(D361="","",VLOOKUP(D361,Courses!$A$5:$G$10,3,FALSE))</x:f>
      </x:c>
      <x:c r="G361" s="9"/>
      <x:c r="H361" s="9"/>
      <x:c r="I361" s="9"/>
      <x:c r="J361" s="43"/>
      <x:c r="K361" s="9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9"/>
      <x:c r="B362" s="43"/>
      <x:c r="C362" s="9"/>
      <x:c r="D362" s="9"/>
      <x:c r="E362" s="6" t="str">
        <x:f>IF(D362="","",VLOOKUP(D362,Courses!$A$5:$G$10,2,FALSE))</x:f>
      </x:c>
      <x:c r="F362" s="47" t="str">
        <x:f>IF(D362="","",VLOOKUP(D362,Courses!$A$5:$G$10,3,FALSE))</x:f>
      </x:c>
      <x:c r="G362" s="9"/>
      <x:c r="H362" s="9"/>
      <x:c r="I362" s="9"/>
      <x:c r="J362" s="43"/>
      <x:c r="K362" s="9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9"/>
      <x:c r="B363" s="43"/>
      <x:c r="C363" s="9"/>
      <x:c r="D363" s="9"/>
      <x:c r="E363" s="6" t="str">
        <x:f>IF(D363="","",VLOOKUP(D363,Courses!$A$5:$G$10,2,FALSE))</x:f>
      </x:c>
      <x:c r="F363" s="47" t="str">
        <x:f>IF(D363="","",VLOOKUP(D363,Courses!$A$5:$G$10,3,FALSE))</x:f>
      </x:c>
      <x:c r="G363" s="9"/>
      <x:c r="H363" s="9"/>
      <x:c r="I363" s="9"/>
      <x:c r="J363" s="43"/>
      <x:c r="K363" s="9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9"/>
      <x:c r="B364" s="43"/>
      <x:c r="C364" s="9"/>
      <x:c r="D364" s="9"/>
      <x:c r="E364" s="6" t="str">
        <x:f>IF(D364="","",VLOOKUP(D364,Courses!$A$5:$G$10,2,FALSE))</x:f>
      </x:c>
      <x:c r="F364" s="47" t="str">
        <x:f>IF(D364="","",VLOOKUP(D364,Courses!$A$5:$G$10,3,FALSE))</x:f>
      </x:c>
      <x:c r="G364" s="9"/>
      <x:c r="H364" s="9"/>
      <x:c r="I364" s="9"/>
      <x:c r="J364" s="43"/>
      <x:c r="K364" s="9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9"/>
      <x:c r="B365" s="43"/>
      <x:c r="C365" s="9"/>
      <x:c r="D365" s="9"/>
      <x:c r="E365" s="6" t="str">
        <x:f>IF(D365="","",VLOOKUP(D365,Courses!$A$5:$G$10,2,FALSE))</x:f>
      </x:c>
      <x:c r="F365" s="47" t="str">
        <x:f>IF(D365="","",VLOOKUP(D365,Courses!$A$5:$G$10,3,FALSE))</x:f>
      </x:c>
      <x:c r="G365" s="9"/>
      <x:c r="H365" s="9"/>
      <x:c r="I365" s="9"/>
      <x:c r="J365" s="43"/>
      <x:c r="K365" s="9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9"/>
      <x:c r="B366" s="43"/>
      <x:c r="C366" s="9"/>
      <x:c r="D366" s="9"/>
      <x:c r="E366" s="6" t="str">
        <x:f>IF(D366="","",VLOOKUP(D366,Courses!$A$5:$G$10,2,FALSE))</x:f>
      </x:c>
      <x:c r="F366" s="47" t="str">
        <x:f>IF(D366="","",VLOOKUP(D366,Courses!$A$5:$G$10,3,FALSE))</x:f>
      </x:c>
      <x:c r="G366" s="9"/>
      <x:c r="H366" s="9"/>
      <x:c r="I366" s="9"/>
      <x:c r="J366" s="43"/>
      <x:c r="K366" s="9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9"/>
      <x:c r="B367" s="43"/>
      <x:c r="C367" s="9"/>
      <x:c r="D367" s="9"/>
      <x:c r="E367" s="6" t="str">
        <x:f>IF(D367="","",VLOOKUP(D367,Courses!$A$5:$G$10,2,FALSE))</x:f>
      </x:c>
      <x:c r="F367" s="47" t="str">
        <x:f>IF(D367="","",VLOOKUP(D367,Courses!$A$5:$G$10,3,FALSE))</x:f>
      </x:c>
      <x:c r="G367" s="9"/>
      <x:c r="H367" s="9"/>
      <x:c r="I367" s="9"/>
      <x:c r="J367" s="43"/>
      <x:c r="K367" s="9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9"/>
      <x:c r="B368" s="43"/>
      <x:c r="C368" s="9"/>
      <x:c r="D368" s="9"/>
      <x:c r="E368" s="6" t="str">
        <x:f>IF(D368="","",VLOOKUP(D368,Courses!$A$5:$G$10,2,FALSE))</x:f>
      </x:c>
      <x:c r="F368" s="47" t="str">
        <x:f>IF(D368="","",VLOOKUP(D368,Courses!$A$5:$G$10,3,FALSE))</x:f>
      </x:c>
      <x:c r="G368" s="9"/>
      <x:c r="H368" s="9"/>
      <x:c r="I368" s="9"/>
      <x:c r="J368" s="43"/>
      <x:c r="K368" s="9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9"/>
      <x:c r="B369" s="43"/>
      <x:c r="C369" s="9"/>
      <x:c r="D369" s="9"/>
      <x:c r="E369" s="6" t="str">
        <x:f>IF(D369="","",VLOOKUP(D369,Courses!$A$5:$G$10,2,FALSE))</x:f>
      </x:c>
      <x:c r="F369" s="47" t="str">
        <x:f>IF(D369="","",VLOOKUP(D369,Courses!$A$5:$G$10,3,FALSE))</x:f>
      </x:c>
      <x:c r="G369" s="9"/>
      <x:c r="H369" s="9"/>
      <x:c r="I369" s="9"/>
      <x:c r="J369" s="43"/>
      <x:c r="K369" s="9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9"/>
      <x:c r="B370" s="43"/>
      <x:c r="C370" s="9"/>
      <x:c r="D370" s="9"/>
      <x:c r="E370" s="6" t="str">
        <x:f>IF(D370="","",VLOOKUP(D370,Courses!$A$5:$G$10,2,FALSE))</x:f>
      </x:c>
      <x:c r="F370" s="47" t="str">
        <x:f>IF(D370="","",VLOOKUP(D370,Courses!$A$5:$G$10,3,FALSE))</x:f>
      </x:c>
      <x:c r="G370" s="9"/>
      <x:c r="H370" s="9"/>
      <x:c r="I370" s="9"/>
      <x:c r="J370" s="43"/>
      <x:c r="K370" s="9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9"/>
      <x:c r="B371" s="43"/>
      <x:c r="C371" s="9"/>
      <x:c r="D371" s="9"/>
      <x:c r="E371" s="6" t="str">
        <x:f>IF(D371="","",VLOOKUP(D371,Courses!$A$5:$G$10,2,FALSE))</x:f>
      </x:c>
      <x:c r="F371" s="47" t="str">
        <x:f>IF(D371="","",VLOOKUP(D371,Courses!$A$5:$G$10,3,FALSE))</x:f>
      </x:c>
      <x:c r="G371" s="9"/>
      <x:c r="H371" s="9"/>
      <x:c r="I371" s="9"/>
      <x:c r="J371" s="43"/>
      <x:c r="K371" s="9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9"/>
      <x:c r="B372" s="43"/>
      <x:c r="C372" s="9"/>
      <x:c r="D372" s="9"/>
      <x:c r="E372" s="6" t="str">
        <x:f>IF(D372="","",VLOOKUP(D372,Courses!$A$5:$G$10,2,FALSE))</x:f>
      </x:c>
      <x:c r="F372" s="47" t="str">
        <x:f>IF(D372="","",VLOOKUP(D372,Courses!$A$5:$G$10,3,FALSE))</x:f>
      </x:c>
      <x:c r="G372" s="9"/>
      <x:c r="H372" s="9"/>
      <x:c r="I372" s="9"/>
      <x:c r="J372" s="43"/>
      <x:c r="K372" s="9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9"/>
      <x:c r="B373" s="43"/>
      <x:c r="C373" s="9"/>
      <x:c r="D373" s="9"/>
      <x:c r="E373" s="6" t="str">
        <x:f>IF(D373="","",VLOOKUP(D373,Courses!$A$5:$G$10,2,FALSE))</x:f>
      </x:c>
      <x:c r="F373" s="47" t="str">
        <x:f>IF(D373="","",VLOOKUP(D373,Courses!$A$5:$G$10,3,FALSE))</x:f>
      </x:c>
      <x:c r="G373" s="9"/>
      <x:c r="H373" s="9"/>
      <x:c r="I373" s="9"/>
      <x:c r="J373" s="43"/>
      <x:c r="K373" s="9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9"/>
      <x:c r="B374" s="43"/>
      <x:c r="C374" s="9"/>
      <x:c r="D374" s="9"/>
      <x:c r="E374" s="6" t="str">
        <x:f>IF(D374="","",VLOOKUP(D374,Courses!$A$5:$G$10,2,FALSE))</x:f>
      </x:c>
      <x:c r="F374" s="47" t="str">
        <x:f>IF(D374="","",VLOOKUP(D374,Courses!$A$5:$G$10,3,FALSE))</x:f>
      </x:c>
      <x:c r="G374" s="9"/>
      <x:c r="H374" s="9"/>
      <x:c r="I374" s="9"/>
      <x:c r="J374" s="43"/>
      <x:c r="K374" s="9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9"/>
      <x:c r="B375" s="43"/>
      <x:c r="C375" s="9"/>
      <x:c r="D375" s="9"/>
      <x:c r="E375" s="6" t="str">
        <x:f>IF(D375="","",VLOOKUP(D375,Courses!$A$5:$G$10,2,FALSE))</x:f>
      </x:c>
      <x:c r="F375" s="47" t="str">
        <x:f>IF(D375="","",VLOOKUP(D375,Courses!$A$5:$G$10,3,FALSE))</x:f>
      </x:c>
      <x:c r="G375" s="9"/>
      <x:c r="H375" s="9"/>
      <x:c r="I375" s="9"/>
      <x:c r="J375" s="43"/>
      <x:c r="K375" s="9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9"/>
      <x:c r="B376" s="43"/>
      <x:c r="C376" s="9"/>
      <x:c r="D376" s="9"/>
      <x:c r="E376" s="6" t="str">
        <x:f>IF(D376="","",VLOOKUP(D376,Courses!$A$5:$G$10,2,FALSE))</x:f>
      </x:c>
      <x:c r="F376" s="47" t="str">
        <x:f>IF(D376="","",VLOOKUP(D376,Courses!$A$5:$G$10,3,FALSE))</x:f>
      </x:c>
      <x:c r="G376" s="9"/>
      <x:c r="H376" s="9"/>
      <x:c r="I376" s="9"/>
      <x:c r="J376" s="43"/>
      <x:c r="K376" s="9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9"/>
      <x:c r="B377" s="43"/>
      <x:c r="C377" s="9"/>
      <x:c r="D377" s="9"/>
      <x:c r="E377" s="6" t="str">
        <x:f>IF(D377="","",VLOOKUP(D377,Courses!$A$5:$G$10,2,FALSE))</x:f>
      </x:c>
      <x:c r="F377" s="47" t="str">
        <x:f>IF(D377="","",VLOOKUP(D377,Courses!$A$5:$G$10,3,FALSE))</x:f>
      </x:c>
      <x:c r="G377" s="9"/>
      <x:c r="H377" s="9"/>
      <x:c r="I377" s="9"/>
      <x:c r="J377" s="43"/>
      <x:c r="K377" s="9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9"/>
      <x:c r="B378" s="43"/>
      <x:c r="C378" s="9"/>
      <x:c r="D378" s="9"/>
      <x:c r="E378" s="6" t="str">
        <x:f>IF(D378="","",VLOOKUP(D378,Courses!$A$5:$G$10,2,FALSE))</x:f>
      </x:c>
      <x:c r="F378" s="47" t="str">
        <x:f>IF(D378="","",VLOOKUP(D378,Courses!$A$5:$G$10,3,FALSE))</x:f>
      </x:c>
      <x:c r="G378" s="9"/>
      <x:c r="H378" s="9"/>
      <x:c r="I378" s="9"/>
      <x:c r="J378" s="43"/>
      <x:c r="K378" s="9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9"/>
      <x:c r="B379" s="43"/>
      <x:c r="C379" s="9"/>
      <x:c r="D379" s="9"/>
      <x:c r="E379" s="6" t="str">
        <x:f>IF(D379="","",VLOOKUP(D379,Courses!$A$5:$G$10,2,FALSE))</x:f>
      </x:c>
      <x:c r="F379" s="47" t="str">
        <x:f>IF(D379="","",VLOOKUP(D379,Courses!$A$5:$G$10,3,FALSE))</x:f>
      </x:c>
      <x:c r="G379" s="9"/>
      <x:c r="H379" s="9"/>
      <x:c r="I379" s="9"/>
      <x:c r="J379" s="43"/>
      <x:c r="K379" s="9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9"/>
      <x:c r="B380" s="43"/>
      <x:c r="C380" s="9"/>
      <x:c r="D380" s="9"/>
      <x:c r="E380" s="6" t="str">
        <x:f>IF(D380="","",VLOOKUP(D380,Courses!$A$5:$G$10,2,FALSE))</x:f>
      </x:c>
      <x:c r="F380" s="47" t="str">
        <x:f>IF(D380="","",VLOOKUP(D380,Courses!$A$5:$G$10,3,FALSE))</x:f>
      </x:c>
      <x:c r="G380" s="9"/>
      <x:c r="H380" s="9"/>
      <x:c r="I380" s="9"/>
      <x:c r="J380" s="43"/>
      <x:c r="K380" s="9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9"/>
      <x:c r="B381" s="43"/>
      <x:c r="C381" s="9"/>
      <x:c r="D381" s="9"/>
      <x:c r="E381" s="6" t="str">
        <x:f>IF(D381="","",VLOOKUP(D381,Courses!$A$5:$G$10,2,FALSE))</x:f>
      </x:c>
      <x:c r="F381" s="47" t="str">
        <x:f>IF(D381="","",VLOOKUP(D381,Courses!$A$5:$G$10,3,FALSE))</x:f>
      </x:c>
      <x:c r="G381" s="9"/>
      <x:c r="H381" s="9"/>
      <x:c r="I381" s="9"/>
      <x:c r="J381" s="43"/>
      <x:c r="K381" s="9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9"/>
      <x:c r="B382" s="43"/>
      <x:c r="C382" s="9"/>
      <x:c r="D382" s="9"/>
      <x:c r="E382" s="6" t="str">
        <x:f>IF(D382="","",VLOOKUP(D382,Courses!$A$5:$G$10,2,FALSE))</x:f>
      </x:c>
      <x:c r="F382" s="47" t="str">
        <x:f>IF(D382="","",VLOOKUP(D382,Courses!$A$5:$G$10,3,FALSE))</x:f>
      </x:c>
      <x:c r="G382" s="9"/>
      <x:c r="H382" s="9"/>
      <x:c r="I382" s="9"/>
      <x:c r="J382" s="43"/>
      <x:c r="K382" s="9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9"/>
      <x:c r="B383" s="43"/>
      <x:c r="C383" s="9"/>
      <x:c r="D383" s="9"/>
      <x:c r="E383" s="6" t="str">
        <x:f>IF(D383="","",VLOOKUP(D383,Courses!$A$5:$G$10,2,FALSE))</x:f>
      </x:c>
      <x:c r="F383" s="47" t="str">
        <x:f>IF(D383="","",VLOOKUP(D383,Courses!$A$5:$G$10,3,FALSE))</x:f>
      </x:c>
      <x:c r="G383" s="9"/>
      <x:c r="H383" s="9"/>
      <x:c r="I383" s="9"/>
      <x:c r="J383" s="43"/>
      <x:c r="K383" s="9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9"/>
      <x:c r="B384" s="43"/>
      <x:c r="C384" s="9"/>
      <x:c r="D384" s="9"/>
      <x:c r="E384" s="6" t="str">
        <x:f>IF(D384="","",VLOOKUP(D384,Courses!$A$5:$G$10,2,FALSE))</x:f>
      </x:c>
      <x:c r="F384" s="47" t="str">
        <x:f>IF(D384="","",VLOOKUP(D384,Courses!$A$5:$G$10,3,FALSE))</x:f>
      </x:c>
      <x:c r="G384" s="9"/>
      <x:c r="H384" s="9"/>
      <x:c r="I384" s="9"/>
      <x:c r="J384" s="43"/>
      <x:c r="K384" s="9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9"/>
      <x:c r="B385" s="43"/>
      <x:c r="C385" s="9"/>
      <x:c r="D385" s="9"/>
      <x:c r="E385" s="6" t="str">
        <x:f>IF(D385="","",VLOOKUP(D385,Courses!$A$5:$G$10,2,FALSE))</x:f>
      </x:c>
      <x:c r="F385" s="47" t="str">
        <x:f>IF(D385="","",VLOOKUP(D385,Courses!$A$5:$G$10,3,FALSE))</x:f>
      </x:c>
      <x:c r="G385" s="9"/>
      <x:c r="H385" s="9"/>
      <x:c r="I385" s="9"/>
      <x:c r="J385" s="43"/>
      <x:c r="K385" s="9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9"/>
      <x:c r="B386" s="43"/>
      <x:c r="C386" s="9"/>
      <x:c r="D386" s="9"/>
      <x:c r="E386" s="6" t="str">
        <x:f>IF(D386="","",VLOOKUP(D386,Courses!$A$5:$G$10,2,FALSE))</x:f>
      </x:c>
      <x:c r="F386" s="47" t="str">
        <x:f>IF(D386="","",VLOOKUP(D386,Courses!$A$5:$G$10,3,FALSE))</x:f>
      </x:c>
      <x:c r="G386" s="9"/>
      <x:c r="H386" s="9"/>
      <x:c r="I386" s="9"/>
      <x:c r="J386" s="43"/>
      <x:c r="K386" s="9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9"/>
      <x:c r="B387" s="43"/>
      <x:c r="C387" s="9"/>
      <x:c r="D387" s="9"/>
      <x:c r="E387" s="6" t="str">
        <x:f>IF(D387="","",VLOOKUP(D387,Courses!$A$5:$G$10,2,FALSE))</x:f>
      </x:c>
      <x:c r="F387" s="47" t="str">
        <x:f>IF(D387="","",VLOOKUP(D387,Courses!$A$5:$G$10,3,FALSE))</x:f>
      </x:c>
      <x:c r="G387" s="9"/>
      <x:c r="H387" s="9"/>
      <x:c r="I387" s="9"/>
      <x:c r="J387" s="43"/>
      <x:c r="K387" s="9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9"/>
      <x:c r="B388" s="43"/>
      <x:c r="C388" s="9"/>
      <x:c r="D388" s="9"/>
      <x:c r="E388" s="6" t="str">
        <x:f>IF(D388="","",VLOOKUP(D388,Courses!$A$5:$G$10,2,FALSE))</x:f>
      </x:c>
      <x:c r="F388" s="47" t="str">
        <x:f>IF(D388="","",VLOOKUP(D388,Courses!$A$5:$G$10,3,FALSE))</x:f>
      </x:c>
      <x:c r="G388" s="9"/>
      <x:c r="H388" s="9"/>
      <x:c r="I388" s="9"/>
      <x:c r="J388" s="43"/>
      <x:c r="K388" s="9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9"/>
      <x:c r="B389" s="43"/>
      <x:c r="C389" s="9"/>
      <x:c r="D389" s="9"/>
      <x:c r="E389" s="6" t="str">
        <x:f>IF(D389="","",VLOOKUP(D389,Courses!$A$5:$G$10,2,FALSE))</x:f>
      </x:c>
      <x:c r="F389" s="47" t="str">
        <x:f>IF(D389="","",VLOOKUP(D389,Courses!$A$5:$G$10,3,FALSE))</x:f>
      </x:c>
      <x:c r="G389" s="9"/>
      <x:c r="H389" s="9"/>
      <x:c r="I389" s="9"/>
      <x:c r="J389" s="43"/>
      <x:c r="K389" s="9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9"/>
      <x:c r="B390" s="43"/>
      <x:c r="C390" s="9"/>
      <x:c r="D390" s="9"/>
      <x:c r="E390" s="6" t="str">
        <x:f>IF(D390="","",VLOOKUP(D390,Courses!$A$5:$G$10,2,FALSE))</x:f>
      </x:c>
      <x:c r="F390" s="47" t="str">
        <x:f>IF(D390="","",VLOOKUP(D390,Courses!$A$5:$G$10,3,FALSE))</x:f>
      </x:c>
      <x:c r="G390" s="9"/>
      <x:c r="H390" s="9"/>
      <x:c r="I390" s="9"/>
      <x:c r="J390" s="43"/>
      <x:c r="K390" s="9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9"/>
      <x:c r="B391" s="43"/>
      <x:c r="C391" s="9"/>
      <x:c r="D391" s="9"/>
      <x:c r="E391" s="6" t="str">
        <x:f>IF(D391="","",VLOOKUP(D391,Courses!$A$5:$G$10,2,FALSE))</x:f>
      </x:c>
      <x:c r="F391" s="47" t="str">
        <x:f>IF(D391="","",VLOOKUP(D391,Courses!$A$5:$G$10,3,FALSE))</x:f>
      </x:c>
      <x:c r="G391" s="9"/>
      <x:c r="H391" s="9"/>
      <x:c r="I391" s="9"/>
      <x:c r="J391" s="43"/>
      <x:c r="K391" s="9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9"/>
      <x:c r="B392" s="43"/>
      <x:c r="C392" s="9"/>
      <x:c r="D392" s="9"/>
      <x:c r="E392" s="6" t="str">
        <x:f>IF(D392="","",VLOOKUP(D392,Courses!$A$5:$G$10,2,FALSE))</x:f>
      </x:c>
      <x:c r="F392" s="47" t="str">
        <x:f>IF(D392="","",VLOOKUP(D392,Courses!$A$5:$G$10,3,FALSE))</x:f>
      </x:c>
      <x:c r="G392" s="9"/>
      <x:c r="H392" s="9"/>
      <x:c r="I392" s="9"/>
      <x:c r="J392" s="43"/>
      <x:c r="K392" s="9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9"/>
      <x:c r="B393" s="43"/>
      <x:c r="C393" s="9"/>
      <x:c r="D393" s="9"/>
      <x:c r="E393" s="6" t="str">
        <x:f>IF(D393="","",VLOOKUP(D393,Courses!$A$5:$G$10,2,FALSE))</x:f>
      </x:c>
      <x:c r="F393" s="47" t="str">
        <x:f>IF(D393="","",VLOOKUP(D393,Courses!$A$5:$G$10,3,FALSE))</x:f>
      </x:c>
      <x:c r="G393" s="9"/>
      <x:c r="H393" s="9"/>
      <x:c r="I393" s="9"/>
      <x:c r="J393" s="43"/>
      <x:c r="K393" s="9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9"/>
      <x:c r="B394" s="43"/>
      <x:c r="C394" s="9"/>
      <x:c r="D394" s="9"/>
      <x:c r="E394" s="6" t="str">
        <x:f>IF(D394="","",VLOOKUP(D394,Courses!$A$5:$G$10,2,FALSE))</x:f>
      </x:c>
      <x:c r="F394" s="47" t="str">
        <x:f>IF(D394="","",VLOOKUP(D394,Courses!$A$5:$G$10,3,FALSE))</x:f>
      </x:c>
      <x:c r="G394" s="9"/>
      <x:c r="H394" s="9"/>
      <x:c r="I394" s="9"/>
      <x:c r="J394" s="43"/>
      <x:c r="K394" s="9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9"/>
      <x:c r="B395" s="43"/>
      <x:c r="C395" s="9"/>
      <x:c r="D395" s="9"/>
      <x:c r="E395" s="6" t="str">
        <x:f>IF(D395="","",VLOOKUP(D395,Courses!$A$5:$G$10,2,FALSE))</x:f>
      </x:c>
      <x:c r="F395" s="47" t="str">
        <x:f>IF(D395="","",VLOOKUP(D395,Courses!$A$5:$G$10,3,FALSE))</x:f>
      </x:c>
      <x:c r="G395" s="9"/>
      <x:c r="H395" s="9"/>
      <x:c r="I395" s="9"/>
      <x:c r="J395" s="43"/>
      <x:c r="K395" s="9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9"/>
      <x:c r="B396" s="43"/>
      <x:c r="C396" s="9"/>
      <x:c r="D396" s="9"/>
      <x:c r="E396" s="6" t="str">
        <x:f>IF(D396="","",VLOOKUP(D396,Courses!$A$5:$G$10,2,FALSE))</x:f>
      </x:c>
      <x:c r="F396" s="47" t="str">
        <x:f>IF(D396="","",VLOOKUP(D396,Courses!$A$5:$G$10,3,FALSE))</x:f>
      </x:c>
      <x:c r="G396" s="9"/>
      <x:c r="H396" s="9"/>
      <x:c r="I396" s="9"/>
      <x:c r="J396" s="43"/>
      <x:c r="K396" s="9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9"/>
      <x:c r="B397" s="43"/>
      <x:c r="C397" s="9"/>
      <x:c r="D397" s="9"/>
      <x:c r="E397" s="6" t="str">
        <x:f>IF(D397="","",VLOOKUP(D397,Courses!$A$5:$G$10,2,FALSE))</x:f>
      </x:c>
      <x:c r="F397" s="47" t="str">
        <x:f>IF(D397="","",VLOOKUP(D397,Courses!$A$5:$G$10,3,FALSE))</x:f>
      </x:c>
      <x:c r="G397" s="9"/>
      <x:c r="H397" s="9"/>
      <x:c r="I397" s="9"/>
      <x:c r="J397" s="43"/>
      <x:c r="K397" s="9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9"/>
      <x:c r="B398" s="43"/>
      <x:c r="C398" s="9"/>
      <x:c r="D398" s="9"/>
      <x:c r="E398" s="6" t="str">
        <x:f>IF(D398="","",VLOOKUP(D398,Courses!$A$5:$G$10,2,FALSE))</x:f>
      </x:c>
      <x:c r="F398" s="47" t="str">
        <x:f>IF(D398="","",VLOOKUP(D398,Courses!$A$5:$G$10,3,FALSE))</x:f>
      </x:c>
      <x:c r="G398" s="9"/>
      <x:c r="H398" s="9"/>
      <x:c r="I398" s="9"/>
      <x:c r="J398" s="43"/>
      <x:c r="K398" s="9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9"/>
      <x:c r="B399" s="43"/>
      <x:c r="C399" s="9"/>
      <x:c r="D399" s="9"/>
      <x:c r="E399" s="6" t="str">
        <x:f>IF(D399="","",VLOOKUP(D399,Courses!$A$5:$G$10,2,FALSE))</x:f>
      </x:c>
      <x:c r="F399" s="47" t="str">
        <x:f>IF(D399="","",VLOOKUP(D399,Courses!$A$5:$G$10,3,FALSE))</x:f>
      </x:c>
      <x:c r="G399" s="9"/>
      <x:c r="H399" s="9"/>
      <x:c r="I399" s="9"/>
      <x:c r="J399" s="43"/>
      <x:c r="K399" s="9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9"/>
      <x:c r="B400" s="43"/>
      <x:c r="C400" s="9"/>
      <x:c r="D400" s="9"/>
      <x:c r="E400" s="6" t="str">
        <x:f>IF(D400="","",VLOOKUP(D400,Courses!$A$5:$G$10,2,FALSE))</x:f>
      </x:c>
      <x:c r="F400" s="47" t="str">
        <x:f>IF(D400="","",VLOOKUP(D400,Courses!$A$5:$G$10,3,FALSE))</x:f>
      </x:c>
      <x:c r="G400" s="9"/>
      <x:c r="H400" s="9"/>
      <x:c r="I400" s="9"/>
      <x:c r="J400" s="43"/>
      <x:c r="K400" s="9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9"/>
      <x:c r="B401" s="43"/>
      <x:c r="C401" s="9"/>
      <x:c r="D401" s="9"/>
      <x:c r="E401" s="6" t="str">
        <x:f>IF(D401="","",VLOOKUP(D401,Courses!$A$5:$G$10,2,FALSE))</x:f>
      </x:c>
      <x:c r="F401" s="47" t="str">
        <x:f>IF(D401="","",VLOOKUP(D401,Courses!$A$5:$G$10,3,FALSE))</x:f>
      </x:c>
      <x:c r="G401" s="9"/>
      <x:c r="H401" s="9"/>
      <x:c r="I401" s="9"/>
      <x:c r="J401" s="43"/>
      <x:c r="K401" s="9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9"/>
      <x:c r="B402" s="43"/>
      <x:c r="C402" s="9"/>
      <x:c r="D402" s="9"/>
      <x:c r="E402" s="6" t="str">
        <x:f>IF(D402="","",VLOOKUP(D402,Courses!$A$5:$G$10,2,FALSE))</x:f>
      </x:c>
      <x:c r="F402" s="47" t="str">
        <x:f>IF(D402="","",VLOOKUP(D402,Courses!$A$5:$G$10,3,FALSE))</x:f>
      </x:c>
      <x:c r="G402" s="9"/>
      <x:c r="H402" s="9"/>
      <x:c r="I402" s="9"/>
      <x:c r="J402" s="43"/>
      <x:c r="K402" s="9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9"/>
      <x:c r="B403" s="43"/>
      <x:c r="C403" s="9"/>
      <x:c r="D403" s="9"/>
      <x:c r="E403" s="6" t="str">
        <x:f>IF(D403="","",VLOOKUP(D403,Courses!$A$5:$G$10,2,FALSE))</x:f>
      </x:c>
      <x:c r="F403" s="47" t="str">
        <x:f>IF(D403="","",VLOOKUP(D403,Courses!$A$5:$G$10,3,FALSE))</x:f>
      </x:c>
      <x:c r="G403" s="9"/>
      <x:c r="H403" s="9"/>
      <x:c r="I403" s="9"/>
      <x:c r="J403" s="43"/>
      <x:c r="K403" s="9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9"/>
      <x:c r="B404" s="43"/>
      <x:c r="C404" s="9"/>
      <x:c r="D404" s="9"/>
      <x:c r="E404" s="6" t="str">
        <x:f>IF(D404="","",VLOOKUP(D404,Courses!$A$5:$G$10,2,FALSE))</x:f>
      </x:c>
      <x:c r="F404" s="47" t="str">
        <x:f>IF(D404="","",VLOOKUP(D404,Courses!$A$5:$G$10,3,FALSE))</x:f>
      </x:c>
      <x:c r="G404" s="9"/>
      <x:c r="H404" s="9"/>
      <x:c r="I404" s="9"/>
      <x:c r="J404" s="43"/>
      <x:c r="K404" s="9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9"/>
      <x:c r="B405" s="43"/>
      <x:c r="C405" s="9"/>
      <x:c r="D405" s="9"/>
      <x:c r="E405" s="6" t="str">
        <x:f>IF(D405="","",VLOOKUP(D405,Courses!$A$5:$G$10,2,FALSE))</x:f>
      </x:c>
      <x:c r="F405" s="47" t="str">
        <x:f>IF(D405="","",VLOOKUP(D405,Courses!$A$5:$G$10,3,FALSE))</x:f>
      </x:c>
      <x:c r="G405" s="9"/>
      <x:c r="H405" s="9"/>
      <x:c r="I405" s="9"/>
      <x:c r="J405" s="43"/>
      <x:c r="K405" s="9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9"/>
      <x:c r="B406" s="43"/>
      <x:c r="C406" s="9"/>
      <x:c r="D406" s="9"/>
      <x:c r="E406" s="6" t="str">
        <x:f>IF(D406="","",VLOOKUP(D406,Courses!$A$5:$G$10,2,FALSE))</x:f>
      </x:c>
      <x:c r="F406" s="47" t="str">
        <x:f>IF(D406="","",VLOOKUP(D406,Courses!$A$5:$G$10,3,FALSE))</x:f>
      </x:c>
      <x:c r="G406" s="9"/>
      <x:c r="H406" s="9"/>
      <x:c r="I406" s="9"/>
      <x:c r="J406" s="43"/>
      <x:c r="K406" s="9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9"/>
      <x:c r="B407" s="43"/>
      <x:c r="C407" s="9"/>
      <x:c r="D407" s="9"/>
      <x:c r="E407" s="6" t="str">
        <x:f>IF(D407="","",VLOOKUP(D407,Courses!$A$5:$G$10,2,FALSE))</x:f>
      </x:c>
      <x:c r="F407" s="47" t="str">
        <x:f>IF(D407="","",VLOOKUP(D407,Courses!$A$5:$G$10,3,FALSE))</x:f>
      </x:c>
      <x:c r="G407" s="9"/>
      <x:c r="H407" s="9"/>
      <x:c r="I407" s="9"/>
      <x:c r="J407" s="43"/>
      <x:c r="K407" s="9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9"/>
      <x:c r="B408" s="43"/>
      <x:c r="C408" s="9"/>
      <x:c r="D408" s="9"/>
      <x:c r="E408" s="6" t="str">
        <x:f>IF(D408="","",VLOOKUP(D408,Courses!$A$5:$G$10,2,FALSE))</x:f>
      </x:c>
      <x:c r="F408" s="47" t="str">
        <x:f>IF(D408="","",VLOOKUP(D408,Courses!$A$5:$G$10,3,FALSE))</x:f>
      </x:c>
      <x:c r="G408" s="9"/>
      <x:c r="H408" s="9"/>
      <x:c r="I408" s="9"/>
      <x:c r="J408" s="43"/>
      <x:c r="K408" s="9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9"/>
      <x:c r="B409" s="43"/>
      <x:c r="C409" s="9"/>
      <x:c r="D409" s="9"/>
      <x:c r="E409" s="6" t="str">
        <x:f>IF(D409="","",VLOOKUP(D409,Courses!$A$5:$G$10,2,FALSE))</x:f>
      </x:c>
      <x:c r="F409" s="47" t="str">
        <x:f>IF(D409="","",VLOOKUP(D409,Courses!$A$5:$G$10,3,FALSE))</x:f>
      </x:c>
      <x:c r="G409" s="9"/>
      <x:c r="H409" s="9"/>
      <x:c r="I409" s="9"/>
      <x:c r="J409" s="43"/>
      <x:c r="K409" s="9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9"/>
      <x:c r="B410" s="43"/>
      <x:c r="C410" s="9"/>
      <x:c r="D410" s="9"/>
      <x:c r="E410" s="6" t="str">
        <x:f>IF(D410="","",VLOOKUP(D410,Courses!$A$5:$G$10,2,FALSE))</x:f>
      </x:c>
      <x:c r="F410" s="47" t="str">
        <x:f>IF(D410="","",VLOOKUP(D410,Courses!$A$5:$G$10,3,FALSE))</x:f>
      </x:c>
      <x:c r="G410" s="9"/>
      <x:c r="H410" s="9"/>
      <x:c r="I410" s="9"/>
      <x:c r="J410" s="43"/>
      <x:c r="K410" s="9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9"/>
      <x:c r="B411" s="43"/>
      <x:c r="C411" s="9"/>
      <x:c r="D411" s="9"/>
      <x:c r="E411" s="6" t="str">
        <x:f>IF(D411="","",VLOOKUP(D411,Courses!$A$5:$G$10,2,FALSE))</x:f>
      </x:c>
      <x:c r="F411" s="47" t="str">
        <x:f>IF(D411="","",VLOOKUP(D411,Courses!$A$5:$G$10,3,FALSE))</x:f>
      </x:c>
      <x:c r="G411" s="9"/>
      <x:c r="H411" s="9"/>
      <x:c r="I411" s="9"/>
      <x:c r="J411" s="43"/>
      <x:c r="K411" s="9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9"/>
      <x:c r="B412" s="43"/>
      <x:c r="C412" s="9"/>
      <x:c r="D412" s="9"/>
      <x:c r="E412" s="6" t="str">
        <x:f>IF(D412="","",VLOOKUP(D412,Courses!$A$5:$G$10,2,FALSE))</x:f>
      </x:c>
      <x:c r="F412" s="47" t="str">
        <x:f>IF(D412="","",VLOOKUP(D412,Courses!$A$5:$G$10,3,FALSE))</x:f>
      </x:c>
      <x:c r="G412" s="9"/>
      <x:c r="H412" s="9"/>
      <x:c r="I412" s="9"/>
      <x:c r="J412" s="43"/>
      <x:c r="K412" s="9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9"/>
      <x:c r="B413" s="43"/>
      <x:c r="C413" s="9"/>
      <x:c r="D413" s="9"/>
      <x:c r="E413" s="6" t="str">
        <x:f>IF(D413="","",VLOOKUP(D413,Courses!$A$5:$G$10,2,FALSE))</x:f>
      </x:c>
      <x:c r="F413" s="47" t="str">
        <x:f>IF(D413="","",VLOOKUP(D413,Courses!$A$5:$G$10,3,FALSE))</x:f>
      </x:c>
      <x:c r="G413" s="9"/>
      <x:c r="H413" s="9"/>
      <x:c r="I413" s="9"/>
      <x:c r="J413" s="43"/>
      <x:c r="K413" s="9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9"/>
      <x:c r="B414" s="43"/>
      <x:c r="C414" s="9"/>
      <x:c r="D414" s="9"/>
      <x:c r="E414" s="6" t="str">
        <x:f>IF(D414="","",VLOOKUP(D414,Courses!$A$5:$G$10,2,FALSE))</x:f>
      </x:c>
      <x:c r="F414" s="47" t="str">
        <x:f>IF(D414="","",VLOOKUP(D414,Courses!$A$5:$G$10,3,FALSE))</x:f>
      </x:c>
      <x:c r="G414" s="9"/>
      <x:c r="H414" s="9"/>
      <x:c r="I414" s="9"/>
      <x:c r="J414" s="43"/>
      <x:c r="K414" s="9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9"/>
      <x:c r="B415" s="43"/>
      <x:c r="C415" s="9"/>
      <x:c r="D415" s="9"/>
      <x:c r="E415" s="6" t="str">
        <x:f>IF(D415="","",VLOOKUP(D415,Courses!$A$5:$G$10,2,FALSE))</x:f>
      </x:c>
      <x:c r="F415" s="47" t="str">
        <x:f>IF(D415="","",VLOOKUP(D415,Courses!$A$5:$G$10,3,FALSE))</x:f>
      </x:c>
      <x:c r="G415" s="9"/>
      <x:c r="H415" s="9"/>
      <x:c r="I415" s="9"/>
      <x:c r="J415" s="43"/>
      <x:c r="K415" s="9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9"/>
      <x:c r="B416" s="43"/>
      <x:c r="C416" s="9"/>
      <x:c r="D416" s="9"/>
      <x:c r="E416" s="6" t="str">
        <x:f>IF(D416="","",VLOOKUP(D416,Courses!$A$5:$G$10,2,FALSE))</x:f>
      </x:c>
      <x:c r="F416" s="47" t="str">
        <x:f>IF(D416="","",VLOOKUP(D416,Courses!$A$5:$G$10,3,FALSE))</x:f>
      </x:c>
      <x:c r="G416" s="9"/>
      <x:c r="H416" s="9"/>
      <x:c r="I416" s="9"/>
      <x:c r="J416" s="43"/>
      <x:c r="K416" s="9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9"/>
      <x:c r="B417" s="43"/>
      <x:c r="C417" s="9"/>
      <x:c r="D417" s="9"/>
      <x:c r="E417" s="6" t="str">
        <x:f>IF(D417="","",VLOOKUP(D417,Courses!$A$5:$G$10,2,FALSE))</x:f>
      </x:c>
      <x:c r="F417" s="47" t="str">
        <x:f>IF(D417="","",VLOOKUP(D417,Courses!$A$5:$G$10,3,FALSE))</x:f>
      </x:c>
      <x:c r="G417" s="9"/>
      <x:c r="H417" s="9"/>
      <x:c r="I417" s="9"/>
      <x:c r="J417" s="43"/>
      <x:c r="K417" s="9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9"/>
      <x:c r="B418" s="43"/>
      <x:c r="C418" s="9"/>
      <x:c r="D418" s="9"/>
      <x:c r="E418" s="6" t="str">
        <x:f>IF(D418="","",VLOOKUP(D418,Courses!$A$5:$G$10,2,FALSE))</x:f>
      </x:c>
      <x:c r="F418" s="47" t="str">
        <x:f>IF(D418="","",VLOOKUP(D418,Courses!$A$5:$G$10,3,FALSE))</x:f>
      </x:c>
      <x:c r="G418" s="9"/>
      <x:c r="H418" s="9"/>
      <x:c r="I418" s="9"/>
      <x:c r="J418" s="43"/>
      <x:c r="K418" s="9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9"/>
      <x:c r="B419" s="43"/>
      <x:c r="C419" s="9"/>
      <x:c r="D419" s="9"/>
      <x:c r="E419" s="6" t="str">
        <x:f>IF(D419="","",VLOOKUP(D419,Courses!$A$5:$G$10,2,FALSE))</x:f>
      </x:c>
      <x:c r="F419" s="47" t="str">
        <x:f>IF(D419="","",VLOOKUP(D419,Courses!$A$5:$G$10,3,FALSE))</x:f>
      </x:c>
      <x:c r="G419" s="9"/>
      <x:c r="H419" s="9"/>
      <x:c r="I419" s="9"/>
      <x:c r="J419" s="43"/>
      <x:c r="K419" s="9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9"/>
      <x:c r="B420" s="43"/>
      <x:c r="C420" s="9"/>
      <x:c r="D420" s="9"/>
      <x:c r="E420" s="6" t="str">
        <x:f>IF(D420="","",VLOOKUP(D420,Courses!$A$5:$G$10,2,FALSE))</x:f>
      </x:c>
      <x:c r="F420" s="47" t="str">
        <x:f>IF(D420="","",VLOOKUP(D420,Courses!$A$5:$G$10,3,FALSE))</x:f>
      </x:c>
      <x:c r="G420" s="9"/>
      <x:c r="H420" s="9"/>
      <x:c r="I420" s="9"/>
      <x:c r="J420" s="43"/>
      <x:c r="K420" s="9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9"/>
      <x:c r="B421" s="43"/>
      <x:c r="C421" s="9"/>
      <x:c r="D421" s="9"/>
      <x:c r="E421" s="6" t="str">
        <x:f>IF(D421="","",VLOOKUP(D421,Courses!$A$5:$G$10,2,FALSE))</x:f>
      </x:c>
      <x:c r="F421" s="47" t="str">
        <x:f>IF(D421="","",VLOOKUP(D421,Courses!$A$5:$G$10,3,FALSE))</x:f>
      </x:c>
      <x:c r="G421" s="9"/>
      <x:c r="H421" s="9"/>
      <x:c r="I421" s="9"/>
      <x:c r="J421" s="43"/>
      <x:c r="K421" s="9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9"/>
      <x:c r="B422" s="43"/>
      <x:c r="C422" s="9"/>
      <x:c r="D422" s="9"/>
      <x:c r="E422" s="6" t="str">
        <x:f>IF(D422="","",VLOOKUP(D422,Courses!$A$5:$G$10,2,FALSE))</x:f>
      </x:c>
      <x:c r="F422" s="47" t="str">
        <x:f>IF(D422="","",VLOOKUP(D422,Courses!$A$5:$G$10,3,FALSE))</x:f>
      </x:c>
      <x:c r="G422" s="9"/>
      <x:c r="H422" s="9"/>
      <x:c r="I422" s="9"/>
      <x:c r="J422" s="43"/>
      <x:c r="K422" s="9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9"/>
      <x:c r="B423" s="43"/>
      <x:c r="C423" s="9"/>
      <x:c r="D423" s="9"/>
      <x:c r="E423" s="6" t="str">
        <x:f>IF(D423="","",VLOOKUP(D423,Courses!$A$5:$G$10,2,FALSE))</x:f>
      </x:c>
      <x:c r="F423" s="47" t="str">
        <x:f>IF(D423="","",VLOOKUP(D423,Courses!$A$5:$G$10,3,FALSE))</x:f>
      </x:c>
      <x:c r="G423" s="9"/>
      <x:c r="H423" s="9"/>
      <x:c r="I423" s="9"/>
      <x:c r="J423" s="43"/>
      <x:c r="K423" s="9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9"/>
      <x:c r="B424" s="43"/>
      <x:c r="C424" s="9"/>
      <x:c r="D424" s="9"/>
      <x:c r="E424" s="6" t="str">
        <x:f>IF(D424="","",VLOOKUP(D424,Courses!$A$5:$G$10,2,FALSE))</x:f>
      </x:c>
      <x:c r="F424" s="47" t="str">
        <x:f>IF(D424="","",VLOOKUP(D424,Courses!$A$5:$G$10,3,FALSE))</x:f>
      </x:c>
      <x:c r="G424" s="9"/>
      <x:c r="H424" s="9"/>
      <x:c r="I424" s="9"/>
      <x:c r="J424" s="43"/>
      <x:c r="K424" s="9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9"/>
      <x:c r="B425" s="43"/>
      <x:c r="C425" s="9"/>
      <x:c r="D425" s="9"/>
      <x:c r="E425" s="6" t="str">
        <x:f>IF(D425="","",VLOOKUP(D425,Courses!$A$5:$G$10,2,FALSE))</x:f>
      </x:c>
      <x:c r="F425" s="47" t="str">
        <x:f>IF(D425="","",VLOOKUP(D425,Courses!$A$5:$G$10,3,FALSE))</x:f>
      </x:c>
      <x:c r="G425" s="9"/>
      <x:c r="H425" s="9"/>
      <x:c r="I425" s="9"/>
      <x:c r="J425" s="43"/>
      <x:c r="K425" s="9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9"/>
      <x:c r="B426" s="43"/>
      <x:c r="C426" s="9"/>
      <x:c r="D426" s="9"/>
      <x:c r="E426" s="6" t="str">
        <x:f>IF(D426="","",VLOOKUP(D426,Courses!$A$5:$G$10,2,FALSE))</x:f>
      </x:c>
      <x:c r="F426" s="47" t="str">
        <x:f>IF(D426="","",VLOOKUP(D426,Courses!$A$5:$G$10,3,FALSE))</x:f>
      </x:c>
      <x:c r="G426" s="9"/>
      <x:c r="H426" s="9"/>
      <x:c r="I426" s="9"/>
      <x:c r="J426" s="43"/>
      <x:c r="K426" s="9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9"/>
      <x:c r="B427" s="43"/>
      <x:c r="C427" s="9"/>
      <x:c r="D427" s="9"/>
      <x:c r="E427" s="6" t="str">
        <x:f>IF(D427="","",VLOOKUP(D427,Courses!$A$5:$G$10,2,FALSE))</x:f>
      </x:c>
      <x:c r="F427" s="47" t="str">
        <x:f>IF(D427="","",VLOOKUP(D427,Courses!$A$5:$G$10,3,FALSE))</x:f>
      </x:c>
      <x:c r="G427" s="9"/>
      <x:c r="H427" s="9"/>
      <x:c r="I427" s="9"/>
      <x:c r="J427" s="43"/>
      <x:c r="K427" s="9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9"/>
      <x:c r="B428" s="43"/>
      <x:c r="C428" s="9"/>
      <x:c r="D428" s="9"/>
      <x:c r="E428" s="6" t="str">
        <x:f>IF(D428="","",VLOOKUP(D428,Courses!$A$5:$G$10,2,FALSE))</x:f>
      </x:c>
      <x:c r="F428" s="47" t="str">
        <x:f>IF(D428="","",VLOOKUP(D428,Courses!$A$5:$G$10,3,FALSE))</x:f>
      </x:c>
      <x:c r="G428" s="9"/>
      <x:c r="H428" s="9"/>
      <x:c r="I428" s="9"/>
      <x:c r="J428" s="43"/>
      <x:c r="K428" s="9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9"/>
      <x:c r="B429" s="43"/>
      <x:c r="C429" s="9"/>
      <x:c r="D429" s="9"/>
      <x:c r="E429" s="6" t="str">
        <x:f>IF(D429="","",VLOOKUP(D429,Courses!$A$5:$G$10,2,FALSE))</x:f>
      </x:c>
      <x:c r="F429" s="47" t="str">
        <x:f>IF(D429="","",VLOOKUP(D429,Courses!$A$5:$G$10,3,FALSE))</x:f>
      </x:c>
      <x:c r="G429" s="9"/>
      <x:c r="H429" s="9"/>
      <x:c r="I429" s="9"/>
      <x:c r="J429" s="43"/>
      <x:c r="K429" s="9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9"/>
      <x:c r="B430" s="43"/>
      <x:c r="C430" s="9"/>
      <x:c r="D430" s="9"/>
      <x:c r="E430" s="6" t="str">
        <x:f>IF(D430="","",VLOOKUP(D430,Courses!$A$5:$G$10,2,FALSE))</x:f>
      </x:c>
      <x:c r="F430" s="47" t="str">
        <x:f>IF(D430="","",VLOOKUP(D430,Courses!$A$5:$G$10,3,FALSE))</x:f>
      </x:c>
      <x:c r="G430" s="9"/>
      <x:c r="H430" s="9"/>
      <x:c r="I430" s="9"/>
      <x:c r="J430" s="43"/>
      <x:c r="K430" s="9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9"/>
      <x:c r="B431" s="43"/>
      <x:c r="C431" s="9"/>
      <x:c r="D431" s="9"/>
      <x:c r="E431" s="6" t="str">
        <x:f>IF(D431="","",VLOOKUP(D431,Courses!$A$5:$G$10,2,FALSE))</x:f>
      </x:c>
      <x:c r="F431" s="47" t="str">
        <x:f>IF(D431="","",VLOOKUP(D431,Courses!$A$5:$G$10,3,FALSE))</x:f>
      </x:c>
      <x:c r="G431" s="9"/>
      <x:c r="H431" s="9"/>
      <x:c r="I431" s="9"/>
      <x:c r="J431" s="43"/>
      <x:c r="K431" s="9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9"/>
      <x:c r="B432" s="43"/>
      <x:c r="C432" s="9"/>
      <x:c r="D432" s="9"/>
      <x:c r="E432" s="6" t="str">
        <x:f>IF(D432="","",VLOOKUP(D432,Courses!$A$5:$G$10,2,FALSE))</x:f>
      </x:c>
      <x:c r="F432" s="47" t="str">
        <x:f>IF(D432="","",VLOOKUP(D432,Courses!$A$5:$G$10,3,FALSE))</x:f>
      </x:c>
      <x:c r="G432" s="9"/>
      <x:c r="H432" s="9"/>
      <x:c r="I432" s="9"/>
      <x:c r="J432" s="43"/>
      <x:c r="K432" s="9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9"/>
      <x:c r="B433" s="43"/>
      <x:c r="C433" s="9"/>
      <x:c r="D433" s="9"/>
      <x:c r="E433" s="6" t="str">
        <x:f>IF(D433="","",VLOOKUP(D433,Courses!$A$5:$G$10,2,FALSE))</x:f>
      </x:c>
      <x:c r="F433" s="47" t="str">
        <x:f>IF(D433="","",VLOOKUP(D433,Courses!$A$5:$G$10,3,FALSE))</x:f>
      </x:c>
      <x:c r="G433" s="9"/>
      <x:c r="H433" s="9"/>
      <x:c r="I433" s="9"/>
      <x:c r="J433" s="43"/>
      <x:c r="K433" s="9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9"/>
      <x:c r="B434" s="43"/>
      <x:c r="C434" s="9"/>
      <x:c r="D434" s="9"/>
      <x:c r="E434" s="6" t="str">
        <x:f>IF(D434="","",VLOOKUP(D434,Courses!$A$5:$G$10,2,FALSE))</x:f>
      </x:c>
      <x:c r="F434" s="47" t="str">
        <x:f>IF(D434="","",VLOOKUP(D434,Courses!$A$5:$G$10,3,FALSE))</x:f>
      </x:c>
      <x:c r="G434" s="9"/>
      <x:c r="H434" s="9"/>
      <x:c r="I434" s="9"/>
      <x:c r="J434" s="43"/>
      <x:c r="K434" s="9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9"/>
      <x:c r="B435" s="43"/>
      <x:c r="C435" s="9"/>
      <x:c r="D435" s="9"/>
      <x:c r="E435" s="6" t="str">
        <x:f>IF(D435="","",VLOOKUP(D435,Courses!$A$5:$G$10,2,FALSE))</x:f>
      </x:c>
      <x:c r="F435" s="47" t="str">
        <x:f>IF(D435="","",VLOOKUP(D435,Courses!$A$5:$G$10,3,FALSE))</x:f>
      </x:c>
      <x:c r="G435" s="9"/>
      <x:c r="H435" s="9"/>
      <x:c r="I435" s="9"/>
      <x:c r="J435" s="43"/>
      <x:c r="K435" s="9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9"/>
      <x:c r="B436" s="43"/>
      <x:c r="C436" s="9"/>
      <x:c r="D436" s="9"/>
      <x:c r="E436" s="6" t="str">
        <x:f>IF(D436="","",VLOOKUP(D436,Courses!$A$5:$G$10,2,FALSE))</x:f>
      </x:c>
      <x:c r="F436" s="47" t="str">
        <x:f>IF(D436="","",VLOOKUP(D436,Courses!$A$5:$G$10,3,FALSE))</x:f>
      </x:c>
      <x:c r="G436" s="9"/>
      <x:c r="H436" s="9"/>
      <x:c r="I436" s="9"/>
      <x:c r="J436" s="43"/>
      <x:c r="K436" s="9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9"/>
      <x:c r="B437" s="43"/>
      <x:c r="C437" s="9"/>
      <x:c r="D437" s="9"/>
      <x:c r="E437" s="6" t="str">
        <x:f>IF(D437="","",VLOOKUP(D437,Courses!$A$5:$G$10,2,FALSE))</x:f>
      </x:c>
      <x:c r="F437" s="47" t="str">
        <x:f>IF(D437="","",VLOOKUP(D437,Courses!$A$5:$G$10,3,FALSE))</x:f>
      </x:c>
      <x:c r="G437" s="9"/>
      <x:c r="H437" s="9"/>
      <x:c r="I437" s="9"/>
      <x:c r="J437" s="43"/>
      <x:c r="K437" s="9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9"/>
      <x:c r="B438" s="43"/>
      <x:c r="C438" s="9"/>
      <x:c r="D438" s="9"/>
      <x:c r="E438" s="6" t="str">
        <x:f>IF(D438="","",VLOOKUP(D438,Courses!$A$5:$G$10,2,FALSE))</x:f>
      </x:c>
      <x:c r="F438" s="47" t="str">
        <x:f>IF(D438="","",VLOOKUP(D438,Courses!$A$5:$G$10,3,FALSE))</x:f>
      </x:c>
      <x:c r="G438" s="9"/>
      <x:c r="H438" s="9"/>
      <x:c r="I438" s="9"/>
      <x:c r="J438" s="43"/>
      <x:c r="K438" s="9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9"/>
      <x:c r="B439" s="43"/>
      <x:c r="C439" s="9"/>
      <x:c r="D439" s="9"/>
      <x:c r="E439" s="6" t="str">
        <x:f>IF(D439="","",VLOOKUP(D439,Courses!$A$5:$G$10,2,FALSE))</x:f>
      </x:c>
      <x:c r="F439" s="47" t="str">
        <x:f>IF(D439="","",VLOOKUP(D439,Courses!$A$5:$G$10,3,FALSE))</x:f>
      </x:c>
      <x:c r="G439" s="9"/>
      <x:c r="H439" s="9"/>
      <x:c r="I439" s="9"/>
      <x:c r="J439" s="43"/>
      <x:c r="K439" s="9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9"/>
      <x:c r="B440" s="43"/>
      <x:c r="C440" s="9"/>
      <x:c r="D440" s="9"/>
      <x:c r="E440" s="6" t="str">
        <x:f>IF(D440="","",VLOOKUP(D440,Courses!$A$5:$G$10,2,FALSE))</x:f>
      </x:c>
      <x:c r="F440" s="47" t="str">
        <x:f>IF(D440="","",VLOOKUP(D440,Courses!$A$5:$G$10,3,FALSE))</x:f>
      </x:c>
      <x:c r="G440" s="9"/>
      <x:c r="H440" s="9"/>
      <x:c r="I440" s="9"/>
      <x:c r="J440" s="43"/>
      <x:c r="K440" s="9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9"/>
      <x:c r="B441" s="43"/>
      <x:c r="C441" s="9"/>
      <x:c r="D441" s="9"/>
      <x:c r="E441" s="6" t="str">
        <x:f>IF(D441="","",VLOOKUP(D441,Courses!$A$5:$G$10,2,FALSE))</x:f>
      </x:c>
      <x:c r="F441" s="47" t="str">
        <x:f>IF(D441="","",VLOOKUP(D441,Courses!$A$5:$G$10,3,FALSE))</x:f>
      </x:c>
      <x:c r="G441" s="9"/>
      <x:c r="H441" s="9"/>
      <x:c r="I441" s="9"/>
      <x:c r="J441" s="43"/>
      <x:c r="K441" s="9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9"/>
      <x:c r="B442" s="43"/>
      <x:c r="C442" s="9"/>
      <x:c r="D442" s="9"/>
      <x:c r="E442" s="6" t="str">
        <x:f>IF(D442="","",VLOOKUP(D442,Courses!$A$5:$G$10,2,FALSE))</x:f>
      </x:c>
      <x:c r="F442" s="47" t="str">
        <x:f>IF(D442="","",VLOOKUP(D442,Courses!$A$5:$G$10,3,FALSE))</x:f>
      </x:c>
      <x:c r="G442" s="9"/>
      <x:c r="H442" s="9"/>
      <x:c r="I442" s="9"/>
      <x:c r="J442" s="43"/>
      <x:c r="K442" s="9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9"/>
      <x:c r="B443" s="43"/>
      <x:c r="C443" s="9"/>
      <x:c r="D443" s="9"/>
      <x:c r="E443" s="6" t="str">
        <x:f>IF(D443="","",VLOOKUP(D443,Courses!$A$5:$G$10,2,FALSE))</x:f>
      </x:c>
      <x:c r="F443" s="47" t="str">
        <x:f>IF(D443="","",VLOOKUP(D443,Courses!$A$5:$G$10,3,FALSE))</x:f>
      </x:c>
      <x:c r="G443" s="9"/>
      <x:c r="H443" s="9"/>
      <x:c r="I443" s="9"/>
      <x:c r="J443" s="43"/>
      <x:c r="K443" s="9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9"/>
      <x:c r="B444" s="43"/>
      <x:c r="C444" s="9"/>
      <x:c r="D444" s="9"/>
      <x:c r="E444" s="6" t="str">
        <x:f>IF(D444="","",VLOOKUP(D444,Courses!$A$5:$G$10,2,FALSE))</x:f>
      </x:c>
      <x:c r="F444" s="47" t="str">
        <x:f>IF(D444="","",VLOOKUP(D444,Courses!$A$5:$G$10,3,FALSE))</x:f>
      </x:c>
      <x:c r="G444" s="9"/>
      <x:c r="H444" s="9"/>
      <x:c r="I444" s="9"/>
      <x:c r="J444" s="43"/>
      <x:c r="K444" s="9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9"/>
      <x:c r="B445" s="43"/>
      <x:c r="C445" s="9"/>
      <x:c r="D445" s="9"/>
      <x:c r="E445" s="6" t="str">
        <x:f>IF(D445="","",VLOOKUP(D445,Courses!$A$5:$G$10,2,FALSE))</x:f>
      </x:c>
      <x:c r="F445" s="47" t="str">
        <x:f>IF(D445="","",VLOOKUP(D445,Courses!$A$5:$G$10,3,FALSE))</x:f>
      </x:c>
      <x:c r="G445" s="9"/>
      <x:c r="H445" s="9"/>
      <x:c r="I445" s="9"/>
      <x:c r="J445" s="43"/>
      <x:c r="K445" s="9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9"/>
      <x:c r="B446" s="43"/>
      <x:c r="C446" s="9"/>
      <x:c r="D446" s="9"/>
      <x:c r="E446" s="6" t="str">
        <x:f>IF(D446="","",VLOOKUP(D446,Courses!$A$5:$G$10,2,FALSE))</x:f>
      </x:c>
      <x:c r="F446" s="47" t="str">
        <x:f>IF(D446="","",VLOOKUP(D446,Courses!$A$5:$G$10,3,FALSE))</x:f>
      </x:c>
      <x:c r="G446" s="9"/>
      <x:c r="H446" s="9"/>
      <x:c r="I446" s="9"/>
      <x:c r="J446" s="43"/>
      <x:c r="K446" s="9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9"/>
      <x:c r="B447" s="43"/>
      <x:c r="C447" s="9"/>
      <x:c r="D447" s="9"/>
      <x:c r="E447" s="6" t="str">
        <x:f>IF(D447="","",VLOOKUP(D447,Courses!$A$5:$G$10,2,FALSE))</x:f>
      </x:c>
      <x:c r="F447" s="47" t="str">
        <x:f>IF(D447="","",VLOOKUP(D447,Courses!$A$5:$G$10,3,FALSE))</x:f>
      </x:c>
      <x:c r="G447" s="9"/>
      <x:c r="H447" s="9"/>
      <x:c r="I447" s="9"/>
      <x:c r="J447" s="43"/>
      <x:c r="K447" s="9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9"/>
      <x:c r="B448" s="43"/>
      <x:c r="C448" s="9"/>
      <x:c r="D448" s="9"/>
      <x:c r="E448" s="6" t="str">
        <x:f>IF(D448="","",VLOOKUP(D448,Courses!$A$5:$G$10,2,FALSE))</x:f>
      </x:c>
      <x:c r="F448" s="47" t="str">
        <x:f>IF(D448="","",VLOOKUP(D448,Courses!$A$5:$G$10,3,FALSE))</x:f>
      </x:c>
      <x:c r="G448" s="9"/>
      <x:c r="H448" s="9"/>
      <x:c r="I448" s="9"/>
      <x:c r="J448" s="43"/>
      <x:c r="K448" s="9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9"/>
      <x:c r="B449" s="43"/>
      <x:c r="C449" s="9"/>
      <x:c r="D449" s="9"/>
      <x:c r="E449" s="6" t="str">
        <x:f>IF(D449="","",VLOOKUP(D449,Courses!$A$5:$G$10,2,FALSE))</x:f>
      </x:c>
      <x:c r="F449" s="47" t="str">
        <x:f>IF(D449="","",VLOOKUP(D449,Courses!$A$5:$G$10,3,FALSE))</x:f>
      </x:c>
      <x:c r="G449" s="9"/>
      <x:c r="H449" s="9"/>
      <x:c r="I449" s="9"/>
      <x:c r="J449" s="43"/>
      <x:c r="K449" s="9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9"/>
      <x:c r="B450" s="43"/>
      <x:c r="C450" s="9"/>
      <x:c r="D450" s="9"/>
      <x:c r="E450" s="6" t="str">
        <x:f>IF(D450="","",VLOOKUP(D450,Courses!$A$5:$G$10,2,FALSE))</x:f>
      </x:c>
      <x:c r="F450" s="47" t="str">
        <x:f>IF(D450="","",VLOOKUP(D450,Courses!$A$5:$G$10,3,FALSE))</x:f>
      </x:c>
      <x:c r="G450" s="9"/>
      <x:c r="H450" s="9"/>
      <x:c r="I450" s="9"/>
      <x:c r="J450" s="43"/>
      <x:c r="K450" s="9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9"/>
      <x:c r="B451" s="43"/>
      <x:c r="C451" s="9"/>
      <x:c r="D451" s="9"/>
      <x:c r="E451" s="6" t="str">
        <x:f>IF(D451="","",VLOOKUP(D451,Courses!$A$5:$G$10,2,FALSE))</x:f>
      </x:c>
      <x:c r="F451" s="47" t="str">
        <x:f>IF(D451="","",VLOOKUP(D451,Courses!$A$5:$G$10,3,FALSE))</x:f>
      </x:c>
      <x:c r="G451" s="9"/>
      <x:c r="H451" s="9"/>
      <x:c r="I451" s="9"/>
      <x:c r="J451" s="43"/>
      <x:c r="K451" s="9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9"/>
      <x:c r="B452" s="43"/>
      <x:c r="C452" s="9"/>
      <x:c r="D452" s="9"/>
      <x:c r="E452" s="6" t="str">
        <x:f>IF(D452="","",VLOOKUP(D452,Courses!$A$5:$G$10,2,FALSE))</x:f>
      </x:c>
      <x:c r="F452" s="47" t="str">
        <x:f>IF(D452="","",VLOOKUP(D452,Courses!$A$5:$G$10,3,FALSE))</x:f>
      </x:c>
      <x:c r="G452" s="9"/>
      <x:c r="H452" s="9"/>
      <x:c r="I452" s="9"/>
      <x:c r="J452" s="43"/>
      <x:c r="K452" s="9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9"/>
      <x:c r="B453" s="43"/>
      <x:c r="C453" s="9"/>
      <x:c r="D453" s="9"/>
      <x:c r="E453" s="6" t="str">
        <x:f>IF(D453="","",VLOOKUP(D453,Courses!$A$5:$G$10,2,FALSE))</x:f>
      </x:c>
      <x:c r="F453" s="47" t="str">
        <x:f>IF(D453="","",VLOOKUP(D453,Courses!$A$5:$G$10,3,FALSE))</x:f>
      </x:c>
      <x:c r="G453" s="9"/>
      <x:c r="H453" s="9"/>
      <x:c r="I453" s="9"/>
      <x:c r="J453" s="43"/>
      <x:c r="K453" s="9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9"/>
      <x:c r="B454" s="43"/>
      <x:c r="C454" s="9"/>
      <x:c r="D454" s="9"/>
      <x:c r="E454" s="6" t="str">
        <x:f>IF(D454="","",VLOOKUP(D454,Courses!$A$5:$G$10,2,FALSE))</x:f>
      </x:c>
      <x:c r="F454" s="47" t="str">
        <x:f>IF(D454="","",VLOOKUP(D454,Courses!$A$5:$G$10,3,FALSE))</x:f>
      </x:c>
      <x:c r="G454" s="9"/>
      <x:c r="H454" s="9"/>
      <x:c r="I454" s="9"/>
      <x:c r="J454" s="43"/>
      <x:c r="K454" s="9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9"/>
      <x:c r="B455" s="43"/>
      <x:c r="C455" s="9"/>
      <x:c r="D455" s="9"/>
      <x:c r="E455" s="6" t="str">
        <x:f>IF(D455="","",VLOOKUP(D455,Courses!$A$5:$G$10,2,FALSE))</x:f>
      </x:c>
      <x:c r="F455" s="47" t="str">
        <x:f>IF(D455="","",VLOOKUP(D455,Courses!$A$5:$G$10,3,FALSE))</x:f>
      </x:c>
      <x:c r="G455" s="9"/>
      <x:c r="H455" s="9"/>
      <x:c r="I455" s="9"/>
      <x:c r="J455" s="43"/>
      <x:c r="K455" s="9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9"/>
      <x:c r="B456" s="43"/>
      <x:c r="C456" s="9"/>
      <x:c r="D456" s="9"/>
      <x:c r="E456" s="6" t="str">
        <x:f>IF(D456="","",VLOOKUP(D456,Courses!$A$5:$G$10,2,FALSE))</x:f>
      </x:c>
      <x:c r="F456" s="47" t="str">
        <x:f>IF(D456="","",VLOOKUP(D456,Courses!$A$5:$G$10,3,FALSE))</x:f>
      </x:c>
      <x:c r="G456" s="9"/>
      <x:c r="H456" s="9"/>
      <x:c r="I456" s="9"/>
      <x:c r="J456" s="43"/>
      <x:c r="K456" s="9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9"/>
      <x:c r="B457" s="43"/>
      <x:c r="C457" s="9"/>
      <x:c r="D457" s="9"/>
      <x:c r="E457" s="6" t="str">
        <x:f>IF(D457="","",VLOOKUP(D457,Courses!$A$5:$G$10,2,FALSE))</x:f>
      </x:c>
      <x:c r="F457" s="47" t="str">
        <x:f>IF(D457="","",VLOOKUP(D457,Courses!$A$5:$G$10,3,FALSE))</x:f>
      </x:c>
      <x:c r="G457" s="9"/>
      <x:c r="H457" s="9"/>
      <x:c r="I457" s="9"/>
      <x:c r="J457" s="43"/>
      <x:c r="K457" s="9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9"/>
      <x:c r="B458" s="43"/>
      <x:c r="C458" s="9"/>
      <x:c r="D458" s="9"/>
      <x:c r="E458" s="6" t="str">
        <x:f>IF(D458="","",VLOOKUP(D458,Courses!$A$5:$G$10,2,FALSE))</x:f>
      </x:c>
      <x:c r="F458" s="47" t="str">
        <x:f>IF(D458="","",VLOOKUP(D458,Courses!$A$5:$G$10,3,FALSE))</x:f>
      </x:c>
      <x:c r="G458" s="9"/>
      <x:c r="H458" s="9"/>
      <x:c r="I458" s="9"/>
      <x:c r="J458" s="43"/>
      <x:c r="K458" s="9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9"/>
      <x:c r="B459" s="43"/>
      <x:c r="C459" s="9"/>
      <x:c r="D459" s="9"/>
      <x:c r="E459" s="6" t="str">
        <x:f>IF(D459="","",VLOOKUP(D459,Courses!$A$5:$G$10,2,FALSE))</x:f>
      </x:c>
      <x:c r="F459" s="47" t="str">
        <x:f>IF(D459="","",VLOOKUP(D459,Courses!$A$5:$G$10,3,FALSE))</x:f>
      </x:c>
      <x:c r="G459" s="9"/>
      <x:c r="H459" s="9"/>
      <x:c r="I459" s="9"/>
      <x:c r="J459" s="43"/>
      <x:c r="K459" s="9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9"/>
      <x:c r="B460" s="43"/>
      <x:c r="C460" s="9"/>
      <x:c r="D460" s="9"/>
      <x:c r="E460" s="6" t="str">
        <x:f>IF(D460="","",VLOOKUP(D460,Courses!$A$5:$G$10,2,FALSE))</x:f>
      </x:c>
      <x:c r="F460" s="47" t="str">
        <x:f>IF(D460="","",VLOOKUP(D460,Courses!$A$5:$G$10,3,FALSE))</x:f>
      </x:c>
      <x:c r="G460" s="9"/>
      <x:c r="H460" s="9"/>
      <x:c r="I460" s="9"/>
      <x:c r="J460" s="43"/>
      <x:c r="K460" s="9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9"/>
      <x:c r="B461" s="43"/>
      <x:c r="C461" s="9"/>
      <x:c r="D461" s="9"/>
      <x:c r="E461" s="6" t="str">
        <x:f>IF(D461="","",VLOOKUP(D461,Courses!$A$5:$G$10,2,FALSE))</x:f>
      </x:c>
      <x:c r="F461" s="47" t="str">
        <x:f>IF(D461="","",VLOOKUP(D461,Courses!$A$5:$G$10,3,FALSE))</x:f>
      </x:c>
      <x:c r="G461" s="9"/>
      <x:c r="H461" s="9"/>
      <x:c r="I461" s="9"/>
      <x:c r="J461" s="43"/>
      <x:c r="K461" s="9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9"/>
      <x:c r="B462" s="43"/>
      <x:c r="C462" s="9"/>
      <x:c r="D462" s="9"/>
      <x:c r="E462" s="6" t="str">
        <x:f>IF(D462="","",VLOOKUP(D462,Courses!$A$5:$G$10,2,FALSE))</x:f>
      </x:c>
      <x:c r="F462" s="47" t="str">
        <x:f>IF(D462="","",VLOOKUP(D462,Courses!$A$5:$G$10,3,FALSE))</x:f>
      </x:c>
      <x:c r="G462" s="9"/>
      <x:c r="H462" s="9"/>
      <x:c r="I462" s="9"/>
      <x:c r="J462" s="43"/>
      <x:c r="K462" s="9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9"/>
      <x:c r="B463" s="43"/>
      <x:c r="C463" s="9"/>
      <x:c r="D463" s="9"/>
      <x:c r="E463" s="6" t="str">
        <x:f>IF(D463="","",VLOOKUP(D463,Courses!$A$5:$G$10,2,FALSE))</x:f>
      </x:c>
      <x:c r="F463" s="47" t="str">
        <x:f>IF(D463="","",VLOOKUP(D463,Courses!$A$5:$G$10,3,FALSE))</x:f>
      </x:c>
      <x:c r="G463" s="9"/>
      <x:c r="H463" s="9"/>
      <x:c r="I463" s="9"/>
      <x:c r="J463" s="43"/>
      <x:c r="K463" s="9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9"/>
      <x:c r="B464" s="43"/>
      <x:c r="C464" s="9"/>
      <x:c r="D464" s="9"/>
      <x:c r="E464" s="6" t="str">
        <x:f>IF(D464="","",VLOOKUP(D464,Courses!$A$5:$G$10,2,FALSE))</x:f>
      </x:c>
      <x:c r="F464" s="47" t="str">
        <x:f>IF(D464="","",VLOOKUP(D464,Courses!$A$5:$G$10,3,FALSE))</x:f>
      </x:c>
      <x:c r="G464" s="9"/>
      <x:c r="H464" s="9"/>
      <x:c r="I464" s="9"/>
      <x:c r="J464" s="43"/>
      <x:c r="K464" s="9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9"/>
      <x:c r="B465" s="43"/>
      <x:c r="C465" s="9"/>
      <x:c r="D465" s="9"/>
      <x:c r="E465" s="6" t="str">
        <x:f>IF(D465="","",VLOOKUP(D465,Courses!$A$5:$G$10,2,FALSE))</x:f>
      </x:c>
      <x:c r="F465" s="47" t="str">
        <x:f>IF(D465="","",VLOOKUP(D465,Courses!$A$5:$G$10,3,FALSE))</x:f>
      </x:c>
      <x:c r="G465" s="9"/>
      <x:c r="H465" s="9"/>
      <x:c r="I465" s="9"/>
      <x:c r="J465" s="43"/>
      <x:c r="K465" s="9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9"/>
      <x:c r="B466" s="43"/>
      <x:c r="C466" s="9"/>
      <x:c r="D466" s="9"/>
      <x:c r="E466" s="6" t="str">
        <x:f>IF(D466="","",VLOOKUP(D466,Courses!$A$5:$G$10,2,FALSE))</x:f>
      </x:c>
      <x:c r="F466" s="47" t="str">
        <x:f>IF(D466="","",VLOOKUP(D466,Courses!$A$5:$G$10,3,FALSE))</x:f>
      </x:c>
      <x:c r="G466" s="9"/>
      <x:c r="H466" s="9"/>
      <x:c r="I466" s="9"/>
      <x:c r="J466" s="43"/>
      <x:c r="K466" s="9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9"/>
      <x:c r="B467" s="43"/>
      <x:c r="C467" s="9"/>
      <x:c r="D467" s="9"/>
      <x:c r="E467" s="6" t="str">
        <x:f>IF(D467="","",VLOOKUP(D467,Courses!$A$5:$G$10,2,FALSE))</x:f>
      </x:c>
      <x:c r="F467" s="47" t="str">
        <x:f>IF(D467="","",VLOOKUP(D467,Courses!$A$5:$G$10,3,FALSE))</x:f>
      </x:c>
      <x:c r="G467" s="9"/>
      <x:c r="H467" s="9"/>
      <x:c r="I467" s="9"/>
      <x:c r="J467" s="43"/>
      <x:c r="K467" s="9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9"/>
      <x:c r="B468" s="43"/>
      <x:c r="C468" s="9"/>
      <x:c r="D468" s="9"/>
      <x:c r="E468" s="6" t="str">
        <x:f>IF(D468="","",VLOOKUP(D468,Courses!$A$5:$G$10,2,FALSE))</x:f>
      </x:c>
      <x:c r="F468" s="47" t="str">
        <x:f>IF(D468="","",VLOOKUP(D468,Courses!$A$5:$G$10,3,FALSE))</x:f>
      </x:c>
      <x:c r="G468" s="9"/>
      <x:c r="H468" s="9"/>
      <x:c r="I468" s="9"/>
      <x:c r="J468" s="43"/>
      <x:c r="K468" s="9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9"/>
      <x:c r="B469" s="43"/>
      <x:c r="C469" s="9"/>
      <x:c r="D469" s="9"/>
      <x:c r="E469" s="6" t="str">
        <x:f>IF(D469="","",VLOOKUP(D469,Courses!$A$5:$G$10,2,FALSE))</x:f>
      </x:c>
      <x:c r="F469" s="47" t="str">
        <x:f>IF(D469="","",VLOOKUP(D469,Courses!$A$5:$G$10,3,FALSE))</x:f>
      </x:c>
      <x:c r="G469" s="9"/>
      <x:c r="H469" s="9"/>
      <x:c r="I469" s="9"/>
      <x:c r="J469" s="43"/>
      <x:c r="K469" s="9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9"/>
      <x:c r="B470" s="43"/>
      <x:c r="C470" s="9"/>
      <x:c r="D470" s="9"/>
      <x:c r="E470" s="6" t="str">
        <x:f>IF(D470="","",VLOOKUP(D470,Courses!$A$5:$G$10,2,FALSE))</x:f>
      </x:c>
      <x:c r="F470" s="47" t="str">
        <x:f>IF(D470="","",VLOOKUP(D470,Courses!$A$5:$G$10,3,FALSE))</x:f>
      </x:c>
      <x:c r="G470" s="9"/>
      <x:c r="H470" s="9"/>
      <x:c r="I470" s="9"/>
      <x:c r="J470" s="43"/>
      <x:c r="K470" s="9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9"/>
      <x:c r="B471" s="43"/>
      <x:c r="C471" s="9"/>
      <x:c r="D471" s="9"/>
      <x:c r="E471" s="6" t="str">
        <x:f>IF(D471="","",VLOOKUP(D471,Courses!$A$5:$G$10,2,FALSE))</x:f>
      </x:c>
      <x:c r="F471" s="47" t="str">
        <x:f>IF(D471="","",VLOOKUP(D471,Courses!$A$5:$G$10,3,FALSE))</x:f>
      </x:c>
      <x:c r="G471" s="9"/>
      <x:c r="H471" s="9"/>
      <x:c r="I471" s="9"/>
      <x:c r="J471" s="43"/>
      <x:c r="K471" s="9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9"/>
      <x:c r="B472" s="43"/>
      <x:c r="C472" s="9"/>
      <x:c r="D472" s="9"/>
      <x:c r="E472" s="6" t="str">
        <x:f>IF(D472="","",VLOOKUP(D472,Courses!$A$5:$G$10,2,FALSE))</x:f>
      </x:c>
      <x:c r="F472" s="47" t="str">
        <x:f>IF(D472="","",VLOOKUP(D472,Courses!$A$5:$G$10,3,FALSE))</x:f>
      </x:c>
      <x:c r="G472" s="9"/>
      <x:c r="H472" s="9"/>
      <x:c r="I472" s="9"/>
      <x:c r="J472" s="43"/>
      <x:c r="K472" s="9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9"/>
      <x:c r="B473" s="43"/>
      <x:c r="C473" s="9"/>
      <x:c r="D473" s="9"/>
      <x:c r="E473" s="6" t="str">
        <x:f>IF(D473="","",VLOOKUP(D473,Courses!$A$5:$G$10,2,FALSE))</x:f>
      </x:c>
      <x:c r="F473" s="47" t="str">
        <x:f>IF(D473="","",VLOOKUP(D473,Courses!$A$5:$G$10,3,FALSE))</x:f>
      </x:c>
      <x:c r="G473" s="9"/>
      <x:c r="H473" s="9"/>
      <x:c r="I473" s="9"/>
      <x:c r="J473" s="43"/>
      <x:c r="K473" s="9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9"/>
      <x:c r="B474" s="43"/>
      <x:c r="C474" s="9"/>
      <x:c r="D474" s="9"/>
      <x:c r="E474" s="6" t="str">
        <x:f>IF(D474="","",VLOOKUP(D474,Courses!$A$5:$G$10,2,FALSE))</x:f>
      </x:c>
      <x:c r="F474" s="47" t="str">
        <x:f>IF(D474="","",VLOOKUP(D474,Courses!$A$5:$G$10,3,FALSE))</x:f>
      </x:c>
      <x:c r="G474" s="9"/>
      <x:c r="H474" s="9"/>
      <x:c r="I474" s="9"/>
      <x:c r="J474" s="43"/>
      <x:c r="K474" s="9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9"/>
      <x:c r="B475" s="43"/>
      <x:c r="C475" s="9"/>
      <x:c r="D475" s="9"/>
      <x:c r="E475" s="6" t="str">
        <x:f>IF(D475="","",VLOOKUP(D475,Courses!$A$5:$G$10,2,FALSE))</x:f>
      </x:c>
      <x:c r="F475" s="47" t="str">
        <x:f>IF(D475="","",VLOOKUP(D475,Courses!$A$5:$G$10,3,FALSE))</x:f>
      </x:c>
      <x:c r="G475" s="9"/>
      <x:c r="H475" s="9"/>
      <x:c r="I475" s="9"/>
      <x:c r="J475" s="43"/>
      <x:c r="K475" s="9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9"/>
      <x:c r="B476" s="43"/>
      <x:c r="C476" s="9"/>
      <x:c r="D476" s="9"/>
      <x:c r="E476" s="6" t="str">
        <x:f>IF(D476="","",VLOOKUP(D476,Courses!$A$5:$G$10,2,FALSE))</x:f>
      </x:c>
      <x:c r="F476" s="47" t="str">
        <x:f>IF(D476="","",VLOOKUP(D476,Courses!$A$5:$G$10,3,FALSE))</x:f>
      </x:c>
      <x:c r="G476" s="9"/>
      <x:c r="H476" s="9"/>
      <x:c r="I476" s="9"/>
      <x:c r="J476" s="43"/>
      <x:c r="K476" s="9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9"/>
      <x:c r="B477" s="43"/>
      <x:c r="C477" s="9"/>
      <x:c r="D477" s="9"/>
      <x:c r="E477" s="6" t="str">
        <x:f>IF(D477="","",VLOOKUP(D477,Courses!$A$5:$G$10,2,FALSE))</x:f>
      </x:c>
      <x:c r="F477" s="47" t="str">
        <x:f>IF(D477="","",VLOOKUP(D477,Courses!$A$5:$G$10,3,FALSE))</x:f>
      </x:c>
      <x:c r="G477" s="9"/>
      <x:c r="H477" s="9"/>
      <x:c r="I477" s="9"/>
      <x:c r="J477" s="43"/>
      <x:c r="K477" s="9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9"/>
      <x:c r="B478" s="43"/>
      <x:c r="C478" s="9"/>
      <x:c r="D478" s="9"/>
      <x:c r="E478" s="6" t="str">
        <x:f>IF(D478="","",VLOOKUP(D478,Courses!$A$5:$G$10,2,FALSE))</x:f>
      </x:c>
      <x:c r="F478" s="47" t="str">
        <x:f>IF(D478="","",VLOOKUP(D478,Courses!$A$5:$G$10,3,FALSE))</x:f>
      </x:c>
      <x:c r="G478" s="9"/>
      <x:c r="H478" s="9"/>
      <x:c r="I478" s="9"/>
      <x:c r="J478" s="43"/>
      <x:c r="K478" s="9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9"/>
      <x:c r="B479" s="43"/>
      <x:c r="C479" s="9"/>
      <x:c r="D479" s="9"/>
      <x:c r="E479" s="6" t="str">
        <x:f>IF(D479="","",VLOOKUP(D479,Courses!$A$5:$G$10,2,FALSE))</x:f>
      </x:c>
      <x:c r="F479" s="47" t="str">
        <x:f>IF(D479="","",VLOOKUP(D479,Courses!$A$5:$G$10,3,FALSE))</x:f>
      </x:c>
      <x:c r="G479" s="9"/>
      <x:c r="H479" s="9"/>
      <x:c r="I479" s="9"/>
      <x:c r="J479" s="43"/>
      <x:c r="K479" s="9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9"/>
      <x:c r="B480" s="43"/>
      <x:c r="C480" s="9"/>
      <x:c r="D480" s="9"/>
      <x:c r="E480" s="6" t="str">
        <x:f>IF(D480="","",VLOOKUP(D480,Courses!$A$5:$G$10,2,FALSE))</x:f>
      </x:c>
      <x:c r="F480" s="47" t="str">
        <x:f>IF(D480="","",VLOOKUP(D480,Courses!$A$5:$G$10,3,FALSE))</x:f>
      </x:c>
      <x:c r="G480" s="9"/>
      <x:c r="H480" s="9"/>
      <x:c r="I480" s="9"/>
      <x:c r="J480" s="43"/>
      <x:c r="K480" s="9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9"/>
      <x:c r="B481" s="43"/>
      <x:c r="C481" s="9"/>
      <x:c r="D481" s="9"/>
      <x:c r="E481" s="6" t="str">
        <x:f>IF(D481="","",VLOOKUP(D481,Courses!$A$5:$G$10,2,FALSE))</x:f>
      </x:c>
      <x:c r="F481" s="47" t="str">
        <x:f>IF(D481="","",VLOOKUP(D481,Courses!$A$5:$G$10,3,FALSE))</x:f>
      </x:c>
      <x:c r="G481" s="9"/>
      <x:c r="H481" s="9"/>
      <x:c r="I481" s="9"/>
      <x:c r="J481" s="43"/>
      <x:c r="K481" s="9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9"/>
      <x:c r="B482" s="43"/>
      <x:c r="C482" s="9"/>
      <x:c r="D482" s="9"/>
      <x:c r="E482" s="6" t="str">
        <x:f>IF(D482="","",VLOOKUP(D482,Courses!$A$5:$G$10,2,FALSE))</x:f>
      </x:c>
      <x:c r="F482" s="47" t="str">
        <x:f>IF(D482="","",VLOOKUP(D482,Courses!$A$5:$G$10,3,FALSE))</x:f>
      </x:c>
      <x:c r="G482" s="9"/>
      <x:c r="H482" s="9"/>
      <x:c r="I482" s="9"/>
      <x:c r="J482" s="43"/>
      <x:c r="K482" s="9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9"/>
      <x:c r="B483" s="43"/>
      <x:c r="C483" s="9"/>
      <x:c r="D483" s="9"/>
      <x:c r="E483" s="6" t="str">
        <x:f>IF(D483="","",VLOOKUP(D483,Courses!$A$5:$G$10,2,FALSE))</x:f>
      </x:c>
      <x:c r="F483" s="47" t="str">
        <x:f>IF(D483="","",VLOOKUP(D483,Courses!$A$5:$G$10,3,FALSE))</x:f>
      </x:c>
      <x:c r="G483" s="9"/>
      <x:c r="H483" s="9"/>
      <x:c r="I483" s="9"/>
      <x:c r="J483" s="43"/>
      <x:c r="K483" s="9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9"/>
      <x:c r="B484" s="43"/>
      <x:c r="C484" s="9"/>
      <x:c r="D484" s="9"/>
      <x:c r="E484" s="6" t="str">
        <x:f>IF(D484="","",VLOOKUP(D484,Courses!$A$5:$G$10,2,FALSE))</x:f>
      </x:c>
      <x:c r="F484" s="47" t="str">
        <x:f>IF(D484="","",VLOOKUP(D484,Courses!$A$5:$G$10,3,FALSE))</x:f>
      </x:c>
      <x:c r="G484" s="9"/>
      <x:c r="H484" s="9"/>
      <x:c r="I484" s="9"/>
      <x:c r="J484" s="43"/>
      <x:c r="K484" s="9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9"/>
      <x:c r="B485" s="43"/>
      <x:c r="C485" s="9"/>
      <x:c r="D485" s="9"/>
      <x:c r="E485" s="6" t="str">
        <x:f>IF(D485="","",VLOOKUP(D485,Courses!$A$5:$G$10,2,FALSE))</x:f>
      </x:c>
      <x:c r="F485" s="47" t="str">
        <x:f>IF(D485="","",VLOOKUP(D485,Courses!$A$5:$G$10,3,FALSE))</x:f>
      </x:c>
      <x:c r="G485" s="9"/>
      <x:c r="H485" s="9"/>
      <x:c r="I485" s="9"/>
      <x:c r="J485" s="43"/>
      <x:c r="K485" s="9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9"/>
      <x:c r="B486" s="43"/>
      <x:c r="C486" s="9"/>
      <x:c r="D486" s="9"/>
      <x:c r="E486" s="6" t="str">
        <x:f>IF(D486="","",VLOOKUP(D486,Courses!$A$5:$G$10,2,FALSE))</x:f>
      </x:c>
      <x:c r="F486" s="47" t="str">
        <x:f>IF(D486="","",VLOOKUP(D486,Courses!$A$5:$G$10,3,FALSE))</x:f>
      </x:c>
      <x:c r="G486" s="9"/>
      <x:c r="H486" s="9"/>
      <x:c r="I486" s="9"/>
      <x:c r="J486" s="43"/>
      <x:c r="K486" s="9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9"/>
      <x:c r="B487" s="43"/>
      <x:c r="C487" s="9"/>
      <x:c r="D487" s="9"/>
      <x:c r="E487" s="6" t="str">
        <x:f>IF(D487="","",VLOOKUP(D487,Courses!$A$5:$G$10,2,FALSE))</x:f>
      </x:c>
      <x:c r="F487" s="47" t="str">
        <x:f>IF(D487="","",VLOOKUP(D487,Courses!$A$5:$G$10,3,FALSE))</x:f>
      </x:c>
      <x:c r="G487" s="9"/>
      <x:c r="H487" s="9"/>
      <x:c r="I487" s="9"/>
      <x:c r="J487" s="43"/>
      <x:c r="K487" s="9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9"/>
      <x:c r="B488" s="43"/>
      <x:c r="C488" s="9"/>
      <x:c r="D488" s="9"/>
      <x:c r="E488" s="6" t="str">
        <x:f>IF(D488="","",VLOOKUP(D488,Courses!$A$5:$G$10,2,FALSE))</x:f>
      </x:c>
      <x:c r="F488" s="47" t="str">
        <x:f>IF(D488="","",VLOOKUP(D488,Courses!$A$5:$G$10,3,FALSE))</x:f>
      </x:c>
      <x:c r="G488" s="9"/>
      <x:c r="H488" s="9"/>
      <x:c r="I488" s="9"/>
      <x:c r="J488" s="43"/>
      <x:c r="K488" s="9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9"/>
      <x:c r="B489" s="43"/>
      <x:c r="C489" s="9"/>
      <x:c r="D489" s="9"/>
      <x:c r="E489" s="6" t="str">
        <x:f>IF(D489="","",VLOOKUP(D489,Courses!$A$5:$G$10,2,FALSE))</x:f>
      </x:c>
      <x:c r="F489" s="47" t="str">
        <x:f>IF(D489="","",VLOOKUP(D489,Courses!$A$5:$G$10,3,FALSE))</x:f>
      </x:c>
      <x:c r="G489" s="9"/>
      <x:c r="H489" s="9"/>
      <x:c r="I489" s="9"/>
      <x:c r="J489" s="43"/>
      <x:c r="K489" s="9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9"/>
      <x:c r="B490" s="43"/>
      <x:c r="C490" s="9"/>
      <x:c r="D490" s="9"/>
      <x:c r="E490" s="6" t="str">
        <x:f>IF(D490="","",VLOOKUP(D490,Courses!$A$5:$G$10,2,FALSE))</x:f>
      </x:c>
      <x:c r="F490" s="47" t="str">
        <x:f>IF(D490="","",VLOOKUP(D490,Courses!$A$5:$G$10,3,FALSE))</x:f>
      </x:c>
      <x:c r="G490" s="9"/>
      <x:c r="H490" s="9"/>
      <x:c r="I490" s="9"/>
      <x:c r="J490" s="43"/>
      <x:c r="K490" s="9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9"/>
      <x:c r="B491" s="43"/>
      <x:c r="C491" s="9"/>
      <x:c r="D491" s="9"/>
      <x:c r="E491" s="6" t="str">
        <x:f>IF(D491="","",VLOOKUP(D491,Courses!$A$5:$G$10,2,FALSE))</x:f>
      </x:c>
      <x:c r="F491" s="47" t="str">
        <x:f>IF(D491="","",VLOOKUP(D491,Courses!$A$5:$G$10,3,FALSE))</x:f>
      </x:c>
      <x:c r="G491" s="9"/>
      <x:c r="H491" s="9"/>
      <x:c r="I491" s="9"/>
      <x:c r="J491" s="43"/>
      <x:c r="K491" s="9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9"/>
      <x:c r="B492" s="43"/>
      <x:c r="C492" s="9"/>
      <x:c r="D492" s="9"/>
      <x:c r="E492" s="6" t="str">
        <x:f>IF(D492="","",VLOOKUP(D492,Courses!$A$5:$G$10,2,FALSE))</x:f>
      </x:c>
      <x:c r="F492" s="47" t="str">
        <x:f>IF(D492="","",VLOOKUP(D492,Courses!$A$5:$G$10,3,FALSE))</x:f>
      </x:c>
      <x:c r="G492" s="9"/>
      <x:c r="H492" s="9"/>
      <x:c r="I492" s="9"/>
      <x:c r="J492" s="43"/>
      <x:c r="K492" s="9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9"/>
      <x:c r="B493" s="43"/>
      <x:c r="C493" s="9"/>
      <x:c r="D493" s="9"/>
      <x:c r="E493" s="6" t="str">
        <x:f>IF(D493="","",VLOOKUP(D493,Courses!$A$5:$G$10,2,FALSE))</x:f>
      </x:c>
      <x:c r="F493" s="47" t="str">
        <x:f>IF(D493="","",VLOOKUP(D493,Courses!$A$5:$G$10,3,FALSE))</x:f>
      </x:c>
      <x:c r="G493" s="9"/>
      <x:c r="H493" s="9"/>
      <x:c r="I493" s="9"/>
      <x:c r="J493" s="43"/>
      <x:c r="K493" s="9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9"/>
      <x:c r="B494" s="43"/>
      <x:c r="C494" s="9"/>
      <x:c r="D494" s="9"/>
      <x:c r="E494" s="6" t="str">
        <x:f>IF(D494="","",VLOOKUP(D494,Courses!$A$5:$G$10,2,FALSE))</x:f>
      </x:c>
      <x:c r="F494" s="47" t="str">
        <x:f>IF(D494="","",VLOOKUP(D494,Courses!$A$5:$G$10,3,FALSE))</x:f>
      </x:c>
      <x:c r="G494" s="9"/>
      <x:c r="H494" s="9"/>
      <x:c r="I494" s="9"/>
      <x:c r="J494" s="43"/>
      <x:c r="K494" s="9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9"/>
      <x:c r="B495" s="43"/>
      <x:c r="C495" s="9"/>
      <x:c r="D495" s="9"/>
      <x:c r="E495" s="6" t="str">
        <x:f>IF(D495="","",VLOOKUP(D495,Courses!$A$5:$G$10,2,FALSE))</x:f>
      </x:c>
      <x:c r="F495" s="47" t="str">
        <x:f>IF(D495="","",VLOOKUP(D495,Courses!$A$5:$G$10,3,FALSE))</x:f>
      </x:c>
      <x:c r="G495" s="9"/>
      <x:c r="H495" s="9"/>
      <x:c r="I495" s="9"/>
      <x:c r="J495" s="43"/>
      <x:c r="K495" s="9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9"/>
      <x:c r="B496" s="43"/>
      <x:c r="C496" s="9"/>
      <x:c r="D496" s="9"/>
      <x:c r="E496" s="6" t="str">
        <x:f>IF(D496="","",VLOOKUP(D496,Courses!$A$5:$G$10,2,FALSE))</x:f>
      </x:c>
      <x:c r="F496" s="47" t="str">
        <x:f>IF(D496="","",VLOOKUP(D496,Courses!$A$5:$G$10,3,FALSE))</x:f>
      </x:c>
      <x:c r="G496" s="9"/>
      <x:c r="H496" s="9"/>
      <x:c r="I496" s="9"/>
      <x:c r="J496" s="43"/>
      <x:c r="K496" s="9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9"/>
      <x:c r="B497" s="43"/>
      <x:c r="C497" s="9"/>
      <x:c r="D497" s="9"/>
      <x:c r="E497" s="6" t="str">
        <x:f>IF(D497="","",VLOOKUP(D497,Courses!$A$5:$G$10,2,FALSE))</x:f>
      </x:c>
      <x:c r="F497" s="47" t="str">
        <x:f>IF(D497="","",VLOOKUP(D497,Courses!$A$5:$G$10,3,FALSE))</x:f>
      </x:c>
      <x:c r="G497" s="9"/>
      <x:c r="H497" s="9"/>
      <x:c r="I497" s="9"/>
      <x:c r="J497" s="43"/>
      <x:c r="K497" s="9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9"/>
      <x:c r="B498" s="43"/>
      <x:c r="C498" s="9"/>
      <x:c r="D498" s="9"/>
      <x:c r="E498" s="6" t="str">
        <x:f>IF(D498="","",VLOOKUP(D498,Courses!$A$5:$G$10,2,FALSE))</x:f>
      </x:c>
      <x:c r="F498" s="47" t="str">
        <x:f>IF(D498="","",VLOOKUP(D498,Courses!$A$5:$G$10,3,FALSE))</x:f>
      </x:c>
      <x:c r="G498" s="9"/>
      <x:c r="H498" s="9"/>
      <x:c r="I498" s="9"/>
      <x:c r="J498" s="43"/>
      <x:c r="K498" s="9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9"/>
      <x:c r="B499" s="43"/>
      <x:c r="C499" s="9"/>
      <x:c r="D499" s="9"/>
      <x:c r="E499" s="6" t="str">
        <x:f>IF(D499="","",VLOOKUP(D499,Courses!$A$5:$G$10,2,FALSE))</x:f>
      </x:c>
      <x:c r="F499" s="47" t="str">
        <x:f>IF(D499="","",VLOOKUP(D499,Courses!$A$5:$G$10,3,FALSE))</x:f>
      </x:c>
      <x:c r="G499" s="9"/>
      <x:c r="H499" s="9"/>
      <x:c r="I499" s="9"/>
      <x:c r="J499" s="43"/>
      <x:c r="K499" s="9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9"/>
      <x:c r="B500" s="43"/>
      <x:c r="C500" s="9"/>
      <x:c r="D500" s="9"/>
      <x:c r="E500" s="6" t="str">
        <x:f>IF(D500="","",VLOOKUP(D500,Courses!$A$5:$G$10,2,FALSE))</x:f>
      </x:c>
      <x:c r="F500" s="47" t="str">
        <x:f>IF(D500="","",VLOOKUP(D500,Courses!$A$5:$G$10,3,FALSE))</x:f>
      </x:c>
      <x:c r="G500" s="9"/>
      <x:c r="H500" s="9"/>
      <x:c r="I500" s="9"/>
      <x:c r="J500" s="43"/>
      <x:c r="K500" s="9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9"/>
      <x:c r="B501" s="43"/>
      <x:c r="C501" s="9"/>
      <x:c r="D501" s="9"/>
      <x:c r="E501" s="6" t="str">
        <x:f>IF(D501="","",VLOOKUP(D501,Courses!$A$5:$G$10,2,FALSE))</x:f>
      </x:c>
      <x:c r="F501" s="47" t="str">
        <x:f>IF(D501="","",VLOOKUP(D501,Courses!$A$5:$G$10,3,FALSE))</x:f>
      </x:c>
      <x:c r="G501" s="9"/>
      <x:c r="H501" s="9"/>
      <x:c r="I501" s="9"/>
      <x:c r="J501" s="43"/>
      <x:c r="K501" s="9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9"/>
      <x:c r="B502" s="43"/>
      <x:c r="C502" s="9"/>
      <x:c r="D502" s="9"/>
      <x:c r="E502" s="6" t="str">
        <x:f>IF(D502="","",VLOOKUP(D502,Courses!$A$5:$G$10,2,FALSE))</x:f>
      </x:c>
      <x:c r="F502" s="47" t="str">
        <x:f>IF(D502="","",VLOOKUP(D502,Courses!$A$5:$G$10,3,FALSE))</x:f>
      </x:c>
      <x:c r="G502" s="9"/>
      <x:c r="H502" s="9"/>
      <x:c r="I502" s="9"/>
      <x:c r="J502" s="43"/>
      <x:c r="K502" s="9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9"/>
      <x:c r="B503" s="43"/>
      <x:c r="C503" s="9"/>
      <x:c r="D503" s="9"/>
      <x:c r="E503" s="6" t="str">
        <x:f>IF(D503="","",VLOOKUP(D503,Courses!$A$5:$G$10,2,FALSE))</x:f>
      </x:c>
      <x:c r="F503" s="47" t="str">
        <x:f>IF(D503="","",VLOOKUP(D503,Courses!$A$5:$G$10,3,FALSE))</x:f>
      </x:c>
      <x:c r="G503" s="9"/>
      <x:c r="H503" s="9"/>
      <x:c r="I503" s="9"/>
      <x:c r="J503" s="43"/>
      <x:c r="K503" s="9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1"/>
      <x:c r="B504" s="44"/>
      <x:c r="C504" s="21"/>
      <x:c r="D504" s="21"/>
      <x:c r="E504" s="18" t="str">
        <x:f>IF(D504="","",VLOOKUP(D504,Courses!$A$5:$G$10,2,FALSE))</x:f>
      </x:c>
      <x:c r="F504" s="50" t="str">
        <x:f>IF(D504="","",VLOOKUP(D504,Courses!$A$5:$G$10,3,FALSE))</x:f>
      </x:c>
      <x:c r="G504" s="21"/>
      <x:c r="H504" s="21"/>
      <x:c r="I504" s="21"/>
      <x:c r="J504" s="44"/>
      <x:c r="K504" s="21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</x:sheetData>
  <x:mergeCells>
    <x:mergeCell ref="A1:K1"/>
    <x:mergeCell ref="A2:K2"/>
  </x:mergeCells>
  <x:dataValidations count="3">
    <x:dataValidation type="list" sqref="D5:D504">
      <x:formula1>Courses!$A$5:$A$10</x:formula1>
    </x:dataValidation>
    <x:dataValidation type="list" sqref="G5:G504">
      <x:formula1>Lists!$C$5:$C$8</x:formula1>
    </x:dataValidation>
    <x:dataValidation type="list" sqref="I5:I504">
      <x:formula1>Lists!$D$5:$D$7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7" hidden="0" customWidth="1"/>
    <x:col min="3" max="3" width="14" hidden="0" customWidth="1"/>
    <x:col min="4" max="4" width="14" hidden="0" customWidth="1"/>
    <x:col min="5" max="5" width="29" hidden="0" customWidth="1"/>
    <x:col min="6" max="6" width="24" hidden="0" customWidth="1"/>
    <x:col min="7" max="7" width="22" hidden="0" customWidth="1"/>
  </x:cols>
  <x:sheetData>
    <x:row r="1" ht="25" customHeight="1">
      <x:c r="A1" s="3" t="str">
        <x:v>Courses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9" customHeight="1">
      <x:c r="A2" s="4" t="str">
        <x:v>Current SkillLance package pricing, Razorpay payment button IDs, and the affiliate commission rate.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5"/>
      <x:c r="B3" s="5"/>
      <x:c r="C3" s="5"/>
      <x:c r="D3" s="5"/>
      <x:c r="E3" s="5"/>
      <x:c r="F3" s="5"/>
      <x:c r="G3" s="5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53" t="str">
        <x:v>Course ID</x:v>
      </x:c>
      <x:c r="B4" s="53" t="str">
        <x:v>Course name</x:v>
      </x:c>
      <x:c r="C4" s="53" t="str">
        <x:v>Price</x:v>
      </x:c>
      <x:c r="D4" s="53" t="str">
        <x:v>Course count</x:v>
      </x:c>
      <x:c r="E4" s="53" t="str">
        <x:v>Razorpay payment button ID</x:v>
      </x:c>
      <x:c r="F4" s="53" t="str">
        <x:v>Affiliate commission rate</x:v>
      </x:c>
      <x:c r="G4" s="53" t="str">
        <x:v>Commission per sale</x:v>
      </x:c>
      <x:c r="H4" s="54"/>
      <x:c r="I4" s="54"/>
      <x:c r="J4" s="54"/>
      <x:c r="K4" s="54"/>
      <x:c r="L4" s="54"/>
      <x:c r="M4" s="54"/>
      <x:c r="N4" s="54"/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</x:row>
    <x:row r="5">
      <x:c r="A5" s="9" t="str">
        <x:v>ELITE</x:v>
      </x:c>
      <x:c r="B5" s="9" t="str">
        <x:v>Elite Package</x:v>
      </x:c>
      <x:c r="C5" s="45" t="n">
        <x:v>699</x:v>
      </x:c>
      <x:c r="D5" s="9" t="n">
        <x:v>8</x:v>
      </x:c>
      <x:c r="E5" s="9" t="str">
        <x:v>pl_TsbhUucoFI4Zwq</x:v>
      </x:c>
      <x:c r="F5" s="46" t="n">
        <x:v>0.7</x:v>
      </x:c>
      <x:c r="G5" s="47" t="n">
        <x:f>C5*F5</x:f>
        <x:v>489.29999999999995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9" t="str">
        <x:v>MARKETING</x:v>
      </x:c>
      <x:c r="B6" s="9" t="str">
        <x:v>Marketing Mastery</x:v>
      </x:c>
      <x:c r="C6" s="45" t="n">
        <x:v>1499</x:v>
      </x:c>
      <x:c r="D6" s="9" t="n">
        <x:v>2</x:v>
      </x:c>
      <x:c r="E6" s="9" t="str">
        <x:v>pl_Tsc0RtshcVOlv4</x:v>
      </x:c>
      <x:c r="F6" s="46" t="n">
        <x:v>0.7</x:v>
      </x:c>
      <x:c r="G6" s="47" t="n">
        <x:f>C6*F6</x:f>
        <x:v>1049.3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9" t="str">
        <x:v>SOFT</x:v>
      </x:c>
      <x:c r="B7" s="9" t="str">
        <x:v>Soft Skill Mastery</x:v>
      </x:c>
      <x:c r="C7" s="45" t="n">
        <x:v>2599</x:v>
      </x:c>
      <x:c r="D7" s="9" t="n">
        <x:v>2</x:v>
      </x:c>
      <x:c r="E7" s="9" t="str">
        <x:v>pl_Tsc6SWIstwLyX9</x:v>
      </x:c>
      <x:c r="F7" s="46" t="n">
        <x:v>0.7</x:v>
      </x:c>
      <x:c r="G7" s="47" t="n">
        <x:f>C7*F7</x:f>
        <x:v>1819.3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9" t="str">
        <x:v>PRO</x:v>
      </x:c>
      <x:c r="B8" s="9" t="str">
        <x:v>Pro Package</x:v>
      </x:c>
      <x:c r="C8" s="45" t="n">
        <x:v>4999</x:v>
      </x:c>
      <x:c r="D8" s="9" t="n">
        <x:v>4</x:v>
      </x:c>
      <x:c r="E8" s="9" t="str">
        <x:v>pl_TscASQMDiKuLXb</x:v>
      </x:c>
      <x:c r="F8" s="46" t="n">
        <x:v>0.7</x:v>
      </x:c>
      <x:c r="G8" s="47" t="n">
        <x:f>C8*F8</x:f>
        <x:v>3499.2999999999997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9" t="str">
        <x:v>PRIME</x:v>
      </x:c>
      <x:c r="B9" s="9" t="str">
        <x:v>Prime Package</x:v>
      </x:c>
      <x:c r="C9" s="45" t="n">
        <x:v>7499</x:v>
      </x:c>
      <x:c r="D9" s="9" t="n">
        <x:v>6</x:v>
      </x:c>
      <x:c r="E9" s="9" t="str">
        <x:v>pl_Tscrao7delyrCN</x:v>
      </x:c>
      <x:c r="F9" s="46" t="n">
        <x:v>0.7</x:v>
      </x:c>
      <x:c r="G9" s="47" t="n">
        <x:f>C9*F9</x:f>
        <x:v>5249.299999999999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1" t="str">
        <x:v>FINANCE</x:v>
      </x:c>
      <x:c r="B10" s="21" t="str">
        <x:v>Finance Package</x:v>
      </x:c>
      <x:c r="C10" s="48" t="n">
        <x:v>9999</x:v>
      </x:c>
      <x:c r="D10" s="21" t="n">
        <x:v>3</x:v>
      </x:c>
      <x:c r="E10" s="21" t="str">
        <x:v>pl_Tsd2sXzAgnBo2g</x:v>
      </x:c>
      <x:c r="F10" s="49" t="n">
        <x:v>0.7</x:v>
      </x:c>
      <x:c r="G10" s="50" t="n">
        <x:f>C10*F10</x:f>
        <x:v>6999.299999999999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26" hidden="0" customWidth="1"/>
    <x:col min="3" max="3" width="14" hidden="0" customWidth="1"/>
    <x:col min="4" max="4" width="15" hidden="0" customWidth="1"/>
    <x:col min="5" max="5" width="14" hidden="0" customWidth="1"/>
    <x:col min="6" max="6" width="26" hidden="0" customWidth="1"/>
    <x:col min="7" max="7" width="15" hidden="0" customWidth="1"/>
    <x:col min="8" max="8" width="15" hidden="0" customWidth="1"/>
    <x:col min="9" max="9" width="21" hidden="0" customWidth="1"/>
    <x:col min="10" max="10" width="17" hidden="0" customWidth="1"/>
    <x:col min="11" max="11" width="18" hidden="0" customWidth="1"/>
    <x:col min="12" max="12" width="18" hidden="0" customWidth="1"/>
    <x:col min="13" max="13" width="28" hidden="0" customWidth="1"/>
  </x:cols>
  <x:sheetData>
    <x:row r="1" ht="25" customHeight="1">
      <x:c r="A1" s="3" t="str">
        <x:v>Sales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9" customHeight="1">
      <x:c r="A2" s="4" t="str">
        <x:v>Enter each Razorpay payment once. Commission amounts calculate only for paid sales with a referrer affiliate ID.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53" t="str">
        <x:v>Sale ID</x:v>
      </x:c>
      <x:c r="B4" s="53" t="str">
        <x:v>Razorpay payment ID</x:v>
      </x:c>
      <x:c r="C4" s="53" t="str">
        <x:v>Sale date</x:v>
      </x:c>
      <x:c r="D4" s="53" t="str">
        <x:v>Customer ID</x:v>
      </x:c>
      <x:c r="E4" s="53" t="str">
        <x:v>Course ID</x:v>
      </x:c>
      <x:c r="F4" s="53" t="str">
        <x:v>Course name</x:v>
      </x:c>
      <x:c r="G4" s="53" t="str">
        <x:v>Course price</x:v>
      </x:c>
      <x:c r="H4" s="53" t="str">
        <x:v>Payment status</x:v>
      </x:c>
      <x:c r="I4" s="53" t="str">
        <x:v>Referrer affiliate ID</x:v>
      </x:c>
      <x:c r="J4" s="53" t="str">
        <x:v>Commission rate</x:v>
      </x:c>
      <x:c r="K4" s="53" t="str">
        <x:v>Commission amount</x:v>
      </x:c>
      <x:c r="L4" s="53" t="str">
        <x:v>Commission status</x:v>
      </x:c>
      <x:c r="M4" s="53" t="str">
        <x:v>Notes</x:v>
      </x:c>
      <x:c r="N4" s="54"/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</x:row>
    <x:row r="5">
      <x:c r="A5" s="9"/>
      <x:c r="B5" s="9"/>
      <x:c r="C5" s="43"/>
      <x:c r="D5" s="9"/>
      <x:c r="E5" s="9"/>
      <x:c r="F5" s="6" t="str">
        <x:f>IF(E5="","",VLOOKUP(E5,Courses!$A$5:$G$10,2,FALSE))</x:f>
      </x:c>
      <x:c r="G5" s="47" t="str">
        <x:f>IF(E5="","",VLOOKUP(E5,Courses!$A$5:$G$10,3,FALSE))</x:f>
      </x:c>
      <x:c r="H5" s="9"/>
      <x:c r="I5" s="9"/>
      <x:c r="J5" s="51" t="str">
        <x:f>IF(I5="","",VLOOKUP(E5,Courses!$A$5:$G$10,6,FALSE))</x:f>
      </x:c>
      <x:c r="K5" s="47" t="n">
        <x:f>IF(AND(H5="Paid",I5&lt;&gt;""),G5*J5,0)</x:f>
        <x:v>0</x:v>
      </x:c>
      <x:c r="L5" s="9"/>
      <x:c r="M5" s="9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9"/>
      <x:c r="B6" s="9"/>
      <x:c r="C6" s="43"/>
      <x:c r="D6" s="9"/>
      <x:c r="E6" s="9"/>
      <x:c r="F6" s="6" t="str">
        <x:f>IF(E6="","",VLOOKUP(E6,Courses!$A$5:$G$10,2,FALSE))</x:f>
      </x:c>
      <x:c r="G6" s="47" t="str">
        <x:f>IF(E6="","",VLOOKUP(E6,Courses!$A$5:$G$10,3,FALSE))</x:f>
      </x:c>
      <x:c r="H6" s="9"/>
      <x:c r="I6" s="9"/>
      <x:c r="J6" s="51" t="str">
        <x:f>IF(I6="","",VLOOKUP(E6,Courses!$A$5:$G$10,6,FALSE))</x:f>
      </x:c>
      <x:c r="K6" s="47" t="n">
        <x:f>IF(AND(H6="Paid",I6&lt;&gt;""),G6*J6,0)</x:f>
        <x:v>0</x:v>
      </x:c>
      <x:c r="L6" s="9"/>
      <x:c r="M6" s="9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9"/>
      <x:c r="B7" s="9"/>
      <x:c r="C7" s="43"/>
      <x:c r="D7" s="9"/>
      <x:c r="E7" s="9"/>
      <x:c r="F7" s="6" t="str">
        <x:f>IF(E7="","",VLOOKUP(E7,Courses!$A$5:$G$10,2,FALSE))</x:f>
      </x:c>
      <x:c r="G7" s="47" t="str">
        <x:f>IF(E7="","",VLOOKUP(E7,Courses!$A$5:$G$10,3,FALSE))</x:f>
      </x:c>
      <x:c r="H7" s="9"/>
      <x:c r="I7" s="9"/>
      <x:c r="J7" s="51" t="str">
        <x:f>IF(I7="","",VLOOKUP(E7,Courses!$A$5:$G$10,6,FALSE))</x:f>
      </x:c>
      <x:c r="K7" s="47" t="n">
        <x:f>IF(AND(H7="Paid",I7&lt;&gt;""),G7*J7,0)</x:f>
        <x:v>0</x:v>
      </x:c>
      <x:c r="L7" s="9"/>
      <x:c r="M7" s="9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9"/>
      <x:c r="B8" s="9"/>
      <x:c r="C8" s="43"/>
      <x:c r="D8" s="9"/>
      <x:c r="E8" s="9"/>
      <x:c r="F8" s="6" t="str">
        <x:f>IF(E8="","",VLOOKUP(E8,Courses!$A$5:$G$10,2,FALSE))</x:f>
      </x:c>
      <x:c r="G8" s="47" t="str">
        <x:f>IF(E8="","",VLOOKUP(E8,Courses!$A$5:$G$10,3,FALSE))</x:f>
      </x:c>
      <x:c r="H8" s="9"/>
      <x:c r="I8" s="9"/>
      <x:c r="J8" s="51" t="str">
        <x:f>IF(I8="","",VLOOKUP(E8,Courses!$A$5:$G$10,6,FALSE))</x:f>
      </x:c>
      <x:c r="K8" s="47" t="n">
        <x:f>IF(AND(H8="Paid",I8&lt;&gt;""),G8*J8,0)</x:f>
        <x:v>0</x:v>
      </x:c>
      <x:c r="L8" s="9"/>
      <x:c r="M8" s="9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9"/>
      <x:c r="B9" s="9"/>
      <x:c r="C9" s="43"/>
      <x:c r="D9" s="9"/>
      <x:c r="E9" s="9"/>
      <x:c r="F9" s="6" t="str">
        <x:f>IF(E9="","",VLOOKUP(E9,Courses!$A$5:$G$10,2,FALSE))</x:f>
      </x:c>
      <x:c r="G9" s="47" t="str">
        <x:f>IF(E9="","",VLOOKUP(E9,Courses!$A$5:$G$10,3,FALSE))</x:f>
      </x:c>
      <x:c r="H9" s="9"/>
      <x:c r="I9" s="9"/>
      <x:c r="J9" s="51" t="str">
        <x:f>IF(I9="","",VLOOKUP(E9,Courses!$A$5:$G$10,6,FALSE))</x:f>
      </x:c>
      <x:c r="K9" s="47" t="n">
        <x:f>IF(AND(H9="Paid",I9&lt;&gt;""),G9*J9,0)</x:f>
        <x:v>0</x:v>
      </x:c>
      <x:c r="L9" s="9"/>
      <x:c r="M9" s="9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9"/>
      <x:c r="B10" s="9"/>
      <x:c r="C10" s="43"/>
      <x:c r="D10" s="9"/>
      <x:c r="E10" s="9"/>
      <x:c r="F10" s="6" t="str">
        <x:f>IF(E10="","",VLOOKUP(E10,Courses!$A$5:$G$10,2,FALSE))</x:f>
      </x:c>
      <x:c r="G10" s="47" t="str">
        <x:f>IF(E10="","",VLOOKUP(E10,Courses!$A$5:$G$10,3,FALSE))</x:f>
      </x:c>
      <x:c r="H10" s="9"/>
      <x:c r="I10" s="9"/>
      <x:c r="J10" s="51" t="str">
        <x:f>IF(I10="","",VLOOKUP(E10,Courses!$A$5:$G$10,6,FALSE))</x:f>
      </x:c>
      <x:c r="K10" s="47" t="n">
        <x:f>IF(AND(H10="Paid",I10&lt;&gt;""),G10*J10,0)</x:f>
        <x:v>0</x:v>
      </x:c>
      <x:c r="L10" s="9"/>
      <x:c r="M10" s="9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9"/>
      <x:c r="B11" s="9"/>
      <x:c r="C11" s="43"/>
      <x:c r="D11" s="9"/>
      <x:c r="E11" s="9"/>
      <x:c r="F11" s="6" t="str">
        <x:f>IF(E11="","",VLOOKUP(E11,Courses!$A$5:$G$10,2,FALSE))</x:f>
      </x:c>
      <x:c r="G11" s="47" t="str">
        <x:f>IF(E11="","",VLOOKUP(E11,Courses!$A$5:$G$10,3,FALSE))</x:f>
      </x:c>
      <x:c r="H11" s="9"/>
      <x:c r="I11" s="9"/>
      <x:c r="J11" s="51" t="str">
        <x:f>IF(I11="","",VLOOKUP(E11,Courses!$A$5:$G$10,6,FALSE))</x:f>
      </x:c>
      <x:c r="K11" s="47" t="n">
        <x:f>IF(AND(H11="Paid",I11&lt;&gt;""),G11*J11,0)</x:f>
        <x:v>0</x:v>
      </x:c>
      <x:c r="L11" s="9"/>
      <x:c r="M11" s="9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9"/>
      <x:c r="B12" s="9"/>
      <x:c r="C12" s="43"/>
      <x:c r="D12" s="9"/>
      <x:c r="E12" s="9"/>
      <x:c r="F12" s="6" t="str">
        <x:f>IF(E12="","",VLOOKUP(E12,Courses!$A$5:$G$10,2,FALSE))</x:f>
      </x:c>
      <x:c r="G12" s="47" t="str">
        <x:f>IF(E12="","",VLOOKUP(E12,Courses!$A$5:$G$10,3,FALSE))</x:f>
      </x:c>
      <x:c r="H12" s="9"/>
      <x:c r="I12" s="9"/>
      <x:c r="J12" s="51" t="str">
        <x:f>IF(I12="","",VLOOKUP(E12,Courses!$A$5:$G$10,6,FALSE))</x:f>
      </x:c>
      <x:c r="K12" s="47" t="n">
        <x:f>IF(AND(H12="Paid",I12&lt;&gt;""),G12*J12,0)</x:f>
        <x:v>0</x:v>
      </x:c>
      <x:c r="L12" s="9"/>
      <x:c r="M12" s="9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9"/>
      <x:c r="B13" s="9"/>
      <x:c r="C13" s="43"/>
      <x:c r="D13" s="9"/>
      <x:c r="E13" s="9"/>
      <x:c r="F13" s="6" t="str">
        <x:f>IF(E13="","",VLOOKUP(E13,Courses!$A$5:$G$10,2,FALSE))</x:f>
      </x:c>
      <x:c r="G13" s="47" t="str">
        <x:f>IF(E13="","",VLOOKUP(E13,Courses!$A$5:$G$10,3,FALSE))</x:f>
      </x:c>
      <x:c r="H13" s="9"/>
      <x:c r="I13" s="9"/>
      <x:c r="J13" s="51" t="str">
        <x:f>IF(I13="","",VLOOKUP(E13,Courses!$A$5:$G$10,6,FALSE))</x:f>
      </x:c>
      <x:c r="K13" s="47" t="n">
        <x:f>IF(AND(H13="Paid",I13&lt;&gt;""),G13*J13,0)</x:f>
        <x:v>0</x:v>
      </x:c>
      <x:c r="L13" s="9"/>
      <x:c r="M13" s="9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9"/>
      <x:c r="B14" s="9"/>
      <x:c r="C14" s="43"/>
      <x:c r="D14" s="9"/>
      <x:c r="E14" s="9"/>
      <x:c r="F14" s="6" t="str">
        <x:f>IF(E14="","",VLOOKUP(E14,Courses!$A$5:$G$10,2,FALSE))</x:f>
      </x:c>
      <x:c r="G14" s="47" t="str">
        <x:f>IF(E14="","",VLOOKUP(E14,Courses!$A$5:$G$10,3,FALSE))</x:f>
      </x:c>
      <x:c r="H14" s="9"/>
      <x:c r="I14" s="9"/>
      <x:c r="J14" s="51" t="str">
        <x:f>IF(I14="","",VLOOKUP(E14,Courses!$A$5:$G$10,6,FALSE))</x:f>
      </x:c>
      <x:c r="K14" s="47" t="n">
        <x:f>IF(AND(H14="Paid",I14&lt;&gt;""),G14*J14,0)</x:f>
        <x:v>0</x:v>
      </x:c>
      <x:c r="L14" s="9"/>
      <x:c r="M14" s="9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9"/>
      <x:c r="B15" s="9"/>
      <x:c r="C15" s="43"/>
      <x:c r="D15" s="9"/>
      <x:c r="E15" s="9"/>
      <x:c r="F15" s="6" t="str">
        <x:f>IF(E15="","",VLOOKUP(E15,Courses!$A$5:$G$10,2,FALSE))</x:f>
      </x:c>
      <x:c r="G15" s="47" t="str">
        <x:f>IF(E15="","",VLOOKUP(E15,Courses!$A$5:$G$10,3,FALSE))</x:f>
      </x:c>
      <x:c r="H15" s="9"/>
      <x:c r="I15" s="9"/>
      <x:c r="J15" s="51" t="str">
        <x:f>IF(I15="","",VLOOKUP(E15,Courses!$A$5:$G$10,6,FALSE))</x:f>
      </x:c>
      <x:c r="K15" s="47" t="n">
        <x:f>IF(AND(H15="Paid",I15&lt;&gt;""),G15*J15,0)</x:f>
        <x:v>0</x:v>
      </x:c>
      <x:c r="L15" s="9"/>
      <x:c r="M15" s="9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9"/>
      <x:c r="B16" s="9"/>
      <x:c r="C16" s="43"/>
      <x:c r="D16" s="9"/>
      <x:c r="E16" s="9"/>
      <x:c r="F16" s="6" t="str">
        <x:f>IF(E16="","",VLOOKUP(E16,Courses!$A$5:$G$10,2,FALSE))</x:f>
      </x:c>
      <x:c r="G16" s="47" t="str">
        <x:f>IF(E16="","",VLOOKUP(E16,Courses!$A$5:$G$10,3,FALSE))</x:f>
      </x:c>
      <x:c r="H16" s="9"/>
      <x:c r="I16" s="9"/>
      <x:c r="J16" s="51" t="str">
        <x:f>IF(I16="","",VLOOKUP(E16,Courses!$A$5:$G$10,6,FALSE))</x:f>
      </x:c>
      <x:c r="K16" s="47" t="n">
        <x:f>IF(AND(H16="Paid",I16&lt;&gt;""),G16*J16,0)</x:f>
        <x:v>0</x:v>
      </x:c>
      <x:c r="L16" s="9"/>
      <x:c r="M16" s="9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9"/>
      <x:c r="B17" s="9"/>
      <x:c r="C17" s="43"/>
      <x:c r="D17" s="9"/>
      <x:c r="E17" s="9"/>
      <x:c r="F17" s="6" t="str">
        <x:f>IF(E17="","",VLOOKUP(E17,Courses!$A$5:$G$10,2,FALSE))</x:f>
      </x:c>
      <x:c r="G17" s="47" t="str">
        <x:f>IF(E17="","",VLOOKUP(E17,Courses!$A$5:$G$10,3,FALSE))</x:f>
      </x:c>
      <x:c r="H17" s="9"/>
      <x:c r="I17" s="9"/>
      <x:c r="J17" s="51" t="str">
        <x:f>IF(I17="","",VLOOKUP(E17,Courses!$A$5:$G$10,6,FALSE))</x:f>
      </x:c>
      <x:c r="K17" s="47" t="n">
        <x:f>IF(AND(H17="Paid",I17&lt;&gt;""),G17*J17,0)</x:f>
        <x:v>0</x:v>
      </x:c>
      <x:c r="L17" s="9"/>
      <x:c r="M17" s="9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9"/>
      <x:c r="B18" s="9"/>
      <x:c r="C18" s="43"/>
      <x:c r="D18" s="9"/>
      <x:c r="E18" s="9"/>
      <x:c r="F18" s="6" t="str">
        <x:f>IF(E18="","",VLOOKUP(E18,Courses!$A$5:$G$10,2,FALSE))</x:f>
      </x:c>
      <x:c r="G18" s="47" t="str">
        <x:f>IF(E18="","",VLOOKUP(E18,Courses!$A$5:$G$10,3,FALSE))</x:f>
      </x:c>
      <x:c r="H18" s="9"/>
      <x:c r="I18" s="9"/>
      <x:c r="J18" s="51" t="str">
        <x:f>IF(I18="","",VLOOKUP(E18,Courses!$A$5:$G$10,6,FALSE))</x:f>
      </x:c>
      <x:c r="K18" s="47" t="n">
        <x:f>IF(AND(H18="Paid",I18&lt;&gt;""),G18*J18,0)</x:f>
        <x:v>0</x:v>
      </x:c>
      <x:c r="L18" s="9"/>
      <x:c r="M18" s="9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9"/>
      <x:c r="B19" s="9"/>
      <x:c r="C19" s="43"/>
      <x:c r="D19" s="9"/>
      <x:c r="E19" s="9"/>
      <x:c r="F19" s="6" t="str">
        <x:f>IF(E19="","",VLOOKUP(E19,Courses!$A$5:$G$10,2,FALSE))</x:f>
      </x:c>
      <x:c r="G19" s="47" t="str">
        <x:f>IF(E19="","",VLOOKUP(E19,Courses!$A$5:$G$10,3,FALSE))</x:f>
      </x:c>
      <x:c r="H19" s="9"/>
      <x:c r="I19" s="9"/>
      <x:c r="J19" s="51" t="str">
        <x:f>IF(I19="","",VLOOKUP(E19,Courses!$A$5:$G$10,6,FALSE))</x:f>
      </x:c>
      <x:c r="K19" s="47" t="n">
        <x:f>IF(AND(H19="Paid",I19&lt;&gt;""),G19*J19,0)</x:f>
        <x:v>0</x:v>
      </x:c>
      <x:c r="L19" s="9"/>
      <x:c r="M19" s="9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9"/>
      <x:c r="B20" s="9"/>
      <x:c r="C20" s="43"/>
      <x:c r="D20" s="9"/>
      <x:c r="E20" s="9"/>
      <x:c r="F20" s="6" t="str">
        <x:f>IF(E20="","",VLOOKUP(E20,Courses!$A$5:$G$10,2,FALSE))</x:f>
      </x:c>
      <x:c r="G20" s="47" t="str">
        <x:f>IF(E20="","",VLOOKUP(E20,Courses!$A$5:$G$10,3,FALSE))</x:f>
      </x:c>
      <x:c r="H20" s="9"/>
      <x:c r="I20" s="9"/>
      <x:c r="J20" s="51" t="str">
        <x:f>IF(I20="","",VLOOKUP(E20,Courses!$A$5:$G$10,6,FALSE))</x:f>
      </x:c>
      <x:c r="K20" s="47" t="n">
        <x:f>IF(AND(H20="Paid",I20&lt;&gt;""),G20*J20,0)</x:f>
        <x:v>0</x:v>
      </x:c>
      <x:c r="L20" s="9"/>
      <x:c r="M20" s="9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9"/>
      <x:c r="B21" s="9"/>
      <x:c r="C21" s="43"/>
      <x:c r="D21" s="9"/>
      <x:c r="E21" s="9"/>
      <x:c r="F21" s="6" t="str">
        <x:f>IF(E21="","",VLOOKUP(E21,Courses!$A$5:$G$10,2,FALSE))</x:f>
      </x:c>
      <x:c r="G21" s="47" t="str">
        <x:f>IF(E21="","",VLOOKUP(E21,Courses!$A$5:$G$10,3,FALSE))</x:f>
      </x:c>
      <x:c r="H21" s="9"/>
      <x:c r="I21" s="9"/>
      <x:c r="J21" s="51" t="str">
        <x:f>IF(I21="","",VLOOKUP(E21,Courses!$A$5:$G$10,6,FALSE))</x:f>
      </x:c>
      <x:c r="K21" s="47" t="n">
        <x:f>IF(AND(H21="Paid",I21&lt;&gt;""),G21*J21,0)</x:f>
        <x:v>0</x:v>
      </x:c>
      <x:c r="L21" s="9"/>
      <x:c r="M21" s="9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9"/>
      <x:c r="B22" s="9"/>
      <x:c r="C22" s="43"/>
      <x:c r="D22" s="9"/>
      <x:c r="E22" s="9"/>
      <x:c r="F22" s="6" t="str">
        <x:f>IF(E22="","",VLOOKUP(E22,Courses!$A$5:$G$10,2,FALSE))</x:f>
      </x:c>
      <x:c r="G22" s="47" t="str">
        <x:f>IF(E22="","",VLOOKUP(E22,Courses!$A$5:$G$10,3,FALSE))</x:f>
      </x:c>
      <x:c r="H22" s="9"/>
      <x:c r="I22" s="9"/>
      <x:c r="J22" s="51" t="str">
        <x:f>IF(I22="","",VLOOKUP(E22,Courses!$A$5:$G$10,6,FALSE))</x:f>
      </x:c>
      <x:c r="K22" s="47" t="n">
        <x:f>IF(AND(H22="Paid",I22&lt;&gt;""),G22*J22,0)</x:f>
        <x:v>0</x:v>
      </x:c>
      <x:c r="L22" s="9"/>
      <x:c r="M22" s="9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9"/>
      <x:c r="B23" s="9"/>
      <x:c r="C23" s="43"/>
      <x:c r="D23" s="9"/>
      <x:c r="E23" s="9"/>
      <x:c r="F23" s="6" t="str">
        <x:f>IF(E23="","",VLOOKUP(E23,Courses!$A$5:$G$10,2,FALSE))</x:f>
      </x:c>
      <x:c r="G23" s="47" t="str">
        <x:f>IF(E23="","",VLOOKUP(E23,Courses!$A$5:$G$10,3,FALSE))</x:f>
      </x:c>
      <x:c r="H23" s="9"/>
      <x:c r="I23" s="9"/>
      <x:c r="J23" s="51" t="str">
        <x:f>IF(I23="","",VLOOKUP(E23,Courses!$A$5:$G$10,6,FALSE))</x:f>
      </x:c>
      <x:c r="K23" s="47" t="n">
        <x:f>IF(AND(H23="Paid",I23&lt;&gt;""),G23*J23,0)</x:f>
        <x:v>0</x:v>
      </x:c>
      <x:c r="L23" s="9"/>
      <x:c r="M23" s="9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9"/>
      <x:c r="B24" s="9"/>
      <x:c r="C24" s="43"/>
      <x:c r="D24" s="9"/>
      <x:c r="E24" s="9"/>
      <x:c r="F24" s="6" t="str">
        <x:f>IF(E24="","",VLOOKUP(E24,Courses!$A$5:$G$10,2,FALSE))</x:f>
      </x:c>
      <x:c r="G24" s="47" t="str">
        <x:f>IF(E24="","",VLOOKUP(E24,Courses!$A$5:$G$10,3,FALSE))</x:f>
      </x:c>
      <x:c r="H24" s="9"/>
      <x:c r="I24" s="9"/>
      <x:c r="J24" s="51" t="str">
        <x:f>IF(I24="","",VLOOKUP(E24,Courses!$A$5:$G$10,6,FALSE))</x:f>
      </x:c>
      <x:c r="K24" s="47" t="n">
        <x:f>IF(AND(H24="Paid",I24&lt;&gt;""),G24*J24,0)</x:f>
        <x:v>0</x:v>
      </x:c>
      <x:c r="L24" s="9"/>
      <x:c r="M24" s="9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9"/>
      <x:c r="B25" s="9"/>
      <x:c r="C25" s="43"/>
      <x:c r="D25" s="9"/>
      <x:c r="E25" s="9"/>
      <x:c r="F25" s="6" t="str">
        <x:f>IF(E25="","",VLOOKUP(E25,Courses!$A$5:$G$10,2,FALSE))</x:f>
      </x:c>
      <x:c r="G25" s="47" t="str">
        <x:f>IF(E25="","",VLOOKUP(E25,Courses!$A$5:$G$10,3,FALSE))</x:f>
      </x:c>
      <x:c r="H25" s="9"/>
      <x:c r="I25" s="9"/>
      <x:c r="J25" s="51" t="str">
        <x:f>IF(I25="","",VLOOKUP(E25,Courses!$A$5:$G$10,6,FALSE))</x:f>
      </x:c>
      <x:c r="K25" s="47" t="n">
        <x:f>IF(AND(H25="Paid",I25&lt;&gt;""),G25*J25,0)</x:f>
        <x:v>0</x:v>
      </x:c>
      <x:c r="L25" s="9"/>
      <x:c r="M25" s="9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9"/>
      <x:c r="B26" s="9"/>
      <x:c r="C26" s="43"/>
      <x:c r="D26" s="9"/>
      <x:c r="E26" s="9"/>
      <x:c r="F26" s="6" t="str">
        <x:f>IF(E26="","",VLOOKUP(E26,Courses!$A$5:$G$10,2,FALSE))</x:f>
      </x:c>
      <x:c r="G26" s="47" t="str">
        <x:f>IF(E26="","",VLOOKUP(E26,Courses!$A$5:$G$10,3,FALSE))</x:f>
      </x:c>
      <x:c r="H26" s="9"/>
      <x:c r="I26" s="9"/>
      <x:c r="J26" s="51" t="str">
        <x:f>IF(I26="","",VLOOKUP(E26,Courses!$A$5:$G$10,6,FALSE))</x:f>
      </x:c>
      <x:c r="K26" s="47" t="n">
        <x:f>IF(AND(H26="Paid",I26&lt;&gt;""),G26*J26,0)</x:f>
        <x:v>0</x:v>
      </x:c>
      <x:c r="L26" s="9"/>
      <x:c r="M26" s="9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9"/>
      <x:c r="B27" s="9"/>
      <x:c r="C27" s="43"/>
      <x:c r="D27" s="9"/>
      <x:c r="E27" s="9"/>
      <x:c r="F27" s="6" t="str">
        <x:f>IF(E27="","",VLOOKUP(E27,Courses!$A$5:$G$10,2,FALSE))</x:f>
      </x:c>
      <x:c r="G27" s="47" t="str">
        <x:f>IF(E27="","",VLOOKUP(E27,Courses!$A$5:$G$10,3,FALSE))</x:f>
      </x:c>
      <x:c r="H27" s="9"/>
      <x:c r="I27" s="9"/>
      <x:c r="J27" s="51" t="str">
        <x:f>IF(I27="","",VLOOKUP(E27,Courses!$A$5:$G$10,6,FALSE))</x:f>
      </x:c>
      <x:c r="K27" s="47" t="n">
        <x:f>IF(AND(H27="Paid",I27&lt;&gt;""),G27*J27,0)</x:f>
        <x:v>0</x:v>
      </x:c>
      <x:c r="L27" s="9"/>
      <x:c r="M27" s="9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9"/>
      <x:c r="B28" s="9"/>
      <x:c r="C28" s="43"/>
      <x:c r="D28" s="9"/>
      <x:c r="E28" s="9"/>
      <x:c r="F28" s="6" t="str">
        <x:f>IF(E28="","",VLOOKUP(E28,Courses!$A$5:$G$10,2,FALSE))</x:f>
      </x:c>
      <x:c r="G28" s="47" t="str">
        <x:f>IF(E28="","",VLOOKUP(E28,Courses!$A$5:$G$10,3,FALSE))</x:f>
      </x:c>
      <x:c r="H28" s="9"/>
      <x:c r="I28" s="9"/>
      <x:c r="J28" s="51" t="str">
        <x:f>IF(I28="","",VLOOKUP(E28,Courses!$A$5:$G$10,6,FALSE))</x:f>
      </x:c>
      <x:c r="K28" s="47" t="n">
        <x:f>IF(AND(H28="Paid",I28&lt;&gt;""),G28*J28,0)</x:f>
        <x:v>0</x:v>
      </x:c>
      <x:c r="L28" s="9"/>
      <x:c r="M28" s="9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9"/>
      <x:c r="B29" s="9"/>
      <x:c r="C29" s="43"/>
      <x:c r="D29" s="9"/>
      <x:c r="E29" s="9"/>
      <x:c r="F29" s="6" t="str">
        <x:f>IF(E29="","",VLOOKUP(E29,Courses!$A$5:$G$10,2,FALSE))</x:f>
      </x:c>
      <x:c r="G29" s="47" t="str">
        <x:f>IF(E29="","",VLOOKUP(E29,Courses!$A$5:$G$10,3,FALSE))</x:f>
      </x:c>
      <x:c r="H29" s="9"/>
      <x:c r="I29" s="9"/>
      <x:c r="J29" s="51" t="str">
        <x:f>IF(I29="","",VLOOKUP(E29,Courses!$A$5:$G$10,6,FALSE))</x:f>
      </x:c>
      <x:c r="K29" s="47" t="n">
        <x:f>IF(AND(H29="Paid",I29&lt;&gt;""),G29*J29,0)</x:f>
        <x:v>0</x:v>
      </x:c>
      <x:c r="L29" s="9"/>
      <x:c r="M29" s="9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9"/>
      <x:c r="B30" s="9"/>
      <x:c r="C30" s="43"/>
      <x:c r="D30" s="9"/>
      <x:c r="E30" s="9"/>
      <x:c r="F30" s="6" t="str">
        <x:f>IF(E30="","",VLOOKUP(E30,Courses!$A$5:$G$10,2,FALSE))</x:f>
      </x:c>
      <x:c r="G30" s="47" t="str">
        <x:f>IF(E30="","",VLOOKUP(E30,Courses!$A$5:$G$10,3,FALSE))</x:f>
      </x:c>
      <x:c r="H30" s="9"/>
      <x:c r="I30" s="9"/>
      <x:c r="J30" s="51" t="str">
        <x:f>IF(I30="","",VLOOKUP(E30,Courses!$A$5:$G$10,6,FALSE))</x:f>
      </x:c>
      <x:c r="K30" s="47" t="n">
        <x:f>IF(AND(H30="Paid",I30&lt;&gt;""),G30*J30,0)</x:f>
        <x:v>0</x:v>
      </x:c>
      <x:c r="L30" s="9"/>
      <x:c r="M30" s="9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9"/>
      <x:c r="B31" s="9"/>
      <x:c r="C31" s="43"/>
      <x:c r="D31" s="9"/>
      <x:c r="E31" s="9"/>
      <x:c r="F31" s="6" t="str">
        <x:f>IF(E31="","",VLOOKUP(E31,Courses!$A$5:$G$10,2,FALSE))</x:f>
      </x:c>
      <x:c r="G31" s="47" t="str">
        <x:f>IF(E31="","",VLOOKUP(E31,Courses!$A$5:$G$10,3,FALSE))</x:f>
      </x:c>
      <x:c r="H31" s="9"/>
      <x:c r="I31" s="9"/>
      <x:c r="J31" s="51" t="str">
        <x:f>IF(I31="","",VLOOKUP(E31,Courses!$A$5:$G$10,6,FALSE))</x:f>
      </x:c>
      <x:c r="K31" s="47" t="n">
        <x:f>IF(AND(H31="Paid",I31&lt;&gt;""),G31*J31,0)</x:f>
        <x:v>0</x:v>
      </x:c>
      <x:c r="L31" s="9"/>
      <x:c r="M31" s="9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9"/>
      <x:c r="B32" s="9"/>
      <x:c r="C32" s="43"/>
      <x:c r="D32" s="9"/>
      <x:c r="E32" s="9"/>
      <x:c r="F32" s="6" t="str">
        <x:f>IF(E32="","",VLOOKUP(E32,Courses!$A$5:$G$10,2,FALSE))</x:f>
      </x:c>
      <x:c r="G32" s="47" t="str">
        <x:f>IF(E32="","",VLOOKUP(E32,Courses!$A$5:$G$10,3,FALSE))</x:f>
      </x:c>
      <x:c r="H32" s="9"/>
      <x:c r="I32" s="9"/>
      <x:c r="J32" s="51" t="str">
        <x:f>IF(I32="","",VLOOKUP(E32,Courses!$A$5:$G$10,6,FALSE))</x:f>
      </x:c>
      <x:c r="K32" s="47" t="n">
        <x:f>IF(AND(H32="Paid",I32&lt;&gt;""),G32*J32,0)</x:f>
        <x:v>0</x:v>
      </x:c>
      <x:c r="L32" s="9"/>
      <x:c r="M32" s="9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9"/>
      <x:c r="B33" s="9"/>
      <x:c r="C33" s="43"/>
      <x:c r="D33" s="9"/>
      <x:c r="E33" s="9"/>
      <x:c r="F33" s="6" t="str">
        <x:f>IF(E33="","",VLOOKUP(E33,Courses!$A$5:$G$10,2,FALSE))</x:f>
      </x:c>
      <x:c r="G33" s="47" t="str">
        <x:f>IF(E33="","",VLOOKUP(E33,Courses!$A$5:$G$10,3,FALSE))</x:f>
      </x:c>
      <x:c r="H33" s="9"/>
      <x:c r="I33" s="9"/>
      <x:c r="J33" s="51" t="str">
        <x:f>IF(I33="","",VLOOKUP(E33,Courses!$A$5:$G$10,6,FALSE))</x:f>
      </x:c>
      <x:c r="K33" s="47" t="n">
        <x:f>IF(AND(H33="Paid",I33&lt;&gt;""),G33*J33,0)</x:f>
        <x:v>0</x:v>
      </x:c>
      <x:c r="L33" s="9"/>
      <x:c r="M33" s="9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9"/>
      <x:c r="B34" s="9"/>
      <x:c r="C34" s="43"/>
      <x:c r="D34" s="9"/>
      <x:c r="E34" s="9"/>
      <x:c r="F34" s="6" t="str">
        <x:f>IF(E34="","",VLOOKUP(E34,Courses!$A$5:$G$10,2,FALSE))</x:f>
      </x:c>
      <x:c r="G34" s="47" t="str">
        <x:f>IF(E34="","",VLOOKUP(E34,Courses!$A$5:$G$10,3,FALSE))</x:f>
      </x:c>
      <x:c r="H34" s="9"/>
      <x:c r="I34" s="9"/>
      <x:c r="J34" s="51" t="str">
        <x:f>IF(I34="","",VLOOKUP(E34,Courses!$A$5:$G$10,6,FALSE))</x:f>
      </x:c>
      <x:c r="K34" s="47" t="n">
        <x:f>IF(AND(H34="Paid",I34&lt;&gt;""),G34*J34,0)</x:f>
        <x:v>0</x:v>
      </x:c>
      <x:c r="L34" s="9"/>
      <x:c r="M34" s="9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9"/>
      <x:c r="B35" s="9"/>
      <x:c r="C35" s="43"/>
      <x:c r="D35" s="9"/>
      <x:c r="E35" s="9"/>
      <x:c r="F35" s="6" t="str">
        <x:f>IF(E35="","",VLOOKUP(E35,Courses!$A$5:$G$10,2,FALSE))</x:f>
      </x:c>
      <x:c r="G35" s="47" t="str">
        <x:f>IF(E35="","",VLOOKUP(E35,Courses!$A$5:$G$10,3,FALSE))</x:f>
      </x:c>
      <x:c r="H35" s="9"/>
      <x:c r="I35" s="9"/>
      <x:c r="J35" s="51" t="str">
        <x:f>IF(I35="","",VLOOKUP(E35,Courses!$A$5:$G$10,6,FALSE))</x:f>
      </x:c>
      <x:c r="K35" s="47" t="n">
        <x:f>IF(AND(H35="Paid",I35&lt;&gt;""),G35*J35,0)</x:f>
        <x:v>0</x:v>
      </x:c>
      <x:c r="L35" s="9"/>
      <x:c r="M35" s="9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9"/>
      <x:c r="B36" s="9"/>
      <x:c r="C36" s="43"/>
      <x:c r="D36" s="9"/>
      <x:c r="E36" s="9"/>
      <x:c r="F36" s="6" t="str">
        <x:f>IF(E36="","",VLOOKUP(E36,Courses!$A$5:$G$10,2,FALSE))</x:f>
      </x:c>
      <x:c r="G36" s="47" t="str">
        <x:f>IF(E36="","",VLOOKUP(E36,Courses!$A$5:$G$10,3,FALSE))</x:f>
      </x:c>
      <x:c r="H36" s="9"/>
      <x:c r="I36" s="9"/>
      <x:c r="J36" s="51" t="str">
        <x:f>IF(I36="","",VLOOKUP(E36,Courses!$A$5:$G$10,6,FALSE))</x:f>
      </x:c>
      <x:c r="K36" s="47" t="n">
        <x:f>IF(AND(H36="Paid",I36&lt;&gt;""),G36*J36,0)</x:f>
        <x:v>0</x:v>
      </x:c>
      <x:c r="L36" s="9"/>
      <x:c r="M36" s="9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9"/>
      <x:c r="B37" s="9"/>
      <x:c r="C37" s="43"/>
      <x:c r="D37" s="9"/>
      <x:c r="E37" s="9"/>
      <x:c r="F37" s="6" t="str">
        <x:f>IF(E37="","",VLOOKUP(E37,Courses!$A$5:$G$10,2,FALSE))</x:f>
      </x:c>
      <x:c r="G37" s="47" t="str">
        <x:f>IF(E37="","",VLOOKUP(E37,Courses!$A$5:$G$10,3,FALSE))</x:f>
      </x:c>
      <x:c r="H37" s="9"/>
      <x:c r="I37" s="9"/>
      <x:c r="J37" s="51" t="str">
        <x:f>IF(I37="","",VLOOKUP(E37,Courses!$A$5:$G$10,6,FALSE))</x:f>
      </x:c>
      <x:c r="K37" s="47" t="n">
        <x:f>IF(AND(H37="Paid",I37&lt;&gt;""),G37*J37,0)</x:f>
        <x:v>0</x:v>
      </x:c>
      <x:c r="L37" s="9"/>
      <x:c r="M37" s="9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9"/>
      <x:c r="B38" s="9"/>
      <x:c r="C38" s="43"/>
      <x:c r="D38" s="9"/>
      <x:c r="E38" s="9"/>
      <x:c r="F38" s="6" t="str">
        <x:f>IF(E38="","",VLOOKUP(E38,Courses!$A$5:$G$10,2,FALSE))</x:f>
      </x:c>
      <x:c r="G38" s="47" t="str">
        <x:f>IF(E38="","",VLOOKUP(E38,Courses!$A$5:$G$10,3,FALSE))</x:f>
      </x:c>
      <x:c r="H38" s="9"/>
      <x:c r="I38" s="9"/>
      <x:c r="J38" s="51" t="str">
        <x:f>IF(I38="","",VLOOKUP(E38,Courses!$A$5:$G$10,6,FALSE))</x:f>
      </x:c>
      <x:c r="K38" s="47" t="n">
        <x:f>IF(AND(H38="Paid",I38&lt;&gt;""),G38*J38,0)</x:f>
        <x:v>0</x:v>
      </x:c>
      <x:c r="L38" s="9"/>
      <x:c r="M38" s="9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9"/>
      <x:c r="B39" s="9"/>
      <x:c r="C39" s="43"/>
      <x:c r="D39" s="9"/>
      <x:c r="E39" s="9"/>
      <x:c r="F39" s="6" t="str">
        <x:f>IF(E39="","",VLOOKUP(E39,Courses!$A$5:$G$10,2,FALSE))</x:f>
      </x:c>
      <x:c r="G39" s="47" t="str">
        <x:f>IF(E39="","",VLOOKUP(E39,Courses!$A$5:$G$10,3,FALSE))</x:f>
      </x:c>
      <x:c r="H39" s="9"/>
      <x:c r="I39" s="9"/>
      <x:c r="J39" s="51" t="str">
        <x:f>IF(I39="","",VLOOKUP(E39,Courses!$A$5:$G$10,6,FALSE))</x:f>
      </x:c>
      <x:c r="K39" s="47" t="n">
        <x:f>IF(AND(H39="Paid",I39&lt;&gt;""),G39*J39,0)</x:f>
        <x:v>0</x:v>
      </x:c>
      <x:c r="L39" s="9"/>
      <x:c r="M39" s="9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9"/>
      <x:c r="B40" s="9"/>
      <x:c r="C40" s="43"/>
      <x:c r="D40" s="9"/>
      <x:c r="E40" s="9"/>
      <x:c r="F40" s="6" t="str">
        <x:f>IF(E40="","",VLOOKUP(E40,Courses!$A$5:$G$10,2,FALSE))</x:f>
      </x:c>
      <x:c r="G40" s="47" t="str">
        <x:f>IF(E40="","",VLOOKUP(E40,Courses!$A$5:$G$10,3,FALSE))</x:f>
      </x:c>
      <x:c r="H40" s="9"/>
      <x:c r="I40" s="9"/>
      <x:c r="J40" s="51" t="str">
        <x:f>IF(I40="","",VLOOKUP(E40,Courses!$A$5:$G$10,6,FALSE))</x:f>
      </x:c>
      <x:c r="K40" s="47" t="n">
        <x:f>IF(AND(H40="Paid",I40&lt;&gt;""),G40*J40,0)</x:f>
        <x:v>0</x:v>
      </x:c>
      <x:c r="L40" s="9"/>
      <x:c r="M40" s="9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9"/>
      <x:c r="B41" s="9"/>
      <x:c r="C41" s="43"/>
      <x:c r="D41" s="9"/>
      <x:c r="E41" s="9"/>
      <x:c r="F41" s="6" t="str">
        <x:f>IF(E41="","",VLOOKUP(E41,Courses!$A$5:$G$10,2,FALSE))</x:f>
      </x:c>
      <x:c r="G41" s="47" t="str">
        <x:f>IF(E41="","",VLOOKUP(E41,Courses!$A$5:$G$10,3,FALSE))</x:f>
      </x:c>
      <x:c r="H41" s="9"/>
      <x:c r="I41" s="9"/>
      <x:c r="J41" s="51" t="str">
        <x:f>IF(I41="","",VLOOKUP(E41,Courses!$A$5:$G$10,6,FALSE))</x:f>
      </x:c>
      <x:c r="K41" s="47" t="n">
        <x:f>IF(AND(H41="Paid",I41&lt;&gt;""),G41*J41,0)</x:f>
        <x:v>0</x:v>
      </x:c>
      <x:c r="L41" s="9"/>
      <x:c r="M41" s="9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9"/>
      <x:c r="B42" s="9"/>
      <x:c r="C42" s="43"/>
      <x:c r="D42" s="9"/>
      <x:c r="E42" s="9"/>
      <x:c r="F42" s="6" t="str">
        <x:f>IF(E42="","",VLOOKUP(E42,Courses!$A$5:$G$10,2,FALSE))</x:f>
      </x:c>
      <x:c r="G42" s="47" t="str">
        <x:f>IF(E42="","",VLOOKUP(E42,Courses!$A$5:$G$10,3,FALSE))</x:f>
      </x:c>
      <x:c r="H42" s="9"/>
      <x:c r="I42" s="9"/>
      <x:c r="J42" s="51" t="str">
        <x:f>IF(I42="","",VLOOKUP(E42,Courses!$A$5:$G$10,6,FALSE))</x:f>
      </x:c>
      <x:c r="K42" s="47" t="n">
        <x:f>IF(AND(H42="Paid",I42&lt;&gt;""),G42*J42,0)</x:f>
        <x:v>0</x:v>
      </x:c>
      <x:c r="L42" s="9"/>
      <x:c r="M42" s="9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9"/>
      <x:c r="B43" s="9"/>
      <x:c r="C43" s="43"/>
      <x:c r="D43" s="9"/>
      <x:c r="E43" s="9"/>
      <x:c r="F43" s="6" t="str">
        <x:f>IF(E43="","",VLOOKUP(E43,Courses!$A$5:$G$10,2,FALSE))</x:f>
      </x:c>
      <x:c r="G43" s="47" t="str">
        <x:f>IF(E43="","",VLOOKUP(E43,Courses!$A$5:$G$10,3,FALSE))</x:f>
      </x:c>
      <x:c r="H43" s="9"/>
      <x:c r="I43" s="9"/>
      <x:c r="J43" s="51" t="str">
        <x:f>IF(I43="","",VLOOKUP(E43,Courses!$A$5:$G$10,6,FALSE))</x:f>
      </x:c>
      <x:c r="K43" s="47" t="n">
        <x:f>IF(AND(H43="Paid",I43&lt;&gt;""),G43*J43,0)</x:f>
        <x:v>0</x:v>
      </x:c>
      <x:c r="L43" s="9"/>
      <x:c r="M43" s="9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9"/>
      <x:c r="B44" s="9"/>
      <x:c r="C44" s="43"/>
      <x:c r="D44" s="9"/>
      <x:c r="E44" s="9"/>
      <x:c r="F44" s="6" t="str">
        <x:f>IF(E44="","",VLOOKUP(E44,Courses!$A$5:$G$10,2,FALSE))</x:f>
      </x:c>
      <x:c r="G44" s="47" t="str">
        <x:f>IF(E44="","",VLOOKUP(E44,Courses!$A$5:$G$10,3,FALSE))</x:f>
      </x:c>
      <x:c r="H44" s="9"/>
      <x:c r="I44" s="9"/>
      <x:c r="J44" s="51" t="str">
        <x:f>IF(I44="","",VLOOKUP(E44,Courses!$A$5:$G$10,6,FALSE))</x:f>
      </x:c>
      <x:c r="K44" s="47" t="n">
        <x:f>IF(AND(H44="Paid",I44&lt;&gt;""),G44*J44,0)</x:f>
        <x:v>0</x:v>
      </x:c>
      <x:c r="L44" s="9"/>
      <x:c r="M44" s="9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9"/>
      <x:c r="B45" s="9"/>
      <x:c r="C45" s="43"/>
      <x:c r="D45" s="9"/>
      <x:c r="E45" s="9"/>
      <x:c r="F45" s="6" t="str">
        <x:f>IF(E45="","",VLOOKUP(E45,Courses!$A$5:$G$10,2,FALSE))</x:f>
      </x:c>
      <x:c r="G45" s="47" t="str">
        <x:f>IF(E45="","",VLOOKUP(E45,Courses!$A$5:$G$10,3,FALSE))</x:f>
      </x:c>
      <x:c r="H45" s="9"/>
      <x:c r="I45" s="9"/>
      <x:c r="J45" s="51" t="str">
        <x:f>IF(I45="","",VLOOKUP(E45,Courses!$A$5:$G$10,6,FALSE))</x:f>
      </x:c>
      <x:c r="K45" s="47" t="n">
        <x:f>IF(AND(H45="Paid",I45&lt;&gt;""),G45*J45,0)</x:f>
        <x:v>0</x:v>
      </x:c>
      <x:c r="L45" s="9"/>
      <x:c r="M45" s="9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9"/>
      <x:c r="B46" s="9"/>
      <x:c r="C46" s="43"/>
      <x:c r="D46" s="9"/>
      <x:c r="E46" s="9"/>
      <x:c r="F46" s="6" t="str">
        <x:f>IF(E46="","",VLOOKUP(E46,Courses!$A$5:$G$10,2,FALSE))</x:f>
      </x:c>
      <x:c r="G46" s="47" t="str">
        <x:f>IF(E46="","",VLOOKUP(E46,Courses!$A$5:$G$10,3,FALSE))</x:f>
      </x:c>
      <x:c r="H46" s="9"/>
      <x:c r="I46" s="9"/>
      <x:c r="J46" s="51" t="str">
        <x:f>IF(I46="","",VLOOKUP(E46,Courses!$A$5:$G$10,6,FALSE))</x:f>
      </x:c>
      <x:c r="K46" s="47" t="n">
        <x:f>IF(AND(H46="Paid",I46&lt;&gt;""),G46*J46,0)</x:f>
        <x:v>0</x:v>
      </x:c>
      <x:c r="L46" s="9"/>
      <x:c r="M46" s="9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9"/>
      <x:c r="B47" s="9"/>
      <x:c r="C47" s="43"/>
      <x:c r="D47" s="9"/>
      <x:c r="E47" s="9"/>
      <x:c r="F47" s="6" t="str">
        <x:f>IF(E47="","",VLOOKUP(E47,Courses!$A$5:$G$10,2,FALSE))</x:f>
      </x:c>
      <x:c r="G47" s="47" t="str">
        <x:f>IF(E47="","",VLOOKUP(E47,Courses!$A$5:$G$10,3,FALSE))</x:f>
      </x:c>
      <x:c r="H47" s="9"/>
      <x:c r="I47" s="9"/>
      <x:c r="J47" s="51" t="str">
        <x:f>IF(I47="","",VLOOKUP(E47,Courses!$A$5:$G$10,6,FALSE))</x:f>
      </x:c>
      <x:c r="K47" s="47" t="n">
        <x:f>IF(AND(H47="Paid",I47&lt;&gt;""),G47*J47,0)</x:f>
        <x:v>0</x:v>
      </x:c>
      <x:c r="L47" s="9"/>
      <x:c r="M47" s="9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9"/>
      <x:c r="B48" s="9"/>
      <x:c r="C48" s="43"/>
      <x:c r="D48" s="9"/>
      <x:c r="E48" s="9"/>
      <x:c r="F48" s="6" t="str">
        <x:f>IF(E48="","",VLOOKUP(E48,Courses!$A$5:$G$10,2,FALSE))</x:f>
      </x:c>
      <x:c r="G48" s="47" t="str">
        <x:f>IF(E48="","",VLOOKUP(E48,Courses!$A$5:$G$10,3,FALSE))</x:f>
      </x:c>
      <x:c r="H48" s="9"/>
      <x:c r="I48" s="9"/>
      <x:c r="J48" s="51" t="str">
        <x:f>IF(I48="","",VLOOKUP(E48,Courses!$A$5:$G$10,6,FALSE))</x:f>
      </x:c>
      <x:c r="K48" s="47" t="n">
        <x:f>IF(AND(H48="Paid",I48&lt;&gt;""),G48*J48,0)</x:f>
        <x:v>0</x:v>
      </x:c>
      <x:c r="L48" s="9"/>
      <x:c r="M48" s="9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9"/>
      <x:c r="B49" s="9"/>
      <x:c r="C49" s="43"/>
      <x:c r="D49" s="9"/>
      <x:c r="E49" s="9"/>
      <x:c r="F49" s="6" t="str">
        <x:f>IF(E49="","",VLOOKUP(E49,Courses!$A$5:$G$10,2,FALSE))</x:f>
      </x:c>
      <x:c r="G49" s="47" t="str">
        <x:f>IF(E49="","",VLOOKUP(E49,Courses!$A$5:$G$10,3,FALSE))</x:f>
      </x:c>
      <x:c r="H49" s="9"/>
      <x:c r="I49" s="9"/>
      <x:c r="J49" s="51" t="str">
        <x:f>IF(I49="","",VLOOKUP(E49,Courses!$A$5:$G$10,6,FALSE))</x:f>
      </x:c>
      <x:c r="K49" s="47" t="n">
        <x:f>IF(AND(H49="Paid",I49&lt;&gt;""),G49*J49,0)</x:f>
        <x:v>0</x:v>
      </x:c>
      <x:c r="L49" s="9"/>
      <x:c r="M49" s="9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9"/>
      <x:c r="B50" s="9"/>
      <x:c r="C50" s="43"/>
      <x:c r="D50" s="9"/>
      <x:c r="E50" s="9"/>
      <x:c r="F50" s="6" t="str">
        <x:f>IF(E50="","",VLOOKUP(E50,Courses!$A$5:$G$10,2,FALSE))</x:f>
      </x:c>
      <x:c r="G50" s="47" t="str">
        <x:f>IF(E50="","",VLOOKUP(E50,Courses!$A$5:$G$10,3,FALSE))</x:f>
      </x:c>
      <x:c r="H50" s="9"/>
      <x:c r="I50" s="9"/>
      <x:c r="J50" s="51" t="str">
        <x:f>IF(I50="","",VLOOKUP(E50,Courses!$A$5:$G$10,6,FALSE))</x:f>
      </x:c>
      <x:c r="K50" s="47" t="n">
        <x:f>IF(AND(H50="Paid",I50&lt;&gt;""),G50*J50,0)</x:f>
        <x:v>0</x:v>
      </x:c>
      <x:c r="L50" s="9"/>
      <x:c r="M50" s="9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9"/>
      <x:c r="B51" s="9"/>
      <x:c r="C51" s="43"/>
      <x:c r="D51" s="9"/>
      <x:c r="E51" s="9"/>
      <x:c r="F51" s="6" t="str">
        <x:f>IF(E51="","",VLOOKUP(E51,Courses!$A$5:$G$10,2,FALSE))</x:f>
      </x:c>
      <x:c r="G51" s="47" t="str">
        <x:f>IF(E51="","",VLOOKUP(E51,Courses!$A$5:$G$10,3,FALSE))</x:f>
      </x:c>
      <x:c r="H51" s="9"/>
      <x:c r="I51" s="9"/>
      <x:c r="J51" s="51" t="str">
        <x:f>IF(I51="","",VLOOKUP(E51,Courses!$A$5:$G$10,6,FALSE))</x:f>
      </x:c>
      <x:c r="K51" s="47" t="n">
        <x:f>IF(AND(H51="Paid",I51&lt;&gt;""),G51*J51,0)</x:f>
        <x:v>0</x:v>
      </x:c>
      <x:c r="L51" s="9"/>
      <x:c r="M51" s="9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9"/>
      <x:c r="B52" s="9"/>
      <x:c r="C52" s="43"/>
      <x:c r="D52" s="9"/>
      <x:c r="E52" s="9"/>
      <x:c r="F52" s="6" t="str">
        <x:f>IF(E52="","",VLOOKUP(E52,Courses!$A$5:$G$10,2,FALSE))</x:f>
      </x:c>
      <x:c r="G52" s="47" t="str">
        <x:f>IF(E52="","",VLOOKUP(E52,Courses!$A$5:$G$10,3,FALSE))</x:f>
      </x:c>
      <x:c r="H52" s="9"/>
      <x:c r="I52" s="9"/>
      <x:c r="J52" s="51" t="str">
        <x:f>IF(I52="","",VLOOKUP(E52,Courses!$A$5:$G$10,6,FALSE))</x:f>
      </x:c>
      <x:c r="K52" s="47" t="n">
        <x:f>IF(AND(H52="Paid",I52&lt;&gt;""),G52*J52,0)</x:f>
        <x:v>0</x:v>
      </x:c>
      <x:c r="L52" s="9"/>
      <x:c r="M52" s="9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9"/>
      <x:c r="B53" s="9"/>
      <x:c r="C53" s="43"/>
      <x:c r="D53" s="9"/>
      <x:c r="E53" s="9"/>
      <x:c r="F53" s="6" t="str">
        <x:f>IF(E53="","",VLOOKUP(E53,Courses!$A$5:$G$10,2,FALSE))</x:f>
      </x:c>
      <x:c r="G53" s="47" t="str">
        <x:f>IF(E53="","",VLOOKUP(E53,Courses!$A$5:$G$10,3,FALSE))</x:f>
      </x:c>
      <x:c r="H53" s="9"/>
      <x:c r="I53" s="9"/>
      <x:c r="J53" s="51" t="str">
        <x:f>IF(I53="","",VLOOKUP(E53,Courses!$A$5:$G$10,6,FALSE))</x:f>
      </x:c>
      <x:c r="K53" s="47" t="n">
        <x:f>IF(AND(H53="Paid",I53&lt;&gt;""),G53*J53,0)</x:f>
        <x:v>0</x:v>
      </x:c>
      <x:c r="L53" s="9"/>
      <x:c r="M53" s="9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9"/>
      <x:c r="B54" s="9"/>
      <x:c r="C54" s="43"/>
      <x:c r="D54" s="9"/>
      <x:c r="E54" s="9"/>
      <x:c r="F54" s="6" t="str">
        <x:f>IF(E54="","",VLOOKUP(E54,Courses!$A$5:$G$10,2,FALSE))</x:f>
      </x:c>
      <x:c r="G54" s="47" t="str">
        <x:f>IF(E54="","",VLOOKUP(E54,Courses!$A$5:$G$10,3,FALSE))</x:f>
      </x:c>
      <x:c r="H54" s="9"/>
      <x:c r="I54" s="9"/>
      <x:c r="J54" s="51" t="str">
        <x:f>IF(I54="","",VLOOKUP(E54,Courses!$A$5:$G$10,6,FALSE))</x:f>
      </x:c>
      <x:c r="K54" s="47" t="n">
        <x:f>IF(AND(H54="Paid",I54&lt;&gt;""),G54*J54,0)</x:f>
        <x:v>0</x:v>
      </x:c>
      <x:c r="L54" s="9"/>
      <x:c r="M54" s="9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9"/>
      <x:c r="B55" s="9"/>
      <x:c r="C55" s="43"/>
      <x:c r="D55" s="9"/>
      <x:c r="E55" s="9"/>
      <x:c r="F55" s="6" t="str">
        <x:f>IF(E55="","",VLOOKUP(E55,Courses!$A$5:$G$10,2,FALSE))</x:f>
      </x:c>
      <x:c r="G55" s="47" t="str">
        <x:f>IF(E55="","",VLOOKUP(E55,Courses!$A$5:$G$10,3,FALSE))</x:f>
      </x:c>
      <x:c r="H55" s="9"/>
      <x:c r="I55" s="9"/>
      <x:c r="J55" s="51" t="str">
        <x:f>IF(I55="","",VLOOKUP(E55,Courses!$A$5:$G$10,6,FALSE))</x:f>
      </x:c>
      <x:c r="K55" s="47" t="n">
        <x:f>IF(AND(H55="Paid",I55&lt;&gt;""),G55*J55,0)</x:f>
        <x:v>0</x:v>
      </x:c>
      <x:c r="L55" s="9"/>
      <x:c r="M55" s="9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9"/>
      <x:c r="B56" s="9"/>
      <x:c r="C56" s="43"/>
      <x:c r="D56" s="9"/>
      <x:c r="E56" s="9"/>
      <x:c r="F56" s="6" t="str">
        <x:f>IF(E56="","",VLOOKUP(E56,Courses!$A$5:$G$10,2,FALSE))</x:f>
      </x:c>
      <x:c r="G56" s="47" t="str">
        <x:f>IF(E56="","",VLOOKUP(E56,Courses!$A$5:$G$10,3,FALSE))</x:f>
      </x:c>
      <x:c r="H56" s="9"/>
      <x:c r="I56" s="9"/>
      <x:c r="J56" s="51" t="str">
        <x:f>IF(I56="","",VLOOKUP(E56,Courses!$A$5:$G$10,6,FALSE))</x:f>
      </x:c>
      <x:c r="K56" s="47" t="n">
        <x:f>IF(AND(H56="Paid",I56&lt;&gt;""),G56*J56,0)</x:f>
        <x:v>0</x:v>
      </x:c>
      <x:c r="L56" s="9"/>
      <x:c r="M56" s="9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9"/>
      <x:c r="B57" s="9"/>
      <x:c r="C57" s="43"/>
      <x:c r="D57" s="9"/>
      <x:c r="E57" s="9"/>
      <x:c r="F57" s="6" t="str">
        <x:f>IF(E57="","",VLOOKUP(E57,Courses!$A$5:$G$10,2,FALSE))</x:f>
      </x:c>
      <x:c r="G57" s="47" t="str">
        <x:f>IF(E57="","",VLOOKUP(E57,Courses!$A$5:$G$10,3,FALSE))</x:f>
      </x:c>
      <x:c r="H57" s="9"/>
      <x:c r="I57" s="9"/>
      <x:c r="J57" s="51" t="str">
        <x:f>IF(I57="","",VLOOKUP(E57,Courses!$A$5:$G$10,6,FALSE))</x:f>
      </x:c>
      <x:c r="K57" s="47" t="n">
        <x:f>IF(AND(H57="Paid",I57&lt;&gt;""),G57*J57,0)</x:f>
        <x:v>0</x:v>
      </x:c>
      <x:c r="L57" s="9"/>
      <x:c r="M57" s="9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9"/>
      <x:c r="B58" s="9"/>
      <x:c r="C58" s="43"/>
      <x:c r="D58" s="9"/>
      <x:c r="E58" s="9"/>
      <x:c r="F58" s="6" t="str">
        <x:f>IF(E58="","",VLOOKUP(E58,Courses!$A$5:$G$10,2,FALSE))</x:f>
      </x:c>
      <x:c r="G58" s="47" t="str">
        <x:f>IF(E58="","",VLOOKUP(E58,Courses!$A$5:$G$10,3,FALSE))</x:f>
      </x:c>
      <x:c r="H58" s="9"/>
      <x:c r="I58" s="9"/>
      <x:c r="J58" s="51" t="str">
        <x:f>IF(I58="","",VLOOKUP(E58,Courses!$A$5:$G$10,6,FALSE))</x:f>
      </x:c>
      <x:c r="K58" s="47" t="n">
        <x:f>IF(AND(H58="Paid",I58&lt;&gt;""),G58*J58,0)</x:f>
        <x:v>0</x:v>
      </x:c>
      <x:c r="L58" s="9"/>
      <x:c r="M58" s="9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9"/>
      <x:c r="B59" s="9"/>
      <x:c r="C59" s="43"/>
      <x:c r="D59" s="9"/>
      <x:c r="E59" s="9"/>
      <x:c r="F59" s="6" t="str">
        <x:f>IF(E59="","",VLOOKUP(E59,Courses!$A$5:$G$10,2,FALSE))</x:f>
      </x:c>
      <x:c r="G59" s="47" t="str">
        <x:f>IF(E59="","",VLOOKUP(E59,Courses!$A$5:$G$10,3,FALSE))</x:f>
      </x:c>
      <x:c r="H59" s="9"/>
      <x:c r="I59" s="9"/>
      <x:c r="J59" s="51" t="str">
        <x:f>IF(I59="","",VLOOKUP(E59,Courses!$A$5:$G$10,6,FALSE))</x:f>
      </x:c>
      <x:c r="K59" s="47" t="n">
        <x:f>IF(AND(H59="Paid",I59&lt;&gt;""),G59*J59,0)</x:f>
        <x:v>0</x:v>
      </x:c>
      <x:c r="L59" s="9"/>
      <x:c r="M59" s="9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9"/>
      <x:c r="B60" s="9"/>
      <x:c r="C60" s="43"/>
      <x:c r="D60" s="9"/>
      <x:c r="E60" s="9"/>
      <x:c r="F60" s="6" t="str">
        <x:f>IF(E60="","",VLOOKUP(E60,Courses!$A$5:$G$10,2,FALSE))</x:f>
      </x:c>
      <x:c r="G60" s="47" t="str">
        <x:f>IF(E60="","",VLOOKUP(E60,Courses!$A$5:$G$10,3,FALSE))</x:f>
      </x:c>
      <x:c r="H60" s="9"/>
      <x:c r="I60" s="9"/>
      <x:c r="J60" s="51" t="str">
        <x:f>IF(I60="","",VLOOKUP(E60,Courses!$A$5:$G$10,6,FALSE))</x:f>
      </x:c>
      <x:c r="K60" s="47" t="n">
        <x:f>IF(AND(H60="Paid",I60&lt;&gt;""),G60*J60,0)</x:f>
        <x:v>0</x:v>
      </x:c>
      <x:c r="L60" s="9"/>
      <x:c r="M60" s="9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9"/>
      <x:c r="B61" s="9"/>
      <x:c r="C61" s="43"/>
      <x:c r="D61" s="9"/>
      <x:c r="E61" s="9"/>
      <x:c r="F61" s="6" t="str">
        <x:f>IF(E61="","",VLOOKUP(E61,Courses!$A$5:$G$10,2,FALSE))</x:f>
      </x:c>
      <x:c r="G61" s="47" t="str">
        <x:f>IF(E61="","",VLOOKUP(E61,Courses!$A$5:$G$10,3,FALSE))</x:f>
      </x:c>
      <x:c r="H61" s="9"/>
      <x:c r="I61" s="9"/>
      <x:c r="J61" s="51" t="str">
        <x:f>IF(I61="","",VLOOKUP(E61,Courses!$A$5:$G$10,6,FALSE))</x:f>
      </x:c>
      <x:c r="K61" s="47" t="n">
        <x:f>IF(AND(H61="Paid",I61&lt;&gt;""),G61*J61,0)</x:f>
        <x:v>0</x:v>
      </x:c>
      <x:c r="L61" s="9"/>
      <x:c r="M61" s="9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9"/>
      <x:c r="B62" s="9"/>
      <x:c r="C62" s="43"/>
      <x:c r="D62" s="9"/>
      <x:c r="E62" s="9"/>
      <x:c r="F62" s="6" t="str">
        <x:f>IF(E62="","",VLOOKUP(E62,Courses!$A$5:$G$10,2,FALSE))</x:f>
      </x:c>
      <x:c r="G62" s="47" t="str">
        <x:f>IF(E62="","",VLOOKUP(E62,Courses!$A$5:$G$10,3,FALSE))</x:f>
      </x:c>
      <x:c r="H62" s="9"/>
      <x:c r="I62" s="9"/>
      <x:c r="J62" s="51" t="str">
        <x:f>IF(I62="","",VLOOKUP(E62,Courses!$A$5:$G$10,6,FALSE))</x:f>
      </x:c>
      <x:c r="K62" s="47" t="n">
        <x:f>IF(AND(H62="Paid",I62&lt;&gt;""),G62*J62,0)</x:f>
        <x:v>0</x:v>
      </x:c>
      <x:c r="L62" s="9"/>
      <x:c r="M62" s="9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9"/>
      <x:c r="B63" s="9"/>
      <x:c r="C63" s="43"/>
      <x:c r="D63" s="9"/>
      <x:c r="E63" s="9"/>
      <x:c r="F63" s="6" t="str">
        <x:f>IF(E63="","",VLOOKUP(E63,Courses!$A$5:$G$10,2,FALSE))</x:f>
      </x:c>
      <x:c r="G63" s="47" t="str">
        <x:f>IF(E63="","",VLOOKUP(E63,Courses!$A$5:$G$10,3,FALSE))</x:f>
      </x:c>
      <x:c r="H63" s="9"/>
      <x:c r="I63" s="9"/>
      <x:c r="J63" s="51" t="str">
        <x:f>IF(I63="","",VLOOKUP(E63,Courses!$A$5:$G$10,6,FALSE))</x:f>
      </x:c>
      <x:c r="K63" s="47" t="n">
        <x:f>IF(AND(H63="Paid",I63&lt;&gt;""),G63*J63,0)</x:f>
        <x:v>0</x:v>
      </x:c>
      <x:c r="L63" s="9"/>
      <x:c r="M63" s="9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9"/>
      <x:c r="B64" s="9"/>
      <x:c r="C64" s="43"/>
      <x:c r="D64" s="9"/>
      <x:c r="E64" s="9"/>
      <x:c r="F64" s="6" t="str">
        <x:f>IF(E64="","",VLOOKUP(E64,Courses!$A$5:$G$10,2,FALSE))</x:f>
      </x:c>
      <x:c r="G64" s="47" t="str">
        <x:f>IF(E64="","",VLOOKUP(E64,Courses!$A$5:$G$10,3,FALSE))</x:f>
      </x:c>
      <x:c r="H64" s="9"/>
      <x:c r="I64" s="9"/>
      <x:c r="J64" s="51" t="str">
        <x:f>IF(I64="","",VLOOKUP(E64,Courses!$A$5:$G$10,6,FALSE))</x:f>
      </x:c>
      <x:c r="K64" s="47" t="n">
        <x:f>IF(AND(H64="Paid",I64&lt;&gt;""),G64*J64,0)</x:f>
        <x:v>0</x:v>
      </x:c>
      <x:c r="L64" s="9"/>
      <x:c r="M64" s="9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9"/>
      <x:c r="B65" s="9"/>
      <x:c r="C65" s="43"/>
      <x:c r="D65" s="9"/>
      <x:c r="E65" s="9"/>
      <x:c r="F65" s="6" t="str">
        <x:f>IF(E65="","",VLOOKUP(E65,Courses!$A$5:$G$10,2,FALSE))</x:f>
      </x:c>
      <x:c r="G65" s="47" t="str">
        <x:f>IF(E65="","",VLOOKUP(E65,Courses!$A$5:$G$10,3,FALSE))</x:f>
      </x:c>
      <x:c r="H65" s="9"/>
      <x:c r="I65" s="9"/>
      <x:c r="J65" s="51" t="str">
        <x:f>IF(I65="","",VLOOKUP(E65,Courses!$A$5:$G$10,6,FALSE))</x:f>
      </x:c>
      <x:c r="K65" s="47" t="n">
        <x:f>IF(AND(H65="Paid",I65&lt;&gt;""),G65*J65,0)</x:f>
        <x:v>0</x:v>
      </x:c>
      <x:c r="L65" s="9"/>
      <x:c r="M65" s="9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9"/>
      <x:c r="B66" s="9"/>
      <x:c r="C66" s="43"/>
      <x:c r="D66" s="9"/>
      <x:c r="E66" s="9"/>
      <x:c r="F66" s="6" t="str">
        <x:f>IF(E66="","",VLOOKUP(E66,Courses!$A$5:$G$10,2,FALSE))</x:f>
      </x:c>
      <x:c r="G66" s="47" t="str">
        <x:f>IF(E66="","",VLOOKUP(E66,Courses!$A$5:$G$10,3,FALSE))</x:f>
      </x:c>
      <x:c r="H66" s="9"/>
      <x:c r="I66" s="9"/>
      <x:c r="J66" s="51" t="str">
        <x:f>IF(I66="","",VLOOKUP(E66,Courses!$A$5:$G$10,6,FALSE))</x:f>
      </x:c>
      <x:c r="K66" s="47" t="n">
        <x:f>IF(AND(H66="Paid",I66&lt;&gt;""),G66*J66,0)</x:f>
        <x:v>0</x:v>
      </x:c>
      <x:c r="L66" s="9"/>
      <x:c r="M66" s="9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9"/>
      <x:c r="B67" s="9"/>
      <x:c r="C67" s="43"/>
      <x:c r="D67" s="9"/>
      <x:c r="E67" s="9"/>
      <x:c r="F67" s="6" t="str">
        <x:f>IF(E67="","",VLOOKUP(E67,Courses!$A$5:$G$10,2,FALSE))</x:f>
      </x:c>
      <x:c r="G67" s="47" t="str">
        <x:f>IF(E67="","",VLOOKUP(E67,Courses!$A$5:$G$10,3,FALSE))</x:f>
      </x:c>
      <x:c r="H67" s="9"/>
      <x:c r="I67" s="9"/>
      <x:c r="J67" s="51" t="str">
        <x:f>IF(I67="","",VLOOKUP(E67,Courses!$A$5:$G$10,6,FALSE))</x:f>
      </x:c>
      <x:c r="K67" s="47" t="n">
        <x:f>IF(AND(H67="Paid",I67&lt;&gt;""),G67*J67,0)</x:f>
        <x:v>0</x:v>
      </x:c>
      <x:c r="L67" s="9"/>
      <x:c r="M67" s="9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9"/>
      <x:c r="B68" s="9"/>
      <x:c r="C68" s="43"/>
      <x:c r="D68" s="9"/>
      <x:c r="E68" s="9"/>
      <x:c r="F68" s="6" t="str">
        <x:f>IF(E68="","",VLOOKUP(E68,Courses!$A$5:$G$10,2,FALSE))</x:f>
      </x:c>
      <x:c r="G68" s="47" t="str">
        <x:f>IF(E68="","",VLOOKUP(E68,Courses!$A$5:$G$10,3,FALSE))</x:f>
      </x:c>
      <x:c r="H68" s="9"/>
      <x:c r="I68" s="9"/>
      <x:c r="J68" s="51" t="str">
        <x:f>IF(I68="","",VLOOKUP(E68,Courses!$A$5:$G$10,6,FALSE))</x:f>
      </x:c>
      <x:c r="K68" s="47" t="n">
        <x:f>IF(AND(H68="Paid",I68&lt;&gt;""),G68*J68,0)</x:f>
        <x:v>0</x:v>
      </x:c>
      <x:c r="L68" s="9"/>
      <x:c r="M68" s="9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9"/>
      <x:c r="B69" s="9"/>
      <x:c r="C69" s="43"/>
      <x:c r="D69" s="9"/>
      <x:c r="E69" s="9"/>
      <x:c r="F69" s="6" t="str">
        <x:f>IF(E69="","",VLOOKUP(E69,Courses!$A$5:$G$10,2,FALSE))</x:f>
      </x:c>
      <x:c r="G69" s="47" t="str">
        <x:f>IF(E69="","",VLOOKUP(E69,Courses!$A$5:$G$10,3,FALSE))</x:f>
      </x:c>
      <x:c r="H69" s="9"/>
      <x:c r="I69" s="9"/>
      <x:c r="J69" s="51" t="str">
        <x:f>IF(I69="","",VLOOKUP(E69,Courses!$A$5:$G$10,6,FALSE))</x:f>
      </x:c>
      <x:c r="K69" s="47" t="n">
        <x:f>IF(AND(H69="Paid",I69&lt;&gt;""),G69*J69,0)</x:f>
        <x:v>0</x:v>
      </x:c>
      <x:c r="L69" s="9"/>
      <x:c r="M69" s="9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9"/>
      <x:c r="B70" s="9"/>
      <x:c r="C70" s="43"/>
      <x:c r="D70" s="9"/>
      <x:c r="E70" s="9"/>
      <x:c r="F70" s="6" t="str">
        <x:f>IF(E70="","",VLOOKUP(E70,Courses!$A$5:$G$10,2,FALSE))</x:f>
      </x:c>
      <x:c r="G70" s="47" t="str">
        <x:f>IF(E70="","",VLOOKUP(E70,Courses!$A$5:$G$10,3,FALSE))</x:f>
      </x:c>
      <x:c r="H70" s="9"/>
      <x:c r="I70" s="9"/>
      <x:c r="J70" s="51" t="str">
        <x:f>IF(I70="","",VLOOKUP(E70,Courses!$A$5:$G$10,6,FALSE))</x:f>
      </x:c>
      <x:c r="K70" s="47" t="n">
        <x:f>IF(AND(H70="Paid",I70&lt;&gt;""),G70*J70,0)</x:f>
        <x:v>0</x:v>
      </x:c>
      <x:c r="L70" s="9"/>
      <x:c r="M70" s="9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9"/>
      <x:c r="B71" s="9"/>
      <x:c r="C71" s="43"/>
      <x:c r="D71" s="9"/>
      <x:c r="E71" s="9"/>
      <x:c r="F71" s="6" t="str">
        <x:f>IF(E71="","",VLOOKUP(E71,Courses!$A$5:$G$10,2,FALSE))</x:f>
      </x:c>
      <x:c r="G71" s="47" t="str">
        <x:f>IF(E71="","",VLOOKUP(E71,Courses!$A$5:$G$10,3,FALSE))</x:f>
      </x:c>
      <x:c r="H71" s="9"/>
      <x:c r="I71" s="9"/>
      <x:c r="J71" s="51" t="str">
        <x:f>IF(I71="","",VLOOKUP(E71,Courses!$A$5:$G$10,6,FALSE))</x:f>
      </x:c>
      <x:c r="K71" s="47" t="n">
        <x:f>IF(AND(H71="Paid",I71&lt;&gt;""),G71*J71,0)</x:f>
        <x:v>0</x:v>
      </x:c>
      <x:c r="L71" s="9"/>
      <x:c r="M71" s="9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9"/>
      <x:c r="B72" s="9"/>
      <x:c r="C72" s="43"/>
      <x:c r="D72" s="9"/>
      <x:c r="E72" s="9"/>
      <x:c r="F72" s="6" t="str">
        <x:f>IF(E72="","",VLOOKUP(E72,Courses!$A$5:$G$10,2,FALSE))</x:f>
      </x:c>
      <x:c r="G72" s="47" t="str">
        <x:f>IF(E72="","",VLOOKUP(E72,Courses!$A$5:$G$10,3,FALSE))</x:f>
      </x:c>
      <x:c r="H72" s="9"/>
      <x:c r="I72" s="9"/>
      <x:c r="J72" s="51" t="str">
        <x:f>IF(I72="","",VLOOKUP(E72,Courses!$A$5:$G$10,6,FALSE))</x:f>
      </x:c>
      <x:c r="K72" s="47" t="n">
        <x:f>IF(AND(H72="Paid",I72&lt;&gt;""),G72*J72,0)</x:f>
        <x:v>0</x:v>
      </x:c>
      <x:c r="L72" s="9"/>
      <x:c r="M72" s="9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9"/>
      <x:c r="B73" s="9"/>
      <x:c r="C73" s="43"/>
      <x:c r="D73" s="9"/>
      <x:c r="E73" s="9"/>
      <x:c r="F73" s="6" t="str">
        <x:f>IF(E73="","",VLOOKUP(E73,Courses!$A$5:$G$10,2,FALSE))</x:f>
      </x:c>
      <x:c r="G73" s="47" t="str">
        <x:f>IF(E73="","",VLOOKUP(E73,Courses!$A$5:$G$10,3,FALSE))</x:f>
      </x:c>
      <x:c r="H73" s="9"/>
      <x:c r="I73" s="9"/>
      <x:c r="J73" s="51" t="str">
        <x:f>IF(I73="","",VLOOKUP(E73,Courses!$A$5:$G$10,6,FALSE))</x:f>
      </x:c>
      <x:c r="K73" s="47" t="n">
        <x:f>IF(AND(H73="Paid",I73&lt;&gt;""),G73*J73,0)</x:f>
        <x:v>0</x:v>
      </x:c>
      <x:c r="L73" s="9"/>
      <x:c r="M73" s="9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9"/>
      <x:c r="B74" s="9"/>
      <x:c r="C74" s="43"/>
      <x:c r="D74" s="9"/>
      <x:c r="E74" s="9"/>
      <x:c r="F74" s="6" t="str">
        <x:f>IF(E74="","",VLOOKUP(E74,Courses!$A$5:$G$10,2,FALSE))</x:f>
      </x:c>
      <x:c r="G74" s="47" t="str">
        <x:f>IF(E74="","",VLOOKUP(E74,Courses!$A$5:$G$10,3,FALSE))</x:f>
      </x:c>
      <x:c r="H74" s="9"/>
      <x:c r="I74" s="9"/>
      <x:c r="J74" s="51" t="str">
        <x:f>IF(I74="","",VLOOKUP(E74,Courses!$A$5:$G$10,6,FALSE))</x:f>
      </x:c>
      <x:c r="K74" s="47" t="n">
        <x:f>IF(AND(H74="Paid",I74&lt;&gt;""),G74*J74,0)</x:f>
        <x:v>0</x:v>
      </x:c>
      <x:c r="L74" s="9"/>
      <x:c r="M74" s="9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9"/>
      <x:c r="B75" s="9"/>
      <x:c r="C75" s="43"/>
      <x:c r="D75" s="9"/>
      <x:c r="E75" s="9"/>
      <x:c r="F75" s="6" t="str">
        <x:f>IF(E75="","",VLOOKUP(E75,Courses!$A$5:$G$10,2,FALSE))</x:f>
      </x:c>
      <x:c r="G75" s="47" t="str">
        <x:f>IF(E75="","",VLOOKUP(E75,Courses!$A$5:$G$10,3,FALSE))</x:f>
      </x:c>
      <x:c r="H75" s="9"/>
      <x:c r="I75" s="9"/>
      <x:c r="J75" s="51" t="str">
        <x:f>IF(I75="","",VLOOKUP(E75,Courses!$A$5:$G$10,6,FALSE))</x:f>
      </x:c>
      <x:c r="K75" s="47" t="n">
        <x:f>IF(AND(H75="Paid",I75&lt;&gt;""),G75*J75,0)</x:f>
        <x:v>0</x:v>
      </x:c>
      <x:c r="L75" s="9"/>
      <x:c r="M75" s="9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9"/>
      <x:c r="B76" s="9"/>
      <x:c r="C76" s="43"/>
      <x:c r="D76" s="9"/>
      <x:c r="E76" s="9"/>
      <x:c r="F76" s="6" t="str">
        <x:f>IF(E76="","",VLOOKUP(E76,Courses!$A$5:$G$10,2,FALSE))</x:f>
      </x:c>
      <x:c r="G76" s="47" t="str">
        <x:f>IF(E76="","",VLOOKUP(E76,Courses!$A$5:$G$10,3,FALSE))</x:f>
      </x:c>
      <x:c r="H76" s="9"/>
      <x:c r="I76" s="9"/>
      <x:c r="J76" s="51" t="str">
        <x:f>IF(I76="","",VLOOKUP(E76,Courses!$A$5:$G$10,6,FALSE))</x:f>
      </x:c>
      <x:c r="K76" s="47" t="n">
        <x:f>IF(AND(H76="Paid",I76&lt;&gt;""),G76*J76,0)</x:f>
        <x:v>0</x:v>
      </x:c>
      <x:c r="L76" s="9"/>
      <x:c r="M76" s="9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9"/>
      <x:c r="B77" s="9"/>
      <x:c r="C77" s="43"/>
      <x:c r="D77" s="9"/>
      <x:c r="E77" s="9"/>
      <x:c r="F77" s="6" t="str">
        <x:f>IF(E77="","",VLOOKUP(E77,Courses!$A$5:$G$10,2,FALSE))</x:f>
      </x:c>
      <x:c r="G77" s="47" t="str">
        <x:f>IF(E77="","",VLOOKUP(E77,Courses!$A$5:$G$10,3,FALSE))</x:f>
      </x:c>
      <x:c r="H77" s="9"/>
      <x:c r="I77" s="9"/>
      <x:c r="J77" s="51" t="str">
        <x:f>IF(I77="","",VLOOKUP(E77,Courses!$A$5:$G$10,6,FALSE))</x:f>
      </x:c>
      <x:c r="K77" s="47" t="n">
        <x:f>IF(AND(H77="Paid",I77&lt;&gt;""),G77*J77,0)</x:f>
        <x:v>0</x:v>
      </x:c>
      <x:c r="L77" s="9"/>
      <x:c r="M77" s="9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9"/>
      <x:c r="B78" s="9"/>
      <x:c r="C78" s="43"/>
      <x:c r="D78" s="9"/>
      <x:c r="E78" s="9"/>
      <x:c r="F78" s="6" t="str">
        <x:f>IF(E78="","",VLOOKUP(E78,Courses!$A$5:$G$10,2,FALSE))</x:f>
      </x:c>
      <x:c r="G78" s="47" t="str">
        <x:f>IF(E78="","",VLOOKUP(E78,Courses!$A$5:$G$10,3,FALSE))</x:f>
      </x:c>
      <x:c r="H78" s="9"/>
      <x:c r="I78" s="9"/>
      <x:c r="J78" s="51" t="str">
        <x:f>IF(I78="","",VLOOKUP(E78,Courses!$A$5:$G$10,6,FALSE))</x:f>
      </x:c>
      <x:c r="K78" s="47" t="n">
        <x:f>IF(AND(H78="Paid",I78&lt;&gt;""),G78*J78,0)</x:f>
        <x:v>0</x:v>
      </x:c>
      <x:c r="L78" s="9"/>
      <x:c r="M78" s="9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9"/>
      <x:c r="B79" s="9"/>
      <x:c r="C79" s="43"/>
      <x:c r="D79" s="9"/>
      <x:c r="E79" s="9"/>
      <x:c r="F79" s="6" t="str">
        <x:f>IF(E79="","",VLOOKUP(E79,Courses!$A$5:$G$10,2,FALSE))</x:f>
      </x:c>
      <x:c r="G79" s="47" t="str">
        <x:f>IF(E79="","",VLOOKUP(E79,Courses!$A$5:$G$10,3,FALSE))</x:f>
      </x:c>
      <x:c r="H79" s="9"/>
      <x:c r="I79" s="9"/>
      <x:c r="J79" s="51" t="str">
        <x:f>IF(I79="","",VLOOKUP(E79,Courses!$A$5:$G$10,6,FALSE))</x:f>
      </x:c>
      <x:c r="K79" s="47" t="n">
        <x:f>IF(AND(H79="Paid",I79&lt;&gt;""),G79*J79,0)</x:f>
        <x:v>0</x:v>
      </x:c>
      <x:c r="L79" s="9"/>
      <x:c r="M79" s="9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9"/>
      <x:c r="B80" s="9"/>
      <x:c r="C80" s="43"/>
      <x:c r="D80" s="9"/>
      <x:c r="E80" s="9"/>
      <x:c r="F80" s="6" t="str">
        <x:f>IF(E80="","",VLOOKUP(E80,Courses!$A$5:$G$10,2,FALSE))</x:f>
      </x:c>
      <x:c r="G80" s="47" t="str">
        <x:f>IF(E80="","",VLOOKUP(E80,Courses!$A$5:$G$10,3,FALSE))</x:f>
      </x:c>
      <x:c r="H80" s="9"/>
      <x:c r="I80" s="9"/>
      <x:c r="J80" s="51" t="str">
        <x:f>IF(I80="","",VLOOKUP(E80,Courses!$A$5:$G$10,6,FALSE))</x:f>
      </x:c>
      <x:c r="K80" s="47" t="n">
        <x:f>IF(AND(H80="Paid",I80&lt;&gt;""),G80*J80,0)</x:f>
        <x:v>0</x:v>
      </x:c>
      <x:c r="L80" s="9"/>
      <x:c r="M80" s="9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9"/>
      <x:c r="B81" s="9"/>
      <x:c r="C81" s="43"/>
      <x:c r="D81" s="9"/>
      <x:c r="E81" s="9"/>
      <x:c r="F81" s="6" t="str">
        <x:f>IF(E81="","",VLOOKUP(E81,Courses!$A$5:$G$10,2,FALSE))</x:f>
      </x:c>
      <x:c r="G81" s="47" t="str">
        <x:f>IF(E81="","",VLOOKUP(E81,Courses!$A$5:$G$10,3,FALSE))</x:f>
      </x:c>
      <x:c r="H81" s="9"/>
      <x:c r="I81" s="9"/>
      <x:c r="J81" s="51" t="str">
        <x:f>IF(I81="","",VLOOKUP(E81,Courses!$A$5:$G$10,6,FALSE))</x:f>
      </x:c>
      <x:c r="K81" s="47" t="n">
        <x:f>IF(AND(H81="Paid",I81&lt;&gt;""),G81*J81,0)</x:f>
        <x:v>0</x:v>
      </x:c>
      <x:c r="L81" s="9"/>
      <x:c r="M81" s="9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9"/>
      <x:c r="B82" s="9"/>
      <x:c r="C82" s="43"/>
      <x:c r="D82" s="9"/>
      <x:c r="E82" s="9"/>
      <x:c r="F82" s="6" t="str">
        <x:f>IF(E82="","",VLOOKUP(E82,Courses!$A$5:$G$10,2,FALSE))</x:f>
      </x:c>
      <x:c r="G82" s="47" t="str">
        <x:f>IF(E82="","",VLOOKUP(E82,Courses!$A$5:$G$10,3,FALSE))</x:f>
      </x:c>
      <x:c r="H82" s="9"/>
      <x:c r="I82" s="9"/>
      <x:c r="J82" s="51" t="str">
        <x:f>IF(I82="","",VLOOKUP(E82,Courses!$A$5:$G$10,6,FALSE))</x:f>
      </x:c>
      <x:c r="K82" s="47" t="n">
        <x:f>IF(AND(H82="Paid",I82&lt;&gt;""),G82*J82,0)</x:f>
        <x:v>0</x:v>
      </x:c>
      <x:c r="L82" s="9"/>
      <x:c r="M82" s="9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9"/>
      <x:c r="B83" s="9"/>
      <x:c r="C83" s="43"/>
      <x:c r="D83" s="9"/>
      <x:c r="E83" s="9"/>
      <x:c r="F83" s="6" t="str">
        <x:f>IF(E83="","",VLOOKUP(E83,Courses!$A$5:$G$10,2,FALSE))</x:f>
      </x:c>
      <x:c r="G83" s="47" t="str">
        <x:f>IF(E83="","",VLOOKUP(E83,Courses!$A$5:$G$10,3,FALSE))</x:f>
      </x:c>
      <x:c r="H83" s="9"/>
      <x:c r="I83" s="9"/>
      <x:c r="J83" s="51" t="str">
        <x:f>IF(I83="","",VLOOKUP(E83,Courses!$A$5:$G$10,6,FALSE))</x:f>
      </x:c>
      <x:c r="K83" s="47" t="n">
        <x:f>IF(AND(H83="Paid",I83&lt;&gt;""),G83*J83,0)</x:f>
        <x:v>0</x:v>
      </x:c>
      <x:c r="L83" s="9"/>
      <x:c r="M83" s="9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9"/>
      <x:c r="B84" s="9"/>
      <x:c r="C84" s="43"/>
      <x:c r="D84" s="9"/>
      <x:c r="E84" s="9"/>
      <x:c r="F84" s="6" t="str">
        <x:f>IF(E84="","",VLOOKUP(E84,Courses!$A$5:$G$10,2,FALSE))</x:f>
      </x:c>
      <x:c r="G84" s="47" t="str">
        <x:f>IF(E84="","",VLOOKUP(E84,Courses!$A$5:$G$10,3,FALSE))</x:f>
      </x:c>
      <x:c r="H84" s="9"/>
      <x:c r="I84" s="9"/>
      <x:c r="J84" s="51" t="str">
        <x:f>IF(I84="","",VLOOKUP(E84,Courses!$A$5:$G$10,6,FALSE))</x:f>
      </x:c>
      <x:c r="K84" s="47" t="n">
        <x:f>IF(AND(H84="Paid",I84&lt;&gt;""),G84*J84,0)</x:f>
        <x:v>0</x:v>
      </x:c>
      <x:c r="L84" s="9"/>
      <x:c r="M84" s="9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9"/>
      <x:c r="B85" s="9"/>
      <x:c r="C85" s="43"/>
      <x:c r="D85" s="9"/>
      <x:c r="E85" s="9"/>
      <x:c r="F85" s="6" t="str">
        <x:f>IF(E85="","",VLOOKUP(E85,Courses!$A$5:$G$10,2,FALSE))</x:f>
      </x:c>
      <x:c r="G85" s="47" t="str">
        <x:f>IF(E85="","",VLOOKUP(E85,Courses!$A$5:$G$10,3,FALSE))</x:f>
      </x:c>
      <x:c r="H85" s="9"/>
      <x:c r="I85" s="9"/>
      <x:c r="J85" s="51" t="str">
        <x:f>IF(I85="","",VLOOKUP(E85,Courses!$A$5:$G$10,6,FALSE))</x:f>
      </x:c>
      <x:c r="K85" s="47" t="n">
        <x:f>IF(AND(H85="Paid",I85&lt;&gt;""),G85*J85,0)</x:f>
        <x:v>0</x:v>
      </x:c>
      <x:c r="L85" s="9"/>
      <x:c r="M85" s="9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9"/>
      <x:c r="B86" s="9"/>
      <x:c r="C86" s="43"/>
      <x:c r="D86" s="9"/>
      <x:c r="E86" s="9"/>
      <x:c r="F86" s="6" t="str">
        <x:f>IF(E86="","",VLOOKUP(E86,Courses!$A$5:$G$10,2,FALSE))</x:f>
      </x:c>
      <x:c r="G86" s="47" t="str">
        <x:f>IF(E86="","",VLOOKUP(E86,Courses!$A$5:$G$10,3,FALSE))</x:f>
      </x:c>
      <x:c r="H86" s="9"/>
      <x:c r="I86" s="9"/>
      <x:c r="J86" s="51" t="str">
        <x:f>IF(I86="","",VLOOKUP(E86,Courses!$A$5:$G$10,6,FALSE))</x:f>
      </x:c>
      <x:c r="K86" s="47" t="n">
        <x:f>IF(AND(H86="Paid",I86&lt;&gt;""),G86*J86,0)</x:f>
        <x:v>0</x:v>
      </x:c>
      <x:c r="L86" s="9"/>
      <x:c r="M86" s="9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9"/>
      <x:c r="B87" s="9"/>
      <x:c r="C87" s="43"/>
      <x:c r="D87" s="9"/>
      <x:c r="E87" s="9"/>
      <x:c r="F87" s="6" t="str">
        <x:f>IF(E87="","",VLOOKUP(E87,Courses!$A$5:$G$10,2,FALSE))</x:f>
      </x:c>
      <x:c r="G87" s="47" t="str">
        <x:f>IF(E87="","",VLOOKUP(E87,Courses!$A$5:$G$10,3,FALSE))</x:f>
      </x:c>
      <x:c r="H87" s="9"/>
      <x:c r="I87" s="9"/>
      <x:c r="J87" s="51" t="str">
        <x:f>IF(I87="","",VLOOKUP(E87,Courses!$A$5:$G$10,6,FALSE))</x:f>
      </x:c>
      <x:c r="K87" s="47" t="n">
        <x:f>IF(AND(H87="Paid",I87&lt;&gt;""),G87*J87,0)</x:f>
        <x:v>0</x:v>
      </x:c>
      <x:c r="L87" s="9"/>
      <x:c r="M87" s="9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9"/>
      <x:c r="B88" s="9"/>
      <x:c r="C88" s="43"/>
      <x:c r="D88" s="9"/>
      <x:c r="E88" s="9"/>
      <x:c r="F88" s="6" t="str">
        <x:f>IF(E88="","",VLOOKUP(E88,Courses!$A$5:$G$10,2,FALSE))</x:f>
      </x:c>
      <x:c r="G88" s="47" t="str">
        <x:f>IF(E88="","",VLOOKUP(E88,Courses!$A$5:$G$10,3,FALSE))</x:f>
      </x:c>
      <x:c r="H88" s="9"/>
      <x:c r="I88" s="9"/>
      <x:c r="J88" s="51" t="str">
        <x:f>IF(I88="","",VLOOKUP(E88,Courses!$A$5:$G$10,6,FALSE))</x:f>
      </x:c>
      <x:c r="K88" s="47" t="n">
        <x:f>IF(AND(H88="Paid",I88&lt;&gt;""),G88*J88,0)</x:f>
        <x:v>0</x:v>
      </x:c>
      <x:c r="L88" s="9"/>
      <x:c r="M88" s="9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9"/>
      <x:c r="B89" s="9"/>
      <x:c r="C89" s="43"/>
      <x:c r="D89" s="9"/>
      <x:c r="E89" s="9"/>
      <x:c r="F89" s="6" t="str">
        <x:f>IF(E89="","",VLOOKUP(E89,Courses!$A$5:$G$10,2,FALSE))</x:f>
      </x:c>
      <x:c r="G89" s="47" t="str">
        <x:f>IF(E89="","",VLOOKUP(E89,Courses!$A$5:$G$10,3,FALSE))</x:f>
      </x:c>
      <x:c r="H89" s="9"/>
      <x:c r="I89" s="9"/>
      <x:c r="J89" s="51" t="str">
        <x:f>IF(I89="","",VLOOKUP(E89,Courses!$A$5:$G$10,6,FALSE))</x:f>
      </x:c>
      <x:c r="K89" s="47" t="n">
        <x:f>IF(AND(H89="Paid",I89&lt;&gt;""),G89*J89,0)</x:f>
        <x:v>0</x:v>
      </x:c>
      <x:c r="L89" s="9"/>
      <x:c r="M89" s="9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9"/>
      <x:c r="B90" s="9"/>
      <x:c r="C90" s="43"/>
      <x:c r="D90" s="9"/>
      <x:c r="E90" s="9"/>
      <x:c r="F90" s="6" t="str">
        <x:f>IF(E90="","",VLOOKUP(E90,Courses!$A$5:$G$10,2,FALSE))</x:f>
      </x:c>
      <x:c r="G90" s="47" t="str">
        <x:f>IF(E90="","",VLOOKUP(E90,Courses!$A$5:$G$10,3,FALSE))</x:f>
      </x:c>
      <x:c r="H90" s="9"/>
      <x:c r="I90" s="9"/>
      <x:c r="J90" s="51" t="str">
        <x:f>IF(I90="","",VLOOKUP(E90,Courses!$A$5:$G$10,6,FALSE))</x:f>
      </x:c>
      <x:c r="K90" s="47" t="n">
        <x:f>IF(AND(H90="Paid",I90&lt;&gt;""),G90*J90,0)</x:f>
        <x:v>0</x:v>
      </x:c>
      <x:c r="L90" s="9"/>
      <x:c r="M90" s="9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9"/>
      <x:c r="B91" s="9"/>
      <x:c r="C91" s="43"/>
      <x:c r="D91" s="9"/>
      <x:c r="E91" s="9"/>
      <x:c r="F91" s="6" t="str">
        <x:f>IF(E91="","",VLOOKUP(E91,Courses!$A$5:$G$10,2,FALSE))</x:f>
      </x:c>
      <x:c r="G91" s="47" t="str">
        <x:f>IF(E91="","",VLOOKUP(E91,Courses!$A$5:$G$10,3,FALSE))</x:f>
      </x:c>
      <x:c r="H91" s="9"/>
      <x:c r="I91" s="9"/>
      <x:c r="J91" s="51" t="str">
        <x:f>IF(I91="","",VLOOKUP(E91,Courses!$A$5:$G$10,6,FALSE))</x:f>
      </x:c>
      <x:c r="K91" s="47" t="n">
        <x:f>IF(AND(H91="Paid",I91&lt;&gt;""),G91*J91,0)</x:f>
        <x:v>0</x:v>
      </x:c>
      <x:c r="L91" s="9"/>
      <x:c r="M91" s="9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9"/>
      <x:c r="B92" s="9"/>
      <x:c r="C92" s="43"/>
      <x:c r="D92" s="9"/>
      <x:c r="E92" s="9"/>
      <x:c r="F92" s="6" t="str">
        <x:f>IF(E92="","",VLOOKUP(E92,Courses!$A$5:$G$10,2,FALSE))</x:f>
      </x:c>
      <x:c r="G92" s="47" t="str">
        <x:f>IF(E92="","",VLOOKUP(E92,Courses!$A$5:$G$10,3,FALSE))</x:f>
      </x:c>
      <x:c r="H92" s="9"/>
      <x:c r="I92" s="9"/>
      <x:c r="J92" s="51" t="str">
        <x:f>IF(I92="","",VLOOKUP(E92,Courses!$A$5:$G$10,6,FALSE))</x:f>
      </x:c>
      <x:c r="K92" s="47" t="n">
        <x:f>IF(AND(H92="Paid",I92&lt;&gt;""),G92*J92,0)</x:f>
        <x:v>0</x:v>
      </x:c>
      <x:c r="L92" s="9"/>
      <x:c r="M92" s="9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9"/>
      <x:c r="B93" s="9"/>
      <x:c r="C93" s="43"/>
      <x:c r="D93" s="9"/>
      <x:c r="E93" s="9"/>
      <x:c r="F93" s="6" t="str">
        <x:f>IF(E93="","",VLOOKUP(E93,Courses!$A$5:$G$10,2,FALSE))</x:f>
      </x:c>
      <x:c r="G93" s="47" t="str">
        <x:f>IF(E93="","",VLOOKUP(E93,Courses!$A$5:$G$10,3,FALSE))</x:f>
      </x:c>
      <x:c r="H93" s="9"/>
      <x:c r="I93" s="9"/>
      <x:c r="J93" s="51" t="str">
        <x:f>IF(I93="","",VLOOKUP(E93,Courses!$A$5:$G$10,6,FALSE))</x:f>
      </x:c>
      <x:c r="K93" s="47" t="n">
        <x:f>IF(AND(H93="Paid",I93&lt;&gt;""),G93*J93,0)</x:f>
        <x:v>0</x:v>
      </x:c>
      <x:c r="L93" s="9"/>
      <x:c r="M93" s="9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9"/>
      <x:c r="B94" s="9"/>
      <x:c r="C94" s="43"/>
      <x:c r="D94" s="9"/>
      <x:c r="E94" s="9"/>
      <x:c r="F94" s="6" t="str">
        <x:f>IF(E94="","",VLOOKUP(E94,Courses!$A$5:$G$10,2,FALSE))</x:f>
      </x:c>
      <x:c r="G94" s="47" t="str">
        <x:f>IF(E94="","",VLOOKUP(E94,Courses!$A$5:$G$10,3,FALSE))</x:f>
      </x:c>
      <x:c r="H94" s="9"/>
      <x:c r="I94" s="9"/>
      <x:c r="J94" s="51" t="str">
        <x:f>IF(I94="","",VLOOKUP(E94,Courses!$A$5:$G$10,6,FALSE))</x:f>
      </x:c>
      <x:c r="K94" s="47" t="n">
        <x:f>IF(AND(H94="Paid",I94&lt;&gt;""),G94*J94,0)</x:f>
        <x:v>0</x:v>
      </x:c>
      <x:c r="L94" s="9"/>
      <x:c r="M94" s="9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9"/>
      <x:c r="B95" s="9"/>
      <x:c r="C95" s="43"/>
      <x:c r="D95" s="9"/>
      <x:c r="E95" s="9"/>
      <x:c r="F95" s="6" t="str">
        <x:f>IF(E95="","",VLOOKUP(E95,Courses!$A$5:$G$10,2,FALSE))</x:f>
      </x:c>
      <x:c r="G95" s="47" t="str">
        <x:f>IF(E95="","",VLOOKUP(E95,Courses!$A$5:$G$10,3,FALSE))</x:f>
      </x:c>
      <x:c r="H95" s="9"/>
      <x:c r="I95" s="9"/>
      <x:c r="J95" s="51" t="str">
        <x:f>IF(I95="","",VLOOKUP(E95,Courses!$A$5:$G$10,6,FALSE))</x:f>
      </x:c>
      <x:c r="K95" s="47" t="n">
        <x:f>IF(AND(H95="Paid",I95&lt;&gt;""),G95*J95,0)</x:f>
        <x:v>0</x:v>
      </x:c>
      <x:c r="L95" s="9"/>
      <x:c r="M95" s="9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9"/>
      <x:c r="B96" s="9"/>
      <x:c r="C96" s="43"/>
      <x:c r="D96" s="9"/>
      <x:c r="E96" s="9"/>
      <x:c r="F96" s="6" t="str">
        <x:f>IF(E96="","",VLOOKUP(E96,Courses!$A$5:$G$10,2,FALSE))</x:f>
      </x:c>
      <x:c r="G96" s="47" t="str">
        <x:f>IF(E96="","",VLOOKUP(E96,Courses!$A$5:$G$10,3,FALSE))</x:f>
      </x:c>
      <x:c r="H96" s="9"/>
      <x:c r="I96" s="9"/>
      <x:c r="J96" s="51" t="str">
        <x:f>IF(I96="","",VLOOKUP(E96,Courses!$A$5:$G$10,6,FALSE))</x:f>
      </x:c>
      <x:c r="K96" s="47" t="n">
        <x:f>IF(AND(H96="Paid",I96&lt;&gt;""),G96*J96,0)</x:f>
        <x:v>0</x:v>
      </x:c>
      <x:c r="L96" s="9"/>
      <x:c r="M96" s="9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9"/>
      <x:c r="B97" s="9"/>
      <x:c r="C97" s="43"/>
      <x:c r="D97" s="9"/>
      <x:c r="E97" s="9"/>
      <x:c r="F97" s="6" t="str">
        <x:f>IF(E97="","",VLOOKUP(E97,Courses!$A$5:$G$10,2,FALSE))</x:f>
      </x:c>
      <x:c r="G97" s="47" t="str">
        <x:f>IF(E97="","",VLOOKUP(E97,Courses!$A$5:$G$10,3,FALSE))</x:f>
      </x:c>
      <x:c r="H97" s="9"/>
      <x:c r="I97" s="9"/>
      <x:c r="J97" s="51" t="str">
        <x:f>IF(I97="","",VLOOKUP(E97,Courses!$A$5:$G$10,6,FALSE))</x:f>
      </x:c>
      <x:c r="K97" s="47" t="n">
        <x:f>IF(AND(H97="Paid",I97&lt;&gt;""),G97*J97,0)</x:f>
        <x:v>0</x:v>
      </x:c>
      <x:c r="L97" s="9"/>
      <x:c r="M97" s="9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9"/>
      <x:c r="B98" s="9"/>
      <x:c r="C98" s="43"/>
      <x:c r="D98" s="9"/>
      <x:c r="E98" s="9"/>
      <x:c r="F98" s="6" t="str">
        <x:f>IF(E98="","",VLOOKUP(E98,Courses!$A$5:$G$10,2,FALSE))</x:f>
      </x:c>
      <x:c r="G98" s="47" t="str">
        <x:f>IF(E98="","",VLOOKUP(E98,Courses!$A$5:$G$10,3,FALSE))</x:f>
      </x:c>
      <x:c r="H98" s="9"/>
      <x:c r="I98" s="9"/>
      <x:c r="J98" s="51" t="str">
        <x:f>IF(I98="","",VLOOKUP(E98,Courses!$A$5:$G$10,6,FALSE))</x:f>
      </x:c>
      <x:c r="K98" s="47" t="n">
        <x:f>IF(AND(H98="Paid",I98&lt;&gt;""),G98*J98,0)</x:f>
        <x:v>0</x:v>
      </x:c>
      <x:c r="L98" s="9"/>
      <x:c r="M98" s="9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9"/>
      <x:c r="B99" s="9"/>
      <x:c r="C99" s="43"/>
      <x:c r="D99" s="9"/>
      <x:c r="E99" s="9"/>
      <x:c r="F99" s="6" t="str">
        <x:f>IF(E99="","",VLOOKUP(E99,Courses!$A$5:$G$10,2,FALSE))</x:f>
      </x:c>
      <x:c r="G99" s="47" t="str">
        <x:f>IF(E99="","",VLOOKUP(E99,Courses!$A$5:$G$10,3,FALSE))</x:f>
      </x:c>
      <x:c r="H99" s="9"/>
      <x:c r="I99" s="9"/>
      <x:c r="J99" s="51" t="str">
        <x:f>IF(I99="","",VLOOKUP(E99,Courses!$A$5:$G$10,6,FALSE))</x:f>
      </x:c>
      <x:c r="K99" s="47" t="n">
        <x:f>IF(AND(H99="Paid",I99&lt;&gt;""),G99*J99,0)</x:f>
        <x:v>0</x:v>
      </x:c>
      <x:c r="L99" s="9"/>
      <x:c r="M99" s="9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9"/>
      <x:c r="B100" s="9"/>
      <x:c r="C100" s="43"/>
      <x:c r="D100" s="9"/>
      <x:c r="E100" s="9"/>
      <x:c r="F100" s="6" t="str">
        <x:f>IF(E100="","",VLOOKUP(E100,Courses!$A$5:$G$10,2,FALSE))</x:f>
      </x:c>
      <x:c r="G100" s="47" t="str">
        <x:f>IF(E100="","",VLOOKUP(E100,Courses!$A$5:$G$10,3,FALSE))</x:f>
      </x:c>
      <x:c r="H100" s="9"/>
      <x:c r="I100" s="9"/>
      <x:c r="J100" s="51" t="str">
        <x:f>IF(I100="","",VLOOKUP(E100,Courses!$A$5:$G$10,6,FALSE))</x:f>
      </x:c>
      <x:c r="K100" s="47" t="n">
        <x:f>IF(AND(H100="Paid",I100&lt;&gt;""),G100*J100,0)</x:f>
        <x:v>0</x:v>
      </x:c>
      <x:c r="L100" s="9"/>
      <x:c r="M100" s="9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9"/>
      <x:c r="B101" s="9"/>
      <x:c r="C101" s="43"/>
      <x:c r="D101" s="9"/>
      <x:c r="E101" s="9"/>
      <x:c r="F101" s="6" t="str">
        <x:f>IF(E101="","",VLOOKUP(E101,Courses!$A$5:$G$10,2,FALSE))</x:f>
      </x:c>
      <x:c r="G101" s="47" t="str">
        <x:f>IF(E101="","",VLOOKUP(E101,Courses!$A$5:$G$10,3,FALSE))</x:f>
      </x:c>
      <x:c r="H101" s="9"/>
      <x:c r="I101" s="9"/>
      <x:c r="J101" s="51" t="str">
        <x:f>IF(I101="","",VLOOKUP(E101,Courses!$A$5:$G$10,6,FALSE))</x:f>
      </x:c>
      <x:c r="K101" s="47" t="n">
        <x:f>IF(AND(H101="Paid",I101&lt;&gt;""),G101*J101,0)</x:f>
        <x:v>0</x:v>
      </x:c>
      <x:c r="L101" s="9"/>
      <x:c r="M101" s="9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9"/>
      <x:c r="B102" s="9"/>
      <x:c r="C102" s="43"/>
      <x:c r="D102" s="9"/>
      <x:c r="E102" s="9"/>
      <x:c r="F102" s="6" t="str">
        <x:f>IF(E102="","",VLOOKUP(E102,Courses!$A$5:$G$10,2,FALSE))</x:f>
      </x:c>
      <x:c r="G102" s="47" t="str">
        <x:f>IF(E102="","",VLOOKUP(E102,Courses!$A$5:$G$10,3,FALSE))</x:f>
      </x:c>
      <x:c r="H102" s="9"/>
      <x:c r="I102" s="9"/>
      <x:c r="J102" s="51" t="str">
        <x:f>IF(I102="","",VLOOKUP(E102,Courses!$A$5:$G$10,6,FALSE))</x:f>
      </x:c>
      <x:c r="K102" s="47" t="n">
        <x:f>IF(AND(H102="Paid",I102&lt;&gt;""),G102*J102,0)</x:f>
        <x:v>0</x:v>
      </x:c>
      <x:c r="L102" s="9"/>
      <x:c r="M102" s="9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9"/>
      <x:c r="B103" s="9"/>
      <x:c r="C103" s="43"/>
      <x:c r="D103" s="9"/>
      <x:c r="E103" s="9"/>
      <x:c r="F103" s="6" t="str">
        <x:f>IF(E103="","",VLOOKUP(E103,Courses!$A$5:$G$10,2,FALSE))</x:f>
      </x:c>
      <x:c r="G103" s="47" t="str">
        <x:f>IF(E103="","",VLOOKUP(E103,Courses!$A$5:$G$10,3,FALSE))</x:f>
      </x:c>
      <x:c r="H103" s="9"/>
      <x:c r="I103" s="9"/>
      <x:c r="J103" s="51" t="str">
        <x:f>IF(I103="","",VLOOKUP(E103,Courses!$A$5:$G$10,6,FALSE))</x:f>
      </x:c>
      <x:c r="K103" s="47" t="n">
        <x:f>IF(AND(H103="Paid",I103&lt;&gt;""),G103*J103,0)</x:f>
        <x:v>0</x:v>
      </x:c>
      <x:c r="L103" s="9"/>
      <x:c r="M103" s="9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9"/>
      <x:c r="B104" s="9"/>
      <x:c r="C104" s="43"/>
      <x:c r="D104" s="9"/>
      <x:c r="E104" s="9"/>
      <x:c r="F104" s="6" t="str">
        <x:f>IF(E104="","",VLOOKUP(E104,Courses!$A$5:$G$10,2,FALSE))</x:f>
      </x:c>
      <x:c r="G104" s="47" t="str">
        <x:f>IF(E104="","",VLOOKUP(E104,Courses!$A$5:$G$10,3,FALSE))</x:f>
      </x:c>
      <x:c r="H104" s="9"/>
      <x:c r="I104" s="9"/>
      <x:c r="J104" s="51" t="str">
        <x:f>IF(I104="","",VLOOKUP(E104,Courses!$A$5:$G$10,6,FALSE))</x:f>
      </x:c>
      <x:c r="K104" s="47" t="n">
        <x:f>IF(AND(H104="Paid",I104&lt;&gt;""),G104*J104,0)</x:f>
        <x:v>0</x:v>
      </x:c>
      <x:c r="L104" s="9"/>
      <x:c r="M104" s="9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9"/>
      <x:c r="B105" s="9"/>
      <x:c r="C105" s="43"/>
      <x:c r="D105" s="9"/>
      <x:c r="E105" s="9"/>
      <x:c r="F105" s="6" t="str">
        <x:f>IF(E105="","",VLOOKUP(E105,Courses!$A$5:$G$10,2,FALSE))</x:f>
      </x:c>
      <x:c r="G105" s="47" t="str">
        <x:f>IF(E105="","",VLOOKUP(E105,Courses!$A$5:$G$10,3,FALSE))</x:f>
      </x:c>
      <x:c r="H105" s="9"/>
      <x:c r="I105" s="9"/>
      <x:c r="J105" s="51" t="str">
        <x:f>IF(I105="","",VLOOKUP(E105,Courses!$A$5:$G$10,6,FALSE))</x:f>
      </x:c>
      <x:c r="K105" s="47" t="n">
        <x:f>IF(AND(H105="Paid",I105&lt;&gt;""),G105*J105,0)</x:f>
        <x:v>0</x:v>
      </x:c>
      <x:c r="L105" s="9"/>
      <x:c r="M105" s="9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9"/>
      <x:c r="B106" s="9"/>
      <x:c r="C106" s="43"/>
      <x:c r="D106" s="9"/>
      <x:c r="E106" s="9"/>
      <x:c r="F106" s="6" t="str">
        <x:f>IF(E106="","",VLOOKUP(E106,Courses!$A$5:$G$10,2,FALSE))</x:f>
      </x:c>
      <x:c r="G106" s="47" t="str">
        <x:f>IF(E106="","",VLOOKUP(E106,Courses!$A$5:$G$10,3,FALSE))</x:f>
      </x:c>
      <x:c r="H106" s="9"/>
      <x:c r="I106" s="9"/>
      <x:c r="J106" s="51" t="str">
        <x:f>IF(I106="","",VLOOKUP(E106,Courses!$A$5:$G$10,6,FALSE))</x:f>
      </x:c>
      <x:c r="K106" s="47" t="n">
        <x:f>IF(AND(H106="Paid",I106&lt;&gt;""),G106*J106,0)</x:f>
        <x:v>0</x:v>
      </x:c>
      <x:c r="L106" s="9"/>
      <x:c r="M106" s="9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9"/>
      <x:c r="B107" s="9"/>
      <x:c r="C107" s="43"/>
      <x:c r="D107" s="9"/>
      <x:c r="E107" s="9"/>
      <x:c r="F107" s="6" t="str">
        <x:f>IF(E107="","",VLOOKUP(E107,Courses!$A$5:$G$10,2,FALSE))</x:f>
      </x:c>
      <x:c r="G107" s="47" t="str">
        <x:f>IF(E107="","",VLOOKUP(E107,Courses!$A$5:$G$10,3,FALSE))</x:f>
      </x:c>
      <x:c r="H107" s="9"/>
      <x:c r="I107" s="9"/>
      <x:c r="J107" s="51" t="str">
        <x:f>IF(I107="","",VLOOKUP(E107,Courses!$A$5:$G$10,6,FALSE))</x:f>
      </x:c>
      <x:c r="K107" s="47" t="n">
        <x:f>IF(AND(H107="Paid",I107&lt;&gt;""),G107*J107,0)</x:f>
        <x:v>0</x:v>
      </x:c>
      <x:c r="L107" s="9"/>
      <x:c r="M107" s="9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9"/>
      <x:c r="B108" s="9"/>
      <x:c r="C108" s="43"/>
      <x:c r="D108" s="9"/>
      <x:c r="E108" s="9"/>
      <x:c r="F108" s="6" t="str">
        <x:f>IF(E108="","",VLOOKUP(E108,Courses!$A$5:$G$10,2,FALSE))</x:f>
      </x:c>
      <x:c r="G108" s="47" t="str">
        <x:f>IF(E108="","",VLOOKUP(E108,Courses!$A$5:$G$10,3,FALSE))</x:f>
      </x:c>
      <x:c r="H108" s="9"/>
      <x:c r="I108" s="9"/>
      <x:c r="J108" s="51" t="str">
        <x:f>IF(I108="","",VLOOKUP(E108,Courses!$A$5:$G$10,6,FALSE))</x:f>
      </x:c>
      <x:c r="K108" s="47" t="n">
        <x:f>IF(AND(H108="Paid",I108&lt;&gt;""),G108*J108,0)</x:f>
        <x:v>0</x:v>
      </x:c>
      <x:c r="L108" s="9"/>
      <x:c r="M108" s="9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9"/>
      <x:c r="B109" s="9"/>
      <x:c r="C109" s="43"/>
      <x:c r="D109" s="9"/>
      <x:c r="E109" s="9"/>
      <x:c r="F109" s="6" t="str">
        <x:f>IF(E109="","",VLOOKUP(E109,Courses!$A$5:$G$10,2,FALSE))</x:f>
      </x:c>
      <x:c r="G109" s="47" t="str">
        <x:f>IF(E109="","",VLOOKUP(E109,Courses!$A$5:$G$10,3,FALSE))</x:f>
      </x:c>
      <x:c r="H109" s="9"/>
      <x:c r="I109" s="9"/>
      <x:c r="J109" s="51" t="str">
        <x:f>IF(I109="","",VLOOKUP(E109,Courses!$A$5:$G$10,6,FALSE))</x:f>
      </x:c>
      <x:c r="K109" s="47" t="n">
        <x:f>IF(AND(H109="Paid",I109&lt;&gt;""),G109*J109,0)</x:f>
        <x:v>0</x:v>
      </x:c>
      <x:c r="L109" s="9"/>
      <x:c r="M109" s="9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9"/>
      <x:c r="B110" s="9"/>
      <x:c r="C110" s="43"/>
      <x:c r="D110" s="9"/>
      <x:c r="E110" s="9"/>
      <x:c r="F110" s="6" t="str">
        <x:f>IF(E110="","",VLOOKUP(E110,Courses!$A$5:$G$10,2,FALSE))</x:f>
      </x:c>
      <x:c r="G110" s="47" t="str">
        <x:f>IF(E110="","",VLOOKUP(E110,Courses!$A$5:$G$10,3,FALSE))</x:f>
      </x:c>
      <x:c r="H110" s="9"/>
      <x:c r="I110" s="9"/>
      <x:c r="J110" s="51" t="str">
        <x:f>IF(I110="","",VLOOKUP(E110,Courses!$A$5:$G$10,6,FALSE))</x:f>
      </x:c>
      <x:c r="K110" s="47" t="n">
        <x:f>IF(AND(H110="Paid",I110&lt;&gt;""),G110*J110,0)</x:f>
        <x:v>0</x:v>
      </x:c>
      <x:c r="L110" s="9"/>
      <x:c r="M110" s="9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9"/>
      <x:c r="B111" s="9"/>
      <x:c r="C111" s="43"/>
      <x:c r="D111" s="9"/>
      <x:c r="E111" s="9"/>
      <x:c r="F111" s="6" t="str">
        <x:f>IF(E111="","",VLOOKUP(E111,Courses!$A$5:$G$10,2,FALSE))</x:f>
      </x:c>
      <x:c r="G111" s="47" t="str">
        <x:f>IF(E111="","",VLOOKUP(E111,Courses!$A$5:$G$10,3,FALSE))</x:f>
      </x:c>
      <x:c r="H111" s="9"/>
      <x:c r="I111" s="9"/>
      <x:c r="J111" s="51" t="str">
        <x:f>IF(I111="","",VLOOKUP(E111,Courses!$A$5:$G$10,6,FALSE))</x:f>
      </x:c>
      <x:c r="K111" s="47" t="n">
        <x:f>IF(AND(H111="Paid",I111&lt;&gt;""),G111*J111,0)</x:f>
        <x:v>0</x:v>
      </x:c>
      <x:c r="L111" s="9"/>
      <x:c r="M111" s="9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9"/>
      <x:c r="B112" s="9"/>
      <x:c r="C112" s="43"/>
      <x:c r="D112" s="9"/>
      <x:c r="E112" s="9"/>
      <x:c r="F112" s="6" t="str">
        <x:f>IF(E112="","",VLOOKUP(E112,Courses!$A$5:$G$10,2,FALSE))</x:f>
      </x:c>
      <x:c r="G112" s="47" t="str">
        <x:f>IF(E112="","",VLOOKUP(E112,Courses!$A$5:$G$10,3,FALSE))</x:f>
      </x:c>
      <x:c r="H112" s="9"/>
      <x:c r="I112" s="9"/>
      <x:c r="J112" s="51" t="str">
        <x:f>IF(I112="","",VLOOKUP(E112,Courses!$A$5:$G$10,6,FALSE))</x:f>
      </x:c>
      <x:c r="K112" s="47" t="n">
        <x:f>IF(AND(H112="Paid",I112&lt;&gt;""),G112*J112,0)</x:f>
        <x:v>0</x:v>
      </x:c>
      <x:c r="L112" s="9"/>
      <x:c r="M112" s="9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9"/>
      <x:c r="B113" s="9"/>
      <x:c r="C113" s="43"/>
      <x:c r="D113" s="9"/>
      <x:c r="E113" s="9"/>
      <x:c r="F113" s="6" t="str">
        <x:f>IF(E113="","",VLOOKUP(E113,Courses!$A$5:$G$10,2,FALSE))</x:f>
      </x:c>
      <x:c r="G113" s="47" t="str">
        <x:f>IF(E113="","",VLOOKUP(E113,Courses!$A$5:$G$10,3,FALSE))</x:f>
      </x:c>
      <x:c r="H113" s="9"/>
      <x:c r="I113" s="9"/>
      <x:c r="J113" s="51" t="str">
        <x:f>IF(I113="","",VLOOKUP(E113,Courses!$A$5:$G$10,6,FALSE))</x:f>
      </x:c>
      <x:c r="K113" s="47" t="n">
        <x:f>IF(AND(H113="Paid",I113&lt;&gt;""),G113*J113,0)</x:f>
        <x:v>0</x:v>
      </x:c>
      <x:c r="L113" s="9"/>
      <x:c r="M113" s="9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9"/>
      <x:c r="B114" s="9"/>
      <x:c r="C114" s="43"/>
      <x:c r="D114" s="9"/>
      <x:c r="E114" s="9"/>
      <x:c r="F114" s="6" t="str">
        <x:f>IF(E114="","",VLOOKUP(E114,Courses!$A$5:$G$10,2,FALSE))</x:f>
      </x:c>
      <x:c r="G114" s="47" t="str">
        <x:f>IF(E114="","",VLOOKUP(E114,Courses!$A$5:$G$10,3,FALSE))</x:f>
      </x:c>
      <x:c r="H114" s="9"/>
      <x:c r="I114" s="9"/>
      <x:c r="J114" s="51" t="str">
        <x:f>IF(I114="","",VLOOKUP(E114,Courses!$A$5:$G$10,6,FALSE))</x:f>
      </x:c>
      <x:c r="K114" s="47" t="n">
        <x:f>IF(AND(H114="Paid",I114&lt;&gt;""),G114*J114,0)</x:f>
        <x:v>0</x:v>
      </x:c>
      <x:c r="L114" s="9"/>
      <x:c r="M114" s="9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9"/>
      <x:c r="B115" s="9"/>
      <x:c r="C115" s="43"/>
      <x:c r="D115" s="9"/>
      <x:c r="E115" s="9"/>
      <x:c r="F115" s="6" t="str">
        <x:f>IF(E115="","",VLOOKUP(E115,Courses!$A$5:$G$10,2,FALSE))</x:f>
      </x:c>
      <x:c r="G115" s="47" t="str">
        <x:f>IF(E115="","",VLOOKUP(E115,Courses!$A$5:$G$10,3,FALSE))</x:f>
      </x:c>
      <x:c r="H115" s="9"/>
      <x:c r="I115" s="9"/>
      <x:c r="J115" s="51" t="str">
        <x:f>IF(I115="","",VLOOKUP(E115,Courses!$A$5:$G$10,6,FALSE))</x:f>
      </x:c>
      <x:c r="K115" s="47" t="n">
        <x:f>IF(AND(H115="Paid",I115&lt;&gt;""),G115*J115,0)</x:f>
        <x:v>0</x:v>
      </x:c>
      <x:c r="L115" s="9"/>
      <x:c r="M115" s="9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9"/>
      <x:c r="B116" s="9"/>
      <x:c r="C116" s="43"/>
      <x:c r="D116" s="9"/>
      <x:c r="E116" s="9"/>
      <x:c r="F116" s="6" t="str">
        <x:f>IF(E116="","",VLOOKUP(E116,Courses!$A$5:$G$10,2,FALSE))</x:f>
      </x:c>
      <x:c r="G116" s="47" t="str">
        <x:f>IF(E116="","",VLOOKUP(E116,Courses!$A$5:$G$10,3,FALSE))</x:f>
      </x:c>
      <x:c r="H116" s="9"/>
      <x:c r="I116" s="9"/>
      <x:c r="J116" s="51" t="str">
        <x:f>IF(I116="","",VLOOKUP(E116,Courses!$A$5:$G$10,6,FALSE))</x:f>
      </x:c>
      <x:c r="K116" s="47" t="n">
        <x:f>IF(AND(H116="Paid",I116&lt;&gt;""),G116*J116,0)</x:f>
        <x:v>0</x:v>
      </x:c>
      <x:c r="L116" s="9"/>
      <x:c r="M116" s="9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9"/>
      <x:c r="B117" s="9"/>
      <x:c r="C117" s="43"/>
      <x:c r="D117" s="9"/>
      <x:c r="E117" s="9"/>
      <x:c r="F117" s="6" t="str">
        <x:f>IF(E117="","",VLOOKUP(E117,Courses!$A$5:$G$10,2,FALSE))</x:f>
      </x:c>
      <x:c r="G117" s="47" t="str">
        <x:f>IF(E117="","",VLOOKUP(E117,Courses!$A$5:$G$10,3,FALSE))</x:f>
      </x:c>
      <x:c r="H117" s="9"/>
      <x:c r="I117" s="9"/>
      <x:c r="J117" s="51" t="str">
        <x:f>IF(I117="","",VLOOKUP(E117,Courses!$A$5:$G$10,6,FALSE))</x:f>
      </x:c>
      <x:c r="K117" s="47" t="n">
        <x:f>IF(AND(H117="Paid",I117&lt;&gt;""),G117*J117,0)</x:f>
        <x:v>0</x:v>
      </x:c>
      <x:c r="L117" s="9"/>
      <x:c r="M117" s="9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9"/>
      <x:c r="B118" s="9"/>
      <x:c r="C118" s="43"/>
      <x:c r="D118" s="9"/>
      <x:c r="E118" s="9"/>
      <x:c r="F118" s="6" t="str">
        <x:f>IF(E118="","",VLOOKUP(E118,Courses!$A$5:$G$10,2,FALSE))</x:f>
      </x:c>
      <x:c r="G118" s="47" t="str">
        <x:f>IF(E118="","",VLOOKUP(E118,Courses!$A$5:$G$10,3,FALSE))</x:f>
      </x:c>
      <x:c r="H118" s="9"/>
      <x:c r="I118" s="9"/>
      <x:c r="J118" s="51" t="str">
        <x:f>IF(I118="","",VLOOKUP(E118,Courses!$A$5:$G$10,6,FALSE))</x:f>
      </x:c>
      <x:c r="K118" s="47" t="n">
        <x:f>IF(AND(H118="Paid",I118&lt;&gt;""),G118*J118,0)</x:f>
        <x:v>0</x:v>
      </x:c>
      <x:c r="L118" s="9"/>
      <x:c r="M118" s="9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9"/>
      <x:c r="B119" s="9"/>
      <x:c r="C119" s="43"/>
      <x:c r="D119" s="9"/>
      <x:c r="E119" s="9"/>
      <x:c r="F119" s="6" t="str">
        <x:f>IF(E119="","",VLOOKUP(E119,Courses!$A$5:$G$10,2,FALSE))</x:f>
      </x:c>
      <x:c r="G119" s="47" t="str">
        <x:f>IF(E119="","",VLOOKUP(E119,Courses!$A$5:$G$10,3,FALSE))</x:f>
      </x:c>
      <x:c r="H119" s="9"/>
      <x:c r="I119" s="9"/>
      <x:c r="J119" s="51" t="str">
        <x:f>IF(I119="","",VLOOKUP(E119,Courses!$A$5:$G$10,6,FALSE))</x:f>
      </x:c>
      <x:c r="K119" s="47" t="n">
        <x:f>IF(AND(H119="Paid",I119&lt;&gt;""),G119*J119,0)</x:f>
        <x:v>0</x:v>
      </x:c>
      <x:c r="L119" s="9"/>
      <x:c r="M119" s="9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9"/>
      <x:c r="B120" s="9"/>
      <x:c r="C120" s="43"/>
      <x:c r="D120" s="9"/>
      <x:c r="E120" s="9"/>
      <x:c r="F120" s="6" t="str">
        <x:f>IF(E120="","",VLOOKUP(E120,Courses!$A$5:$G$10,2,FALSE))</x:f>
      </x:c>
      <x:c r="G120" s="47" t="str">
        <x:f>IF(E120="","",VLOOKUP(E120,Courses!$A$5:$G$10,3,FALSE))</x:f>
      </x:c>
      <x:c r="H120" s="9"/>
      <x:c r="I120" s="9"/>
      <x:c r="J120" s="51" t="str">
        <x:f>IF(I120="","",VLOOKUP(E120,Courses!$A$5:$G$10,6,FALSE))</x:f>
      </x:c>
      <x:c r="K120" s="47" t="n">
        <x:f>IF(AND(H120="Paid",I120&lt;&gt;""),G120*J120,0)</x:f>
        <x:v>0</x:v>
      </x:c>
      <x:c r="L120" s="9"/>
      <x:c r="M120" s="9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9"/>
      <x:c r="B121" s="9"/>
      <x:c r="C121" s="43"/>
      <x:c r="D121" s="9"/>
      <x:c r="E121" s="9"/>
      <x:c r="F121" s="6" t="str">
        <x:f>IF(E121="","",VLOOKUP(E121,Courses!$A$5:$G$10,2,FALSE))</x:f>
      </x:c>
      <x:c r="G121" s="47" t="str">
        <x:f>IF(E121="","",VLOOKUP(E121,Courses!$A$5:$G$10,3,FALSE))</x:f>
      </x:c>
      <x:c r="H121" s="9"/>
      <x:c r="I121" s="9"/>
      <x:c r="J121" s="51" t="str">
        <x:f>IF(I121="","",VLOOKUP(E121,Courses!$A$5:$G$10,6,FALSE))</x:f>
      </x:c>
      <x:c r="K121" s="47" t="n">
        <x:f>IF(AND(H121="Paid",I121&lt;&gt;""),G121*J121,0)</x:f>
        <x:v>0</x:v>
      </x:c>
      <x:c r="L121" s="9"/>
      <x:c r="M121" s="9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9"/>
      <x:c r="B122" s="9"/>
      <x:c r="C122" s="43"/>
      <x:c r="D122" s="9"/>
      <x:c r="E122" s="9"/>
      <x:c r="F122" s="6" t="str">
        <x:f>IF(E122="","",VLOOKUP(E122,Courses!$A$5:$G$10,2,FALSE))</x:f>
      </x:c>
      <x:c r="G122" s="47" t="str">
        <x:f>IF(E122="","",VLOOKUP(E122,Courses!$A$5:$G$10,3,FALSE))</x:f>
      </x:c>
      <x:c r="H122" s="9"/>
      <x:c r="I122" s="9"/>
      <x:c r="J122" s="51" t="str">
        <x:f>IF(I122="","",VLOOKUP(E122,Courses!$A$5:$G$10,6,FALSE))</x:f>
      </x:c>
      <x:c r="K122" s="47" t="n">
        <x:f>IF(AND(H122="Paid",I122&lt;&gt;""),G122*J122,0)</x:f>
        <x:v>0</x:v>
      </x:c>
      <x:c r="L122" s="9"/>
      <x:c r="M122" s="9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9"/>
      <x:c r="B123" s="9"/>
      <x:c r="C123" s="43"/>
      <x:c r="D123" s="9"/>
      <x:c r="E123" s="9"/>
      <x:c r="F123" s="6" t="str">
        <x:f>IF(E123="","",VLOOKUP(E123,Courses!$A$5:$G$10,2,FALSE))</x:f>
      </x:c>
      <x:c r="G123" s="47" t="str">
        <x:f>IF(E123="","",VLOOKUP(E123,Courses!$A$5:$G$10,3,FALSE))</x:f>
      </x:c>
      <x:c r="H123" s="9"/>
      <x:c r="I123" s="9"/>
      <x:c r="J123" s="51" t="str">
        <x:f>IF(I123="","",VLOOKUP(E123,Courses!$A$5:$G$10,6,FALSE))</x:f>
      </x:c>
      <x:c r="K123" s="47" t="n">
        <x:f>IF(AND(H123="Paid",I123&lt;&gt;""),G123*J123,0)</x:f>
        <x:v>0</x:v>
      </x:c>
      <x:c r="L123" s="9"/>
      <x:c r="M123" s="9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9"/>
      <x:c r="B124" s="9"/>
      <x:c r="C124" s="43"/>
      <x:c r="D124" s="9"/>
      <x:c r="E124" s="9"/>
      <x:c r="F124" s="6" t="str">
        <x:f>IF(E124="","",VLOOKUP(E124,Courses!$A$5:$G$10,2,FALSE))</x:f>
      </x:c>
      <x:c r="G124" s="47" t="str">
        <x:f>IF(E124="","",VLOOKUP(E124,Courses!$A$5:$G$10,3,FALSE))</x:f>
      </x:c>
      <x:c r="H124" s="9"/>
      <x:c r="I124" s="9"/>
      <x:c r="J124" s="51" t="str">
        <x:f>IF(I124="","",VLOOKUP(E124,Courses!$A$5:$G$10,6,FALSE))</x:f>
      </x:c>
      <x:c r="K124" s="47" t="n">
        <x:f>IF(AND(H124="Paid",I124&lt;&gt;""),G124*J124,0)</x:f>
        <x:v>0</x:v>
      </x:c>
      <x:c r="L124" s="9"/>
      <x:c r="M124" s="9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9"/>
      <x:c r="B125" s="9"/>
      <x:c r="C125" s="43"/>
      <x:c r="D125" s="9"/>
      <x:c r="E125" s="9"/>
      <x:c r="F125" s="6" t="str">
        <x:f>IF(E125="","",VLOOKUP(E125,Courses!$A$5:$G$10,2,FALSE))</x:f>
      </x:c>
      <x:c r="G125" s="47" t="str">
        <x:f>IF(E125="","",VLOOKUP(E125,Courses!$A$5:$G$10,3,FALSE))</x:f>
      </x:c>
      <x:c r="H125" s="9"/>
      <x:c r="I125" s="9"/>
      <x:c r="J125" s="51" t="str">
        <x:f>IF(I125="","",VLOOKUP(E125,Courses!$A$5:$G$10,6,FALSE))</x:f>
      </x:c>
      <x:c r="K125" s="47" t="n">
        <x:f>IF(AND(H125="Paid",I125&lt;&gt;""),G125*J125,0)</x:f>
        <x:v>0</x:v>
      </x:c>
      <x:c r="L125" s="9"/>
      <x:c r="M125" s="9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9"/>
      <x:c r="B126" s="9"/>
      <x:c r="C126" s="43"/>
      <x:c r="D126" s="9"/>
      <x:c r="E126" s="9"/>
      <x:c r="F126" s="6" t="str">
        <x:f>IF(E126="","",VLOOKUP(E126,Courses!$A$5:$G$10,2,FALSE))</x:f>
      </x:c>
      <x:c r="G126" s="47" t="str">
        <x:f>IF(E126="","",VLOOKUP(E126,Courses!$A$5:$G$10,3,FALSE))</x:f>
      </x:c>
      <x:c r="H126" s="9"/>
      <x:c r="I126" s="9"/>
      <x:c r="J126" s="51" t="str">
        <x:f>IF(I126="","",VLOOKUP(E126,Courses!$A$5:$G$10,6,FALSE))</x:f>
      </x:c>
      <x:c r="K126" s="47" t="n">
        <x:f>IF(AND(H126="Paid",I126&lt;&gt;""),G126*J126,0)</x:f>
        <x:v>0</x:v>
      </x:c>
      <x:c r="L126" s="9"/>
      <x:c r="M126" s="9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9"/>
      <x:c r="B127" s="9"/>
      <x:c r="C127" s="43"/>
      <x:c r="D127" s="9"/>
      <x:c r="E127" s="9"/>
      <x:c r="F127" s="6" t="str">
        <x:f>IF(E127="","",VLOOKUP(E127,Courses!$A$5:$G$10,2,FALSE))</x:f>
      </x:c>
      <x:c r="G127" s="47" t="str">
        <x:f>IF(E127="","",VLOOKUP(E127,Courses!$A$5:$G$10,3,FALSE))</x:f>
      </x:c>
      <x:c r="H127" s="9"/>
      <x:c r="I127" s="9"/>
      <x:c r="J127" s="51" t="str">
        <x:f>IF(I127="","",VLOOKUP(E127,Courses!$A$5:$G$10,6,FALSE))</x:f>
      </x:c>
      <x:c r="K127" s="47" t="n">
        <x:f>IF(AND(H127="Paid",I127&lt;&gt;""),G127*J127,0)</x:f>
        <x:v>0</x:v>
      </x:c>
      <x:c r="L127" s="9"/>
      <x:c r="M127" s="9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9"/>
      <x:c r="B128" s="9"/>
      <x:c r="C128" s="43"/>
      <x:c r="D128" s="9"/>
      <x:c r="E128" s="9"/>
      <x:c r="F128" s="6" t="str">
        <x:f>IF(E128="","",VLOOKUP(E128,Courses!$A$5:$G$10,2,FALSE))</x:f>
      </x:c>
      <x:c r="G128" s="47" t="str">
        <x:f>IF(E128="","",VLOOKUP(E128,Courses!$A$5:$G$10,3,FALSE))</x:f>
      </x:c>
      <x:c r="H128" s="9"/>
      <x:c r="I128" s="9"/>
      <x:c r="J128" s="51" t="str">
        <x:f>IF(I128="","",VLOOKUP(E128,Courses!$A$5:$G$10,6,FALSE))</x:f>
      </x:c>
      <x:c r="K128" s="47" t="n">
        <x:f>IF(AND(H128="Paid",I128&lt;&gt;""),G128*J128,0)</x:f>
        <x:v>0</x:v>
      </x:c>
      <x:c r="L128" s="9"/>
      <x:c r="M128" s="9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9"/>
      <x:c r="B129" s="9"/>
      <x:c r="C129" s="43"/>
      <x:c r="D129" s="9"/>
      <x:c r="E129" s="9"/>
      <x:c r="F129" s="6" t="str">
        <x:f>IF(E129="","",VLOOKUP(E129,Courses!$A$5:$G$10,2,FALSE))</x:f>
      </x:c>
      <x:c r="G129" s="47" t="str">
        <x:f>IF(E129="","",VLOOKUP(E129,Courses!$A$5:$G$10,3,FALSE))</x:f>
      </x:c>
      <x:c r="H129" s="9"/>
      <x:c r="I129" s="9"/>
      <x:c r="J129" s="51" t="str">
        <x:f>IF(I129="","",VLOOKUP(E129,Courses!$A$5:$G$10,6,FALSE))</x:f>
      </x:c>
      <x:c r="K129" s="47" t="n">
        <x:f>IF(AND(H129="Paid",I129&lt;&gt;""),G129*J129,0)</x:f>
        <x:v>0</x:v>
      </x:c>
      <x:c r="L129" s="9"/>
      <x:c r="M129" s="9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9"/>
      <x:c r="B130" s="9"/>
      <x:c r="C130" s="43"/>
      <x:c r="D130" s="9"/>
      <x:c r="E130" s="9"/>
      <x:c r="F130" s="6" t="str">
        <x:f>IF(E130="","",VLOOKUP(E130,Courses!$A$5:$G$10,2,FALSE))</x:f>
      </x:c>
      <x:c r="G130" s="47" t="str">
        <x:f>IF(E130="","",VLOOKUP(E130,Courses!$A$5:$G$10,3,FALSE))</x:f>
      </x:c>
      <x:c r="H130" s="9"/>
      <x:c r="I130" s="9"/>
      <x:c r="J130" s="51" t="str">
        <x:f>IF(I130="","",VLOOKUP(E130,Courses!$A$5:$G$10,6,FALSE))</x:f>
      </x:c>
      <x:c r="K130" s="47" t="n">
        <x:f>IF(AND(H130="Paid",I130&lt;&gt;""),G130*J130,0)</x:f>
        <x:v>0</x:v>
      </x:c>
      <x:c r="L130" s="9"/>
      <x:c r="M130" s="9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9"/>
      <x:c r="B131" s="9"/>
      <x:c r="C131" s="43"/>
      <x:c r="D131" s="9"/>
      <x:c r="E131" s="9"/>
      <x:c r="F131" s="6" t="str">
        <x:f>IF(E131="","",VLOOKUP(E131,Courses!$A$5:$G$10,2,FALSE))</x:f>
      </x:c>
      <x:c r="G131" s="47" t="str">
        <x:f>IF(E131="","",VLOOKUP(E131,Courses!$A$5:$G$10,3,FALSE))</x:f>
      </x:c>
      <x:c r="H131" s="9"/>
      <x:c r="I131" s="9"/>
      <x:c r="J131" s="51" t="str">
        <x:f>IF(I131="","",VLOOKUP(E131,Courses!$A$5:$G$10,6,FALSE))</x:f>
      </x:c>
      <x:c r="K131" s="47" t="n">
        <x:f>IF(AND(H131="Paid",I131&lt;&gt;""),G131*J131,0)</x:f>
        <x:v>0</x:v>
      </x:c>
      <x:c r="L131" s="9"/>
      <x:c r="M131" s="9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9"/>
      <x:c r="B132" s="9"/>
      <x:c r="C132" s="43"/>
      <x:c r="D132" s="9"/>
      <x:c r="E132" s="9"/>
      <x:c r="F132" s="6" t="str">
        <x:f>IF(E132="","",VLOOKUP(E132,Courses!$A$5:$G$10,2,FALSE))</x:f>
      </x:c>
      <x:c r="G132" s="47" t="str">
        <x:f>IF(E132="","",VLOOKUP(E132,Courses!$A$5:$G$10,3,FALSE))</x:f>
      </x:c>
      <x:c r="H132" s="9"/>
      <x:c r="I132" s="9"/>
      <x:c r="J132" s="51" t="str">
        <x:f>IF(I132="","",VLOOKUP(E132,Courses!$A$5:$G$10,6,FALSE))</x:f>
      </x:c>
      <x:c r="K132" s="47" t="n">
        <x:f>IF(AND(H132="Paid",I132&lt;&gt;""),G132*J132,0)</x:f>
        <x:v>0</x:v>
      </x:c>
      <x:c r="L132" s="9"/>
      <x:c r="M132" s="9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9"/>
      <x:c r="B133" s="9"/>
      <x:c r="C133" s="43"/>
      <x:c r="D133" s="9"/>
      <x:c r="E133" s="9"/>
      <x:c r="F133" s="6" t="str">
        <x:f>IF(E133="","",VLOOKUP(E133,Courses!$A$5:$G$10,2,FALSE))</x:f>
      </x:c>
      <x:c r="G133" s="47" t="str">
        <x:f>IF(E133="","",VLOOKUP(E133,Courses!$A$5:$G$10,3,FALSE))</x:f>
      </x:c>
      <x:c r="H133" s="9"/>
      <x:c r="I133" s="9"/>
      <x:c r="J133" s="51" t="str">
        <x:f>IF(I133="","",VLOOKUP(E133,Courses!$A$5:$G$10,6,FALSE))</x:f>
      </x:c>
      <x:c r="K133" s="47" t="n">
        <x:f>IF(AND(H133="Paid",I133&lt;&gt;""),G133*J133,0)</x:f>
        <x:v>0</x:v>
      </x:c>
      <x:c r="L133" s="9"/>
      <x:c r="M133" s="9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9"/>
      <x:c r="B134" s="9"/>
      <x:c r="C134" s="43"/>
      <x:c r="D134" s="9"/>
      <x:c r="E134" s="9"/>
      <x:c r="F134" s="6" t="str">
        <x:f>IF(E134="","",VLOOKUP(E134,Courses!$A$5:$G$10,2,FALSE))</x:f>
      </x:c>
      <x:c r="G134" s="47" t="str">
        <x:f>IF(E134="","",VLOOKUP(E134,Courses!$A$5:$G$10,3,FALSE))</x:f>
      </x:c>
      <x:c r="H134" s="9"/>
      <x:c r="I134" s="9"/>
      <x:c r="J134" s="51" t="str">
        <x:f>IF(I134="","",VLOOKUP(E134,Courses!$A$5:$G$10,6,FALSE))</x:f>
      </x:c>
      <x:c r="K134" s="47" t="n">
        <x:f>IF(AND(H134="Paid",I134&lt;&gt;""),G134*J134,0)</x:f>
        <x:v>0</x:v>
      </x:c>
      <x:c r="L134" s="9"/>
      <x:c r="M134" s="9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9"/>
      <x:c r="B135" s="9"/>
      <x:c r="C135" s="43"/>
      <x:c r="D135" s="9"/>
      <x:c r="E135" s="9"/>
      <x:c r="F135" s="6" t="str">
        <x:f>IF(E135="","",VLOOKUP(E135,Courses!$A$5:$G$10,2,FALSE))</x:f>
      </x:c>
      <x:c r="G135" s="47" t="str">
        <x:f>IF(E135="","",VLOOKUP(E135,Courses!$A$5:$G$10,3,FALSE))</x:f>
      </x:c>
      <x:c r="H135" s="9"/>
      <x:c r="I135" s="9"/>
      <x:c r="J135" s="51" t="str">
        <x:f>IF(I135="","",VLOOKUP(E135,Courses!$A$5:$G$10,6,FALSE))</x:f>
      </x:c>
      <x:c r="K135" s="47" t="n">
        <x:f>IF(AND(H135="Paid",I135&lt;&gt;""),G135*J135,0)</x:f>
        <x:v>0</x:v>
      </x:c>
      <x:c r="L135" s="9"/>
      <x:c r="M135" s="9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9"/>
      <x:c r="B136" s="9"/>
      <x:c r="C136" s="43"/>
      <x:c r="D136" s="9"/>
      <x:c r="E136" s="9"/>
      <x:c r="F136" s="6" t="str">
        <x:f>IF(E136="","",VLOOKUP(E136,Courses!$A$5:$G$10,2,FALSE))</x:f>
      </x:c>
      <x:c r="G136" s="47" t="str">
        <x:f>IF(E136="","",VLOOKUP(E136,Courses!$A$5:$G$10,3,FALSE))</x:f>
      </x:c>
      <x:c r="H136" s="9"/>
      <x:c r="I136" s="9"/>
      <x:c r="J136" s="51" t="str">
        <x:f>IF(I136="","",VLOOKUP(E136,Courses!$A$5:$G$10,6,FALSE))</x:f>
      </x:c>
      <x:c r="K136" s="47" t="n">
        <x:f>IF(AND(H136="Paid",I136&lt;&gt;""),G136*J136,0)</x:f>
        <x:v>0</x:v>
      </x:c>
      <x:c r="L136" s="9"/>
      <x:c r="M136" s="9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9"/>
      <x:c r="B137" s="9"/>
      <x:c r="C137" s="43"/>
      <x:c r="D137" s="9"/>
      <x:c r="E137" s="9"/>
      <x:c r="F137" s="6" t="str">
        <x:f>IF(E137="","",VLOOKUP(E137,Courses!$A$5:$G$10,2,FALSE))</x:f>
      </x:c>
      <x:c r="G137" s="47" t="str">
        <x:f>IF(E137="","",VLOOKUP(E137,Courses!$A$5:$G$10,3,FALSE))</x:f>
      </x:c>
      <x:c r="H137" s="9"/>
      <x:c r="I137" s="9"/>
      <x:c r="J137" s="51" t="str">
        <x:f>IF(I137="","",VLOOKUP(E137,Courses!$A$5:$G$10,6,FALSE))</x:f>
      </x:c>
      <x:c r="K137" s="47" t="n">
        <x:f>IF(AND(H137="Paid",I137&lt;&gt;""),G137*J137,0)</x:f>
        <x:v>0</x:v>
      </x:c>
      <x:c r="L137" s="9"/>
      <x:c r="M137" s="9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9"/>
      <x:c r="B138" s="9"/>
      <x:c r="C138" s="43"/>
      <x:c r="D138" s="9"/>
      <x:c r="E138" s="9"/>
      <x:c r="F138" s="6" t="str">
        <x:f>IF(E138="","",VLOOKUP(E138,Courses!$A$5:$G$10,2,FALSE))</x:f>
      </x:c>
      <x:c r="G138" s="47" t="str">
        <x:f>IF(E138="","",VLOOKUP(E138,Courses!$A$5:$G$10,3,FALSE))</x:f>
      </x:c>
      <x:c r="H138" s="9"/>
      <x:c r="I138" s="9"/>
      <x:c r="J138" s="51" t="str">
        <x:f>IF(I138="","",VLOOKUP(E138,Courses!$A$5:$G$10,6,FALSE))</x:f>
      </x:c>
      <x:c r="K138" s="47" t="n">
        <x:f>IF(AND(H138="Paid",I138&lt;&gt;""),G138*J138,0)</x:f>
        <x:v>0</x:v>
      </x:c>
      <x:c r="L138" s="9"/>
      <x:c r="M138" s="9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9"/>
      <x:c r="B139" s="9"/>
      <x:c r="C139" s="43"/>
      <x:c r="D139" s="9"/>
      <x:c r="E139" s="9"/>
      <x:c r="F139" s="6" t="str">
        <x:f>IF(E139="","",VLOOKUP(E139,Courses!$A$5:$G$10,2,FALSE))</x:f>
      </x:c>
      <x:c r="G139" s="47" t="str">
        <x:f>IF(E139="","",VLOOKUP(E139,Courses!$A$5:$G$10,3,FALSE))</x:f>
      </x:c>
      <x:c r="H139" s="9"/>
      <x:c r="I139" s="9"/>
      <x:c r="J139" s="51" t="str">
        <x:f>IF(I139="","",VLOOKUP(E139,Courses!$A$5:$G$10,6,FALSE))</x:f>
      </x:c>
      <x:c r="K139" s="47" t="n">
        <x:f>IF(AND(H139="Paid",I139&lt;&gt;""),G139*J139,0)</x:f>
        <x:v>0</x:v>
      </x:c>
      <x:c r="L139" s="9"/>
      <x:c r="M139" s="9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9"/>
      <x:c r="B140" s="9"/>
      <x:c r="C140" s="43"/>
      <x:c r="D140" s="9"/>
      <x:c r="E140" s="9"/>
      <x:c r="F140" s="6" t="str">
        <x:f>IF(E140="","",VLOOKUP(E140,Courses!$A$5:$G$10,2,FALSE))</x:f>
      </x:c>
      <x:c r="G140" s="47" t="str">
        <x:f>IF(E140="","",VLOOKUP(E140,Courses!$A$5:$G$10,3,FALSE))</x:f>
      </x:c>
      <x:c r="H140" s="9"/>
      <x:c r="I140" s="9"/>
      <x:c r="J140" s="51" t="str">
        <x:f>IF(I140="","",VLOOKUP(E140,Courses!$A$5:$G$10,6,FALSE))</x:f>
      </x:c>
      <x:c r="K140" s="47" t="n">
        <x:f>IF(AND(H140="Paid",I140&lt;&gt;""),G140*J140,0)</x:f>
        <x:v>0</x:v>
      </x:c>
      <x:c r="L140" s="9"/>
      <x:c r="M140" s="9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9"/>
      <x:c r="B141" s="9"/>
      <x:c r="C141" s="43"/>
      <x:c r="D141" s="9"/>
      <x:c r="E141" s="9"/>
      <x:c r="F141" s="6" t="str">
        <x:f>IF(E141="","",VLOOKUP(E141,Courses!$A$5:$G$10,2,FALSE))</x:f>
      </x:c>
      <x:c r="G141" s="47" t="str">
        <x:f>IF(E141="","",VLOOKUP(E141,Courses!$A$5:$G$10,3,FALSE))</x:f>
      </x:c>
      <x:c r="H141" s="9"/>
      <x:c r="I141" s="9"/>
      <x:c r="J141" s="51" t="str">
        <x:f>IF(I141="","",VLOOKUP(E141,Courses!$A$5:$G$10,6,FALSE))</x:f>
      </x:c>
      <x:c r="K141" s="47" t="n">
        <x:f>IF(AND(H141="Paid",I141&lt;&gt;""),G141*J141,0)</x:f>
        <x:v>0</x:v>
      </x:c>
      <x:c r="L141" s="9"/>
      <x:c r="M141" s="9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9"/>
      <x:c r="B142" s="9"/>
      <x:c r="C142" s="43"/>
      <x:c r="D142" s="9"/>
      <x:c r="E142" s="9"/>
      <x:c r="F142" s="6" t="str">
        <x:f>IF(E142="","",VLOOKUP(E142,Courses!$A$5:$G$10,2,FALSE))</x:f>
      </x:c>
      <x:c r="G142" s="47" t="str">
        <x:f>IF(E142="","",VLOOKUP(E142,Courses!$A$5:$G$10,3,FALSE))</x:f>
      </x:c>
      <x:c r="H142" s="9"/>
      <x:c r="I142" s="9"/>
      <x:c r="J142" s="51" t="str">
        <x:f>IF(I142="","",VLOOKUP(E142,Courses!$A$5:$G$10,6,FALSE))</x:f>
      </x:c>
      <x:c r="K142" s="47" t="n">
        <x:f>IF(AND(H142="Paid",I142&lt;&gt;""),G142*J142,0)</x:f>
        <x:v>0</x:v>
      </x:c>
      <x:c r="L142" s="9"/>
      <x:c r="M142" s="9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9"/>
      <x:c r="B143" s="9"/>
      <x:c r="C143" s="43"/>
      <x:c r="D143" s="9"/>
      <x:c r="E143" s="9"/>
      <x:c r="F143" s="6" t="str">
        <x:f>IF(E143="","",VLOOKUP(E143,Courses!$A$5:$G$10,2,FALSE))</x:f>
      </x:c>
      <x:c r="G143" s="47" t="str">
        <x:f>IF(E143="","",VLOOKUP(E143,Courses!$A$5:$G$10,3,FALSE))</x:f>
      </x:c>
      <x:c r="H143" s="9"/>
      <x:c r="I143" s="9"/>
      <x:c r="J143" s="51" t="str">
        <x:f>IF(I143="","",VLOOKUP(E143,Courses!$A$5:$G$10,6,FALSE))</x:f>
      </x:c>
      <x:c r="K143" s="47" t="n">
        <x:f>IF(AND(H143="Paid",I143&lt;&gt;""),G143*J143,0)</x:f>
        <x:v>0</x:v>
      </x:c>
      <x:c r="L143" s="9"/>
      <x:c r="M143" s="9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9"/>
      <x:c r="B144" s="9"/>
      <x:c r="C144" s="43"/>
      <x:c r="D144" s="9"/>
      <x:c r="E144" s="9"/>
      <x:c r="F144" s="6" t="str">
        <x:f>IF(E144="","",VLOOKUP(E144,Courses!$A$5:$G$10,2,FALSE))</x:f>
      </x:c>
      <x:c r="G144" s="47" t="str">
        <x:f>IF(E144="","",VLOOKUP(E144,Courses!$A$5:$G$10,3,FALSE))</x:f>
      </x:c>
      <x:c r="H144" s="9"/>
      <x:c r="I144" s="9"/>
      <x:c r="J144" s="51" t="str">
        <x:f>IF(I144="","",VLOOKUP(E144,Courses!$A$5:$G$10,6,FALSE))</x:f>
      </x:c>
      <x:c r="K144" s="47" t="n">
        <x:f>IF(AND(H144="Paid",I144&lt;&gt;""),G144*J144,0)</x:f>
        <x:v>0</x:v>
      </x:c>
      <x:c r="L144" s="9"/>
      <x:c r="M144" s="9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9"/>
      <x:c r="B145" s="9"/>
      <x:c r="C145" s="43"/>
      <x:c r="D145" s="9"/>
      <x:c r="E145" s="9"/>
      <x:c r="F145" s="6" t="str">
        <x:f>IF(E145="","",VLOOKUP(E145,Courses!$A$5:$G$10,2,FALSE))</x:f>
      </x:c>
      <x:c r="G145" s="47" t="str">
        <x:f>IF(E145="","",VLOOKUP(E145,Courses!$A$5:$G$10,3,FALSE))</x:f>
      </x:c>
      <x:c r="H145" s="9"/>
      <x:c r="I145" s="9"/>
      <x:c r="J145" s="51" t="str">
        <x:f>IF(I145="","",VLOOKUP(E145,Courses!$A$5:$G$10,6,FALSE))</x:f>
      </x:c>
      <x:c r="K145" s="47" t="n">
        <x:f>IF(AND(H145="Paid",I145&lt;&gt;""),G145*J145,0)</x:f>
        <x:v>0</x:v>
      </x:c>
      <x:c r="L145" s="9"/>
      <x:c r="M145" s="9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9"/>
      <x:c r="B146" s="9"/>
      <x:c r="C146" s="43"/>
      <x:c r="D146" s="9"/>
      <x:c r="E146" s="9"/>
      <x:c r="F146" s="6" t="str">
        <x:f>IF(E146="","",VLOOKUP(E146,Courses!$A$5:$G$10,2,FALSE))</x:f>
      </x:c>
      <x:c r="G146" s="47" t="str">
        <x:f>IF(E146="","",VLOOKUP(E146,Courses!$A$5:$G$10,3,FALSE))</x:f>
      </x:c>
      <x:c r="H146" s="9"/>
      <x:c r="I146" s="9"/>
      <x:c r="J146" s="51" t="str">
        <x:f>IF(I146="","",VLOOKUP(E146,Courses!$A$5:$G$10,6,FALSE))</x:f>
      </x:c>
      <x:c r="K146" s="47" t="n">
        <x:f>IF(AND(H146="Paid",I146&lt;&gt;""),G146*J146,0)</x:f>
        <x:v>0</x:v>
      </x:c>
      <x:c r="L146" s="9"/>
      <x:c r="M146" s="9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9"/>
      <x:c r="B147" s="9"/>
      <x:c r="C147" s="43"/>
      <x:c r="D147" s="9"/>
      <x:c r="E147" s="9"/>
      <x:c r="F147" s="6" t="str">
        <x:f>IF(E147="","",VLOOKUP(E147,Courses!$A$5:$G$10,2,FALSE))</x:f>
      </x:c>
      <x:c r="G147" s="47" t="str">
        <x:f>IF(E147="","",VLOOKUP(E147,Courses!$A$5:$G$10,3,FALSE))</x:f>
      </x:c>
      <x:c r="H147" s="9"/>
      <x:c r="I147" s="9"/>
      <x:c r="J147" s="51" t="str">
        <x:f>IF(I147="","",VLOOKUP(E147,Courses!$A$5:$G$10,6,FALSE))</x:f>
      </x:c>
      <x:c r="K147" s="47" t="n">
        <x:f>IF(AND(H147="Paid",I147&lt;&gt;""),G147*J147,0)</x:f>
        <x:v>0</x:v>
      </x:c>
      <x:c r="L147" s="9"/>
      <x:c r="M147" s="9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9"/>
      <x:c r="B148" s="9"/>
      <x:c r="C148" s="43"/>
      <x:c r="D148" s="9"/>
      <x:c r="E148" s="9"/>
      <x:c r="F148" s="6" t="str">
        <x:f>IF(E148="","",VLOOKUP(E148,Courses!$A$5:$G$10,2,FALSE))</x:f>
      </x:c>
      <x:c r="G148" s="47" t="str">
        <x:f>IF(E148="","",VLOOKUP(E148,Courses!$A$5:$G$10,3,FALSE))</x:f>
      </x:c>
      <x:c r="H148" s="9"/>
      <x:c r="I148" s="9"/>
      <x:c r="J148" s="51" t="str">
        <x:f>IF(I148="","",VLOOKUP(E148,Courses!$A$5:$G$10,6,FALSE))</x:f>
      </x:c>
      <x:c r="K148" s="47" t="n">
        <x:f>IF(AND(H148="Paid",I148&lt;&gt;""),G148*J148,0)</x:f>
        <x:v>0</x:v>
      </x:c>
      <x:c r="L148" s="9"/>
      <x:c r="M148" s="9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9"/>
      <x:c r="B149" s="9"/>
      <x:c r="C149" s="43"/>
      <x:c r="D149" s="9"/>
      <x:c r="E149" s="9"/>
      <x:c r="F149" s="6" t="str">
        <x:f>IF(E149="","",VLOOKUP(E149,Courses!$A$5:$G$10,2,FALSE))</x:f>
      </x:c>
      <x:c r="G149" s="47" t="str">
        <x:f>IF(E149="","",VLOOKUP(E149,Courses!$A$5:$G$10,3,FALSE))</x:f>
      </x:c>
      <x:c r="H149" s="9"/>
      <x:c r="I149" s="9"/>
      <x:c r="J149" s="51" t="str">
        <x:f>IF(I149="","",VLOOKUP(E149,Courses!$A$5:$G$10,6,FALSE))</x:f>
      </x:c>
      <x:c r="K149" s="47" t="n">
        <x:f>IF(AND(H149="Paid",I149&lt;&gt;""),G149*J149,0)</x:f>
        <x:v>0</x:v>
      </x:c>
      <x:c r="L149" s="9"/>
      <x:c r="M149" s="9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9"/>
      <x:c r="B150" s="9"/>
      <x:c r="C150" s="43"/>
      <x:c r="D150" s="9"/>
      <x:c r="E150" s="9"/>
      <x:c r="F150" s="6" t="str">
        <x:f>IF(E150="","",VLOOKUP(E150,Courses!$A$5:$G$10,2,FALSE))</x:f>
      </x:c>
      <x:c r="G150" s="47" t="str">
        <x:f>IF(E150="","",VLOOKUP(E150,Courses!$A$5:$G$10,3,FALSE))</x:f>
      </x:c>
      <x:c r="H150" s="9"/>
      <x:c r="I150" s="9"/>
      <x:c r="J150" s="51" t="str">
        <x:f>IF(I150="","",VLOOKUP(E150,Courses!$A$5:$G$10,6,FALSE))</x:f>
      </x:c>
      <x:c r="K150" s="47" t="n">
        <x:f>IF(AND(H150="Paid",I150&lt;&gt;""),G150*J150,0)</x:f>
        <x:v>0</x:v>
      </x:c>
      <x:c r="L150" s="9"/>
      <x:c r="M150" s="9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9"/>
      <x:c r="B151" s="9"/>
      <x:c r="C151" s="43"/>
      <x:c r="D151" s="9"/>
      <x:c r="E151" s="9"/>
      <x:c r="F151" s="6" t="str">
        <x:f>IF(E151="","",VLOOKUP(E151,Courses!$A$5:$G$10,2,FALSE))</x:f>
      </x:c>
      <x:c r="G151" s="47" t="str">
        <x:f>IF(E151="","",VLOOKUP(E151,Courses!$A$5:$G$10,3,FALSE))</x:f>
      </x:c>
      <x:c r="H151" s="9"/>
      <x:c r="I151" s="9"/>
      <x:c r="J151" s="51" t="str">
        <x:f>IF(I151="","",VLOOKUP(E151,Courses!$A$5:$G$10,6,FALSE))</x:f>
      </x:c>
      <x:c r="K151" s="47" t="n">
        <x:f>IF(AND(H151="Paid",I151&lt;&gt;""),G151*J151,0)</x:f>
        <x:v>0</x:v>
      </x:c>
      <x:c r="L151" s="9"/>
      <x:c r="M151" s="9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9"/>
      <x:c r="B152" s="9"/>
      <x:c r="C152" s="43"/>
      <x:c r="D152" s="9"/>
      <x:c r="E152" s="9"/>
      <x:c r="F152" s="6" t="str">
        <x:f>IF(E152="","",VLOOKUP(E152,Courses!$A$5:$G$10,2,FALSE))</x:f>
      </x:c>
      <x:c r="G152" s="47" t="str">
        <x:f>IF(E152="","",VLOOKUP(E152,Courses!$A$5:$G$10,3,FALSE))</x:f>
      </x:c>
      <x:c r="H152" s="9"/>
      <x:c r="I152" s="9"/>
      <x:c r="J152" s="51" t="str">
        <x:f>IF(I152="","",VLOOKUP(E152,Courses!$A$5:$G$10,6,FALSE))</x:f>
      </x:c>
      <x:c r="K152" s="47" t="n">
        <x:f>IF(AND(H152="Paid",I152&lt;&gt;""),G152*J152,0)</x:f>
        <x:v>0</x:v>
      </x:c>
      <x:c r="L152" s="9"/>
      <x:c r="M152" s="9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9"/>
      <x:c r="B153" s="9"/>
      <x:c r="C153" s="43"/>
      <x:c r="D153" s="9"/>
      <x:c r="E153" s="9"/>
      <x:c r="F153" s="6" t="str">
        <x:f>IF(E153="","",VLOOKUP(E153,Courses!$A$5:$G$10,2,FALSE))</x:f>
      </x:c>
      <x:c r="G153" s="47" t="str">
        <x:f>IF(E153="","",VLOOKUP(E153,Courses!$A$5:$G$10,3,FALSE))</x:f>
      </x:c>
      <x:c r="H153" s="9"/>
      <x:c r="I153" s="9"/>
      <x:c r="J153" s="51" t="str">
        <x:f>IF(I153="","",VLOOKUP(E153,Courses!$A$5:$G$10,6,FALSE))</x:f>
      </x:c>
      <x:c r="K153" s="47" t="n">
        <x:f>IF(AND(H153="Paid",I153&lt;&gt;""),G153*J153,0)</x:f>
        <x:v>0</x:v>
      </x:c>
      <x:c r="L153" s="9"/>
      <x:c r="M153" s="9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9"/>
      <x:c r="B154" s="9"/>
      <x:c r="C154" s="43"/>
      <x:c r="D154" s="9"/>
      <x:c r="E154" s="9"/>
      <x:c r="F154" s="6" t="str">
        <x:f>IF(E154="","",VLOOKUP(E154,Courses!$A$5:$G$10,2,FALSE))</x:f>
      </x:c>
      <x:c r="G154" s="47" t="str">
        <x:f>IF(E154="","",VLOOKUP(E154,Courses!$A$5:$G$10,3,FALSE))</x:f>
      </x:c>
      <x:c r="H154" s="9"/>
      <x:c r="I154" s="9"/>
      <x:c r="J154" s="51" t="str">
        <x:f>IF(I154="","",VLOOKUP(E154,Courses!$A$5:$G$10,6,FALSE))</x:f>
      </x:c>
      <x:c r="K154" s="47" t="n">
        <x:f>IF(AND(H154="Paid",I154&lt;&gt;""),G154*J154,0)</x:f>
        <x:v>0</x:v>
      </x:c>
      <x:c r="L154" s="9"/>
      <x:c r="M154" s="9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9"/>
      <x:c r="B155" s="9"/>
      <x:c r="C155" s="43"/>
      <x:c r="D155" s="9"/>
      <x:c r="E155" s="9"/>
      <x:c r="F155" s="6" t="str">
        <x:f>IF(E155="","",VLOOKUP(E155,Courses!$A$5:$G$10,2,FALSE))</x:f>
      </x:c>
      <x:c r="G155" s="47" t="str">
        <x:f>IF(E155="","",VLOOKUP(E155,Courses!$A$5:$G$10,3,FALSE))</x:f>
      </x:c>
      <x:c r="H155" s="9"/>
      <x:c r="I155" s="9"/>
      <x:c r="J155" s="51" t="str">
        <x:f>IF(I155="","",VLOOKUP(E155,Courses!$A$5:$G$10,6,FALSE))</x:f>
      </x:c>
      <x:c r="K155" s="47" t="n">
        <x:f>IF(AND(H155="Paid",I155&lt;&gt;""),G155*J155,0)</x:f>
        <x:v>0</x:v>
      </x:c>
      <x:c r="L155" s="9"/>
      <x:c r="M155" s="9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9"/>
      <x:c r="B156" s="9"/>
      <x:c r="C156" s="43"/>
      <x:c r="D156" s="9"/>
      <x:c r="E156" s="9"/>
      <x:c r="F156" s="6" t="str">
        <x:f>IF(E156="","",VLOOKUP(E156,Courses!$A$5:$G$10,2,FALSE))</x:f>
      </x:c>
      <x:c r="G156" s="47" t="str">
        <x:f>IF(E156="","",VLOOKUP(E156,Courses!$A$5:$G$10,3,FALSE))</x:f>
      </x:c>
      <x:c r="H156" s="9"/>
      <x:c r="I156" s="9"/>
      <x:c r="J156" s="51" t="str">
        <x:f>IF(I156="","",VLOOKUP(E156,Courses!$A$5:$G$10,6,FALSE))</x:f>
      </x:c>
      <x:c r="K156" s="47" t="n">
        <x:f>IF(AND(H156="Paid",I156&lt;&gt;""),G156*J156,0)</x:f>
        <x:v>0</x:v>
      </x:c>
      <x:c r="L156" s="9"/>
      <x:c r="M156" s="9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9"/>
      <x:c r="B157" s="9"/>
      <x:c r="C157" s="43"/>
      <x:c r="D157" s="9"/>
      <x:c r="E157" s="9"/>
      <x:c r="F157" s="6" t="str">
        <x:f>IF(E157="","",VLOOKUP(E157,Courses!$A$5:$G$10,2,FALSE))</x:f>
      </x:c>
      <x:c r="G157" s="47" t="str">
        <x:f>IF(E157="","",VLOOKUP(E157,Courses!$A$5:$G$10,3,FALSE))</x:f>
      </x:c>
      <x:c r="H157" s="9"/>
      <x:c r="I157" s="9"/>
      <x:c r="J157" s="51" t="str">
        <x:f>IF(I157="","",VLOOKUP(E157,Courses!$A$5:$G$10,6,FALSE))</x:f>
      </x:c>
      <x:c r="K157" s="47" t="n">
        <x:f>IF(AND(H157="Paid",I157&lt;&gt;""),G157*J157,0)</x:f>
        <x:v>0</x:v>
      </x:c>
      <x:c r="L157" s="9"/>
      <x:c r="M157" s="9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9"/>
      <x:c r="B158" s="9"/>
      <x:c r="C158" s="43"/>
      <x:c r="D158" s="9"/>
      <x:c r="E158" s="9"/>
      <x:c r="F158" s="6" t="str">
        <x:f>IF(E158="","",VLOOKUP(E158,Courses!$A$5:$G$10,2,FALSE))</x:f>
      </x:c>
      <x:c r="G158" s="47" t="str">
        <x:f>IF(E158="","",VLOOKUP(E158,Courses!$A$5:$G$10,3,FALSE))</x:f>
      </x:c>
      <x:c r="H158" s="9"/>
      <x:c r="I158" s="9"/>
      <x:c r="J158" s="51" t="str">
        <x:f>IF(I158="","",VLOOKUP(E158,Courses!$A$5:$G$10,6,FALSE))</x:f>
      </x:c>
      <x:c r="K158" s="47" t="n">
        <x:f>IF(AND(H158="Paid",I158&lt;&gt;""),G158*J158,0)</x:f>
        <x:v>0</x:v>
      </x:c>
      <x:c r="L158" s="9"/>
      <x:c r="M158" s="9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9"/>
      <x:c r="B159" s="9"/>
      <x:c r="C159" s="43"/>
      <x:c r="D159" s="9"/>
      <x:c r="E159" s="9"/>
      <x:c r="F159" s="6" t="str">
        <x:f>IF(E159="","",VLOOKUP(E159,Courses!$A$5:$G$10,2,FALSE))</x:f>
      </x:c>
      <x:c r="G159" s="47" t="str">
        <x:f>IF(E159="","",VLOOKUP(E159,Courses!$A$5:$G$10,3,FALSE))</x:f>
      </x:c>
      <x:c r="H159" s="9"/>
      <x:c r="I159" s="9"/>
      <x:c r="J159" s="51" t="str">
        <x:f>IF(I159="","",VLOOKUP(E159,Courses!$A$5:$G$10,6,FALSE))</x:f>
      </x:c>
      <x:c r="K159" s="47" t="n">
        <x:f>IF(AND(H159="Paid",I159&lt;&gt;""),G159*J159,0)</x:f>
        <x:v>0</x:v>
      </x:c>
      <x:c r="L159" s="9"/>
      <x:c r="M159" s="9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9"/>
      <x:c r="B160" s="9"/>
      <x:c r="C160" s="43"/>
      <x:c r="D160" s="9"/>
      <x:c r="E160" s="9"/>
      <x:c r="F160" s="6" t="str">
        <x:f>IF(E160="","",VLOOKUP(E160,Courses!$A$5:$G$10,2,FALSE))</x:f>
      </x:c>
      <x:c r="G160" s="47" t="str">
        <x:f>IF(E160="","",VLOOKUP(E160,Courses!$A$5:$G$10,3,FALSE))</x:f>
      </x:c>
      <x:c r="H160" s="9"/>
      <x:c r="I160" s="9"/>
      <x:c r="J160" s="51" t="str">
        <x:f>IF(I160="","",VLOOKUP(E160,Courses!$A$5:$G$10,6,FALSE))</x:f>
      </x:c>
      <x:c r="K160" s="47" t="n">
        <x:f>IF(AND(H160="Paid",I160&lt;&gt;""),G160*J160,0)</x:f>
        <x:v>0</x:v>
      </x:c>
      <x:c r="L160" s="9"/>
      <x:c r="M160" s="9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9"/>
      <x:c r="B161" s="9"/>
      <x:c r="C161" s="43"/>
      <x:c r="D161" s="9"/>
      <x:c r="E161" s="9"/>
      <x:c r="F161" s="6" t="str">
        <x:f>IF(E161="","",VLOOKUP(E161,Courses!$A$5:$G$10,2,FALSE))</x:f>
      </x:c>
      <x:c r="G161" s="47" t="str">
        <x:f>IF(E161="","",VLOOKUP(E161,Courses!$A$5:$G$10,3,FALSE))</x:f>
      </x:c>
      <x:c r="H161" s="9"/>
      <x:c r="I161" s="9"/>
      <x:c r="J161" s="51" t="str">
        <x:f>IF(I161="","",VLOOKUP(E161,Courses!$A$5:$G$10,6,FALSE))</x:f>
      </x:c>
      <x:c r="K161" s="47" t="n">
        <x:f>IF(AND(H161="Paid",I161&lt;&gt;""),G161*J161,0)</x:f>
        <x:v>0</x:v>
      </x:c>
      <x:c r="L161" s="9"/>
      <x:c r="M161" s="9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9"/>
      <x:c r="B162" s="9"/>
      <x:c r="C162" s="43"/>
      <x:c r="D162" s="9"/>
      <x:c r="E162" s="9"/>
      <x:c r="F162" s="6" t="str">
        <x:f>IF(E162="","",VLOOKUP(E162,Courses!$A$5:$G$10,2,FALSE))</x:f>
      </x:c>
      <x:c r="G162" s="47" t="str">
        <x:f>IF(E162="","",VLOOKUP(E162,Courses!$A$5:$G$10,3,FALSE))</x:f>
      </x:c>
      <x:c r="H162" s="9"/>
      <x:c r="I162" s="9"/>
      <x:c r="J162" s="51" t="str">
        <x:f>IF(I162="","",VLOOKUP(E162,Courses!$A$5:$G$10,6,FALSE))</x:f>
      </x:c>
      <x:c r="K162" s="47" t="n">
        <x:f>IF(AND(H162="Paid",I162&lt;&gt;""),G162*J162,0)</x:f>
        <x:v>0</x:v>
      </x:c>
      <x:c r="L162" s="9"/>
      <x:c r="M162" s="9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9"/>
      <x:c r="B163" s="9"/>
      <x:c r="C163" s="43"/>
      <x:c r="D163" s="9"/>
      <x:c r="E163" s="9"/>
      <x:c r="F163" s="6" t="str">
        <x:f>IF(E163="","",VLOOKUP(E163,Courses!$A$5:$G$10,2,FALSE))</x:f>
      </x:c>
      <x:c r="G163" s="47" t="str">
        <x:f>IF(E163="","",VLOOKUP(E163,Courses!$A$5:$G$10,3,FALSE))</x:f>
      </x:c>
      <x:c r="H163" s="9"/>
      <x:c r="I163" s="9"/>
      <x:c r="J163" s="51" t="str">
        <x:f>IF(I163="","",VLOOKUP(E163,Courses!$A$5:$G$10,6,FALSE))</x:f>
      </x:c>
      <x:c r="K163" s="47" t="n">
        <x:f>IF(AND(H163="Paid",I163&lt;&gt;""),G163*J163,0)</x:f>
        <x:v>0</x:v>
      </x:c>
      <x:c r="L163" s="9"/>
      <x:c r="M163" s="9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9"/>
      <x:c r="B164" s="9"/>
      <x:c r="C164" s="43"/>
      <x:c r="D164" s="9"/>
      <x:c r="E164" s="9"/>
      <x:c r="F164" s="6" t="str">
        <x:f>IF(E164="","",VLOOKUP(E164,Courses!$A$5:$G$10,2,FALSE))</x:f>
      </x:c>
      <x:c r="G164" s="47" t="str">
        <x:f>IF(E164="","",VLOOKUP(E164,Courses!$A$5:$G$10,3,FALSE))</x:f>
      </x:c>
      <x:c r="H164" s="9"/>
      <x:c r="I164" s="9"/>
      <x:c r="J164" s="51" t="str">
        <x:f>IF(I164="","",VLOOKUP(E164,Courses!$A$5:$G$10,6,FALSE))</x:f>
      </x:c>
      <x:c r="K164" s="47" t="n">
        <x:f>IF(AND(H164="Paid",I164&lt;&gt;""),G164*J164,0)</x:f>
        <x:v>0</x:v>
      </x:c>
      <x:c r="L164" s="9"/>
      <x:c r="M164" s="9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9"/>
      <x:c r="B165" s="9"/>
      <x:c r="C165" s="43"/>
      <x:c r="D165" s="9"/>
      <x:c r="E165" s="9"/>
      <x:c r="F165" s="6" t="str">
        <x:f>IF(E165="","",VLOOKUP(E165,Courses!$A$5:$G$10,2,FALSE))</x:f>
      </x:c>
      <x:c r="G165" s="47" t="str">
        <x:f>IF(E165="","",VLOOKUP(E165,Courses!$A$5:$G$10,3,FALSE))</x:f>
      </x:c>
      <x:c r="H165" s="9"/>
      <x:c r="I165" s="9"/>
      <x:c r="J165" s="51" t="str">
        <x:f>IF(I165="","",VLOOKUP(E165,Courses!$A$5:$G$10,6,FALSE))</x:f>
      </x:c>
      <x:c r="K165" s="47" t="n">
        <x:f>IF(AND(H165="Paid",I165&lt;&gt;""),G165*J165,0)</x:f>
        <x:v>0</x:v>
      </x:c>
      <x:c r="L165" s="9"/>
      <x:c r="M165" s="9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9"/>
      <x:c r="B166" s="9"/>
      <x:c r="C166" s="43"/>
      <x:c r="D166" s="9"/>
      <x:c r="E166" s="9"/>
      <x:c r="F166" s="6" t="str">
        <x:f>IF(E166="","",VLOOKUP(E166,Courses!$A$5:$G$10,2,FALSE))</x:f>
      </x:c>
      <x:c r="G166" s="47" t="str">
        <x:f>IF(E166="","",VLOOKUP(E166,Courses!$A$5:$G$10,3,FALSE))</x:f>
      </x:c>
      <x:c r="H166" s="9"/>
      <x:c r="I166" s="9"/>
      <x:c r="J166" s="51" t="str">
        <x:f>IF(I166="","",VLOOKUP(E166,Courses!$A$5:$G$10,6,FALSE))</x:f>
      </x:c>
      <x:c r="K166" s="47" t="n">
        <x:f>IF(AND(H166="Paid",I166&lt;&gt;""),G166*J166,0)</x:f>
        <x:v>0</x:v>
      </x:c>
      <x:c r="L166" s="9"/>
      <x:c r="M166" s="9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9"/>
      <x:c r="B167" s="9"/>
      <x:c r="C167" s="43"/>
      <x:c r="D167" s="9"/>
      <x:c r="E167" s="9"/>
      <x:c r="F167" s="6" t="str">
        <x:f>IF(E167="","",VLOOKUP(E167,Courses!$A$5:$G$10,2,FALSE))</x:f>
      </x:c>
      <x:c r="G167" s="47" t="str">
        <x:f>IF(E167="","",VLOOKUP(E167,Courses!$A$5:$G$10,3,FALSE))</x:f>
      </x:c>
      <x:c r="H167" s="9"/>
      <x:c r="I167" s="9"/>
      <x:c r="J167" s="51" t="str">
        <x:f>IF(I167="","",VLOOKUP(E167,Courses!$A$5:$G$10,6,FALSE))</x:f>
      </x:c>
      <x:c r="K167" s="47" t="n">
        <x:f>IF(AND(H167="Paid",I167&lt;&gt;""),G167*J167,0)</x:f>
        <x:v>0</x:v>
      </x:c>
      <x:c r="L167" s="9"/>
      <x:c r="M167" s="9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9"/>
      <x:c r="B168" s="9"/>
      <x:c r="C168" s="43"/>
      <x:c r="D168" s="9"/>
      <x:c r="E168" s="9"/>
      <x:c r="F168" s="6" t="str">
        <x:f>IF(E168="","",VLOOKUP(E168,Courses!$A$5:$G$10,2,FALSE))</x:f>
      </x:c>
      <x:c r="G168" s="47" t="str">
        <x:f>IF(E168="","",VLOOKUP(E168,Courses!$A$5:$G$10,3,FALSE))</x:f>
      </x:c>
      <x:c r="H168" s="9"/>
      <x:c r="I168" s="9"/>
      <x:c r="J168" s="51" t="str">
        <x:f>IF(I168="","",VLOOKUP(E168,Courses!$A$5:$G$10,6,FALSE))</x:f>
      </x:c>
      <x:c r="K168" s="47" t="n">
        <x:f>IF(AND(H168="Paid",I168&lt;&gt;""),G168*J168,0)</x:f>
        <x:v>0</x:v>
      </x:c>
      <x:c r="L168" s="9"/>
      <x:c r="M168" s="9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9"/>
      <x:c r="B169" s="9"/>
      <x:c r="C169" s="43"/>
      <x:c r="D169" s="9"/>
      <x:c r="E169" s="9"/>
      <x:c r="F169" s="6" t="str">
        <x:f>IF(E169="","",VLOOKUP(E169,Courses!$A$5:$G$10,2,FALSE))</x:f>
      </x:c>
      <x:c r="G169" s="47" t="str">
        <x:f>IF(E169="","",VLOOKUP(E169,Courses!$A$5:$G$10,3,FALSE))</x:f>
      </x:c>
      <x:c r="H169" s="9"/>
      <x:c r="I169" s="9"/>
      <x:c r="J169" s="51" t="str">
        <x:f>IF(I169="","",VLOOKUP(E169,Courses!$A$5:$G$10,6,FALSE))</x:f>
      </x:c>
      <x:c r="K169" s="47" t="n">
        <x:f>IF(AND(H169="Paid",I169&lt;&gt;""),G169*J169,0)</x:f>
        <x:v>0</x:v>
      </x:c>
      <x:c r="L169" s="9"/>
      <x:c r="M169" s="9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9"/>
      <x:c r="B170" s="9"/>
      <x:c r="C170" s="43"/>
      <x:c r="D170" s="9"/>
      <x:c r="E170" s="9"/>
      <x:c r="F170" s="6" t="str">
        <x:f>IF(E170="","",VLOOKUP(E170,Courses!$A$5:$G$10,2,FALSE))</x:f>
      </x:c>
      <x:c r="G170" s="47" t="str">
        <x:f>IF(E170="","",VLOOKUP(E170,Courses!$A$5:$G$10,3,FALSE))</x:f>
      </x:c>
      <x:c r="H170" s="9"/>
      <x:c r="I170" s="9"/>
      <x:c r="J170" s="51" t="str">
        <x:f>IF(I170="","",VLOOKUP(E170,Courses!$A$5:$G$10,6,FALSE))</x:f>
      </x:c>
      <x:c r="K170" s="47" t="n">
        <x:f>IF(AND(H170="Paid",I170&lt;&gt;""),G170*J170,0)</x:f>
        <x:v>0</x:v>
      </x:c>
      <x:c r="L170" s="9"/>
      <x:c r="M170" s="9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9"/>
      <x:c r="B171" s="9"/>
      <x:c r="C171" s="43"/>
      <x:c r="D171" s="9"/>
      <x:c r="E171" s="9"/>
      <x:c r="F171" s="6" t="str">
        <x:f>IF(E171="","",VLOOKUP(E171,Courses!$A$5:$G$10,2,FALSE))</x:f>
      </x:c>
      <x:c r="G171" s="47" t="str">
        <x:f>IF(E171="","",VLOOKUP(E171,Courses!$A$5:$G$10,3,FALSE))</x:f>
      </x:c>
      <x:c r="H171" s="9"/>
      <x:c r="I171" s="9"/>
      <x:c r="J171" s="51" t="str">
        <x:f>IF(I171="","",VLOOKUP(E171,Courses!$A$5:$G$10,6,FALSE))</x:f>
      </x:c>
      <x:c r="K171" s="47" t="n">
        <x:f>IF(AND(H171="Paid",I171&lt;&gt;""),G171*J171,0)</x:f>
        <x:v>0</x:v>
      </x:c>
      <x:c r="L171" s="9"/>
      <x:c r="M171" s="9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9"/>
      <x:c r="B172" s="9"/>
      <x:c r="C172" s="43"/>
      <x:c r="D172" s="9"/>
      <x:c r="E172" s="9"/>
      <x:c r="F172" s="6" t="str">
        <x:f>IF(E172="","",VLOOKUP(E172,Courses!$A$5:$G$10,2,FALSE))</x:f>
      </x:c>
      <x:c r="G172" s="47" t="str">
        <x:f>IF(E172="","",VLOOKUP(E172,Courses!$A$5:$G$10,3,FALSE))</x:f>
      </x:c>
      <x:c r="H172" s="9"/>
      <x:c r="I172" s="9"/>
      <x:c r="J172" s="51" t="str">
        <x:f>IF(I172="","",VLOOKUP(E172,Courses!$A$5:$G$10,6,FALSE))</x:f>
      </x:c>
      <x:c r="K172" s="47" t="n">
        <x:f>IF(AND(H172="Paid",I172&lt;&gt;""),G172*J172,0)</x:f>
        <x:v>0</x:v>
      </x:c>
      <x:c r="L172" s="9"/>
      <x:c r="M172" s="9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9"/>
      <x:c r="B173" s="9"/>
      <x:c r="C173" s="43"/>
      <x:c r="D173" s="9"/>
      <x:c r="E173" s="9"/>
      <x:c r="F173" s="6" t="str">
        <x:f>IF(E173="","",VLOOKUP(E173,Courses!$A$5:$G$10,2,FALSE))</x:f>
      </x:c>
      <x:c r="G173" s="47" t="str">
        <x:f>IF(E173="","",VLOOKUP(E173,Courses!$A$5:$G$10,3,FALSE))</x:f>
      </x:c>
      <x:c r="H173" s="9"/>
      <x:c r="I173" s="9"/>
      <x:c r="J173" s="51" t="str">
        <x:f>IF(I173="","",VLOOKUP(E173,Courses!$A$5:$G$10,6,FALSE))</x:f>
      </x:c>
      <x:c r="K173" s="47" t="n">
        <x:f>IF(AND(H173="Paid",I173&lt;&gt;""),G173*J173,0)</x:f>
        <x:v>0</x:v>
      </x:c>
      <x:c r="L173" s="9"/>
      <x:c r="M173" s="9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9"/>
      <x:c r="B174" s="9"/>
      <x:c r="C174" s="43"/>
      <x:c r="D174" s="9"/>
      <x:c r="E174" s="9"/>
      <x:c r="F174" s="6" t="str">
        <x:f>IF(E174="","",VLOOKUP(E174,Courses!$A$5:$G$10,2,FALSE))</x:f>
      </x:c>
      <x:c r="G174" s="47" t="str">
        <x:f>IF(E174="","",VLOOKUP(E174,Courses!$A$5:$G$10,3,FALSE))</x:f>
      </x:c>
      <x:c r="H174" s="9"/>
      <x:c r="I174" s="9"/>
      <x:c r="J174" s="51" t="str">
        <x:f>IF(I174="","",VLOOKUP(E174,Courses!$A$5:$G$10,6,FALSE))</x:f>
      </x:c>
      <x:c r="K174" s="47" t="n">
        <x:f>IF(AND(H174="Paid",I174&lt;&gt;""),G174*J174,0)</x:f>
        <x:v>0</x:v>
      </x:c>
      <x:c r="L174" s="9"/>
      <x:c r="M174" s="9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9"/>
      <x:c r="B175" s="9"/>
      <x:c r="C175" s="43"/>
      <x:c r="D175" s="9"/>
      <x:c r="E175" s="9"/>
      <x:c r="F175" s="6" t="str">
        <x:f>IF(E175="","",VLOOKUP(E175,Courses!$A$5:$G$10,2,FALSE))</x:f>
      </x:c>
      <x:c r="G175" s="47" t="str">
        <x:f>IF(E175="","",VLOOKUP(E175,Courses!$A$5:$G$10,3,FALSE))</x:f>
      </x:c>
      <x:c r="H175" s="9"/>
      <x:c r="I175" s="9"/>
      <x:c r="J175" s="51" t="str">
        <x:f>IF(I175="","",VLOOKUP(E175,Courses!$A$5:$G$10,6,FALSE))</x:f>
      </x:c>
      <x:c r="K175" s="47" t="n">
        <x:f>IF(AND(H175="Paid",I175&lt;&gt;""),G175*J175,0)</x:f>
        <x:v>0</x:v>
      </x:c>
      <x:c r="L175" s="9"/>
      <x:c r="M175" s="9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9"/>
      <x:c r="B176" s="9"/>
      <x:c r="C176" s="43"/>
      <x:c r="D176" s="9"/>
      <x:c r="E176" s="9"/>
      <x:c r="F176" s="6" t="str">
        <x:f>IF(E176="","",VLOOKUP(E176,Courses!$A$5:$G$10,2,FALSE))</x:f>
      </x:c>
      <x:c r="G176" s="47" t="str">
        <x:f>IF(E176="","",VLOOKUP(E176,Courses!$A$5:$G$10,3,FALSE))</x:f>
      </x:c>
      <x:c r="H176" s="9"/>
      <x:c r="I176" s="9"/>
      <x:c r="J176" s="51" t="str">
        <x:f>IF(I176="","",VLOOKUP(E176,Courses!$A$5:$G$10,6,FALSE))</x:f>
      </x:c>
      <x:c r="K176" s="47" t="n">
        <x:f>IF(AND(H176="Paid",I176&lt;&gt;""),G176*J176,0)</x:f>
        <x:v>0</x:v>
      </x:c>
      <x:c r="L176" s="9"/>
      <x:c r="M176" s="9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9"/>
      <x:c r="B177" s="9"/>
      <x:c r="C177" s="43"/>
      <x:c r="D177" s="9"/>
      <x:c r="E177" s="9"/>
      <x:c r="F177" s="6" t="str">
        <x:f>IF(E177="","",VLOOKUP(E177,Courses!$A$5:$G$10,2,FALSE))</x:f>
      </x:c>
      <x:c r="G177" s="47" t="str">
        <x:f>IF(E177="","",VLOOKUP(E177,Courses!$A$5:$G$10,3,FALSE))</x:f>
      </x:c>
      <x:c r="H177" s="9"/>
      <x:c r="I177" s="9"/>
      <x:c r="J177" s="51" t="str">
        <x:f>IF(I177="","",VLOOKUP(E177,Courses!$A$5:$G$10,6,FALSE))</x:f>
      </x:c>
      <x:c r="K177" s="47" t="n">
        <x:f>IF(AND(H177="Paid",I177&lt;&gt;""),G177*J177,0)</x:f>
        <x:v>0</x:v>
      </x:c>
      <x:c r="L177" s="9"/>
      <x:c r="M177" s="9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9"/>
      <x:c r="B178" s="9"/>
      <x:c r="C178" s="43"/>
      <x:c r="D178" s="9"/>
      <x:c r="E178" s="9"/>
      <x:c r="F178" s="6" t="str">
        <x:f>IF(E178="","",VLOOKUP(E178,Courses!$A$5:$G$10,2,FALSE))</x:f>
      </x:c>
      <x:c r="G178" s="47" t="str">
        <x:f>IF(E178="","",VLOOKUP(E178,Courses!$A$5:$G$10,3,FALSE))</x:f>
      </x:c>
      <x:c r="H178" s="9"/>
      <x:c r="I178" s="9"/>
      <x:c r="J178" s="51" t="str">
        <x:f>IF(I178="","",VLOOKUP(E178,Courses!$A$5:$G$10,6,FALSE))</x:f>
      </x:c>
      <x:c r="K178" s="47" t="n">
        <x:f>IF(AND(H178="Paid",I178&lt;&gt;""),G178*J178,0)</x:f>
        <x:v>0</x:v>
      </x:c>
      <x:c r="L178" s="9"/>
      <x:c r="M178" s="9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9"/>
      <x:c r="B179" s="9"/>
      <x:c r="C179" s="43"/>
      <x:c r="D179" s="9"/>
      <x:c r="E179" s="9"/>
      <x:c r="F179" s="6" t="str">
        <x:f>IF(E179="","",VLOOKUP(E179,Courses!$A$5:$G$10,2,FALSE))</x:f>
      </x:c>
      <x:c r="G179" s="47" t="str">
        <x:f>IF(E179="","",VLOOKUP(E179,Courses!$A$5:$G$10,3,FALSE))</x:f>
      </x:c>
      <x:c r="H179" s="9"/>
      <x:c r="I179" s="9"/>
      <x:c r="J179" s="51" t="str">
        <x:f>IF(I179="","",VLOOKUP(E179,Courses!$A$5:$G$10,6,FALSE))</x:f>
      </x:c>
      <x:c r="K179" s="47" t="n">
        <x:f>IF(AND(H179="Paid",I179&lt;&gt;""),G179*J179,0)</x:f>
        <x:v>0</x:v>
      </x:c>
      <x:c r="L179" s="9"/>
      <x:c r="M179" s="9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9"/>
      <x:c r="B180" s="9"/>
      <x:c r="C180" s="43"/>
      <x:c r="D180" s="9"/>
      <x:c r="E180" s="9"/>
      <x:c r="F180" s="6" t="str">
        <x:f>IF(E180="","",VLOOKUP(E180,Courses!$A$5:$G$10,2,FALSE))</x:f>
      </x:c>
      <x:c r="G180" s="47" t="str">
        <x:f>IF(E180="","",VLOOKUP(E180,Courses!$A$5:$G$10,3,FALSE))</x:f>
      </x:c>
      <x:c r="H180" s="9"/>
      <x:c r="I180" s="9"/>
      <x:c r="J180" s="51" t="str">
        <x:f>IF(I180="","",VLOOKUP(E180,Courses!$A$5:$G$10,6,FALSE))</x:f>
      </x:c>
      <x:c r="K180" s="47" t="n">
        <x:f>IF(AND(H180="Paid",I180&lt;&gt;""),G180*J180,0)</x:f>
        <x:v>0</x:v>
      </x:c>
      <x:c r="L180" s="9"/>
      <x:c r="M180" s="9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9"/>
      <x:c r="B181" s="9"/>
      <x:c r="C181" s="43"/>
      <x:c r="D181" s="9"/>
      <x:c r="E181" s="9"/>
      <x:c r="F181" s="6" t="str">
        <x:f>IF(E181="","",VLOOKUP(E181,Courses!$A$5:$G$10,2,FALSE))</x:f>
      </x:c>
      <x:c r="G181" s="47" t="str">
        <x:f>IF(E181="","",VLOOKUP(E181,Courses!$A$5:$G$10,3,FALSE))</x:f>
      </x:c>
      <x:c r="H181" s="9"/>
      <x:c r="I181" s="9"/>
      <x:c r="J181" s="51" t="str">
        <x:f>IF(I181="","",VLOOKUP(E181,Courses!$A$5:$G$10,6,FALSE))</x:f>
      </x:c>
      <x:c r="K181" s="47" t="n">
        <x:f>IF(AND(H181="Paid",I181&lt;&gt;""),G181*J181,0)</x:f>
        <x:v>0</x:v>
      </x:c>
      <x:c r="L181" s="9"/>
      <x:c r="M181" s="9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9"/>
      <x:c r="B182" s="9"/>
      <x:c r="C182" s="43"/>
      <x:c r="D182" s="9"/>
      <x:c r="E182" s="9"/>
      <x:c r="F182" s="6" t="str">
        <x:f>IF(E182="","",VLOOKUP(E182,Courses!$A$5:$G$10,2,FALSE))</x:f>
      </x:c>
      <x:c r="G182" s="47" t="str">
        <x:f>IF(E182="","",VLOOKUP(E182,Courses!$A$5:$G$10,3,FALSE))</x:f>
      </x:c>
      <x:c r="H182" s="9"/>
      <x:c r="I182" s="9"/>
      <x:c r="J182" s="51" t="str">
        <x:f>IF(I182="","",VLOOKUP(E182,Courses!$A$5:$G$10,6,FALSE))</x:f>
      </x:c>
      <x:c r="K182" s="47" t="n">
        <x:f>IF(AND(H182="Paid",I182&lt;&gt;""),G182*J182,0)</x:f>
        <x:v>0</x:v>
      </x:c>
      <x:c r="L182" s="9"/>
      <x:c r="M182" s="9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9"/>
      <x:c r="B183" s="9"/>
      <x:c r="C183" s="43"/>
      <x:c r="D183" s="9"/>
      <x:c r="E183" s="9"/>
      <x:c r="F183" s="6" t="str">
        <x:f>IF(E183="","",VLOOKUP(E183,Courses!$A$5:$G$10,2,FALSE))</x:f>
      </x:c>
      <x:c r="G183" s="47" t="str">
        <x:f>IF(E183="","",VLOOKUP(E183,Courses!$A$5:$G$10,3,FALSE))</x:f>
      </x:c>
      <x:c r="H183" s="9"/>
      <x:c r="I183" s="9"/>
      <x:c r="J183" s="51" t="str">
        <x:f>IF(I183="","",VLOOKUP(E183,Courses!$A$5:$G$10,6,FALSE))</x:f>
      </x:c>
      <x:c r="K183" s="47" t="n">
        <x:f>IF(AND(H183="Paid",I183&lt;&gt;""),G183*J183,0)</x:f>
        <x:v>0</x:v>
      </x:c>
      <x:c r="L183" s="9"/>
      <x:c r="M183" s="9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9"/>
      <x:c r="B184" s="9"/>
      <x:c r="C184" s="43"/>
      <x:c r="D184" s="9"/>
      <x:c r="E184" s="9"/>
      <x:c r="F184" s="6" t="str">
        <x:f>IF(E184="","",VLOOKUP(E184,Courses!$A$5:$G$10,2,FALSE))</x:f>
      </x:c>
      <x:c r="G184" s="47" t="str">
        <x:f>IF(E184="","",VLOOKUP(E184,Courses!$A$5:$G$10,3,FALSE))</x:f>
      </x:c>
      <x:c r="H184" s="9"/>
      <x:c r="I184" s="9"/>
      <x:c r="J184" s="51" t="str">
        <x:f>IF(I184="","",VLOOKUP(E184,Courses!$A$5:$G$10,6,FALSE))</x:f>
      </x:c>
      <x:c r="K184" s="47" t="n">
        <x:f>IF(AND(H184="Paid",I184&lt;&gt;""),G184*J184,0)</x:f>
        <x:v>0</x:v>
      </x:c>
      <x:c r="L184" s="9"/>
      <x:c r="M184" s="9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9"/>
      <x:c r="B185" s="9"/>
      <x:c r="C185" s="43"/>
      <x:c r="D185" s="9"/>
      <x:c r="E185" s="9"/>
      <x:c r="F185" s="6" t="str">
        <x:f>IF(E185="","",VLOOKUP(E185,Courses!$A$5:$G$10,2,FALSE))</x:f>
      </x:c>
      <x:c r="G185" s="47" t="str">
        <x:f>IF(E185="","",VLOOKUP(E185,Courses!$A$5:$G$10,3,FALSE))</x:f>
      </x:c>
      <x:c r="H185" s="9"/>
      <x:c r="I185" s="9"/>
      <x:c r="J185" s="51" t="str">
        <x:f>IF(I185="","",VLOOKUP(E185,Courses!$A$5:$G$10,6,FALSE))</x:f>
      </x:c>
      <x:c r="K185" s="47" t="n">
        <x:f>IF(AND(H185="Paid",I185&lt;&gt;""),G185*J185,0)</x:f>
        <x:v>0</x:v>
      </x:c>
      <x:c r="L185" s="9"/>
      <x:c r="M185" s="9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9"/>
      <x:c r="B186" s="9"/>
      <x:c r="C186" s="43"/>
      <x:c r="D186" s="9"/>
      <x:c r="E186" s="9"/>
      <x:c r="F186" s="6" t="str">
        <x:f>IF(E186="","",VLOOKUP(E186,Courses!$A$5:$G$10,2,FALSE))</x:f>
      </x:c>
      <x:c r="G186" s="47" t="str">
        <x:f>IF(E186="","",VLOOKUP(E186,Courses!$A$5:$G$10,3,FALSE))</x:f>
      </x:c>
      <x:c r="H186" s="9"/>
      <x:c r="I186" s="9"/>
      <x:c r="J186" s="51" t="str">
        <x:f>IF(I186="","",VLOOKUP(E186,Courses!$A$5:$G$10,6,FALSE))</x:f>
      </x:c>
      <x:c r="K186" s="47" t="n">
        <x:f>IF(AND(H186="Paid",I186&lt;&gt;""),G186*J186,0)</x:f>
        <x:v>0</x:v>
      </x:c>
      <x:c r="L186" s="9"/>
      <x:c r="M186" s="9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9"/>
      <x:c r="B187" s="9"/>
      <x:c r="C187" s="43"/>
      <x:c r="D187" s="9"/>
      <x:c r="E187" s="9"/>
      <x:c r="F187" s="6" t="str">
        <x:f>IF(E187="","",VLOOKUP(E187,Courses!$A$5:$G$10,2,FALSE))</x:f>
      </x:c>
      <x:c r="G187" s="47" t="str">
        <x:f>IF(E187="","",VLOOKUP(E187,Courses!$A$5:$G$10,3,FALSE))</x:f>
      </x:c>
      <x:c r="H187" s="9"/>
      <x:c r="I187" s="9"/>
      <x:c r="J187" s="51" t="str">
        <x:f>IF(I187="","",VLOOKUP(E187,Courses!$A$5:$G$10,6,FALSE))</x:f>
      </x:c>
      <x:c r="K187" s="47" t="n">
        <x:f>IF(AND(H187="Paid",I187&lt;&gt;""),G187*J187,0)</x:f>
        <x:v>0</x:v>
      </x:c>
      <x:c r="L187" s="9"/>
      <x:c r="M187" s="9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9"/>
      <x:c r="B188" s="9"/>
      <x:c r="C188" s="43"/>
      <x:c r="D188" s="9"/>
      <x:c r="E188" s="9"/>
      <x:c r="F188" s="6" t="str">
        <x:f>IF(E188="","",VLOOKUP(E188,Courses!$A$5:$G$10,2,FALSE))</x:f>
      </x:c>
      <x:c r="G188" s="47" t="str">
        <x:f>IF(E188="","",VLOOKUP(E188,Courses!$A$5:$G$10,3,FALSE))</x:f>
      </x:c>
      <x:c r="H188" s="9"/>
      <x:c r="I188" s="9"/>
      <x:c r="J188" s="51" t="str">
        <x:f>IF(I188="","",VLOOKUP(E188,Courses!$A$5:$G$10,6,FALSE))</x:f>
      </x:c>
      <x:c r="K188" s="47" t="n">
        <x:f>IF(AND(H188="Paid",I188&lt;&gt;""),G188*J188,0)</x:f>
        <x:v>0</x:v>
      </x:c>
      <x:c r="L188" s="9"/>
      <x:c r="M188" s="9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9"/>
      <x:c r="B189" s="9"/>
      <x:c r="C189" s="43"/>
      <x:c r="D189" s="9"/>
      <x:c r="E189" s="9"/>
      <x:c r="F189" s="6" t="str">
        <x:f>IF(E189="","",VLOOKUP(E189,Courses!$A$5:$G$10,2,FALSE))</x:f>
      </x:c>
      <x:c r="G189" s="47" t="str">
        <x:f>IF(E189="","",VLOOKUP(E189,Courses!$A$5:$G$10,3,FALSE))</x:f>
      </x:c>
      <x:c r="H189" s="9"/>
      <x:c r="I189" s="9"/>
      <x:c r="J189" s="51" t="str">
        <x:f>IF(I189="","",VLOOKUP(E189,Courses!$A$5:$G$10,6,FALSE))</x:f>
      </x:c>
      <x:c r="K189" s="47" t="n">
        <x:f>IF(AND(H189="Paid",I189&lt;&gt;""),G189*J189,0)</x:f>
        <x:v>0</x:v>
      </x:c>
      <x:c r="L189" s="9"/>
      <x:c r="M189" s="9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9"/>
      <x:c r="B190" s="9"/>
      <x:c r="C190" s="43"/>
      <x:c r="D190" s="9"/>
      <x:c r="E190" s="9"/>
      <x:c r="F190" s="6" t="str">
        <x:f>IF(E190="","",VLOOKUP(E190,Courses!$A$5:$G$10,2,FALSE))</x:f>
      </x:c>
      <x:c r="G190" s="47" t="str">
        <x:f>IF(E190="","",VLOOKUP(E190,Courses!$A$5:$G$10,3,FALSE))</x:f>
      </x:c>
      <x:c r="H190" s="9"/>
      <x:c r="I190" s="9"/>
      <x:c r="J190" s="51" t="str">
        <x:f>IF(I190="","",VLOOKUP(E190,Courses!$A$5:$G$10,6,FALSE))</x:f>
      </x:c>
      <x:c r="K190" s="47" t="n">
        <x:f>IF(AND(H190="Paid",I190&lt;&gt;""),G190*J190,0)</x:f>
        <x:v>0</x:v>
      </x:c>
      <x:c r="L190" s="9"/>
      <x:c r="M190" s="9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9"/>
      <x:c r="B191" s="9"/>
      <x:c r="C191" s="43"/>
      <x:c r="D191" s="9"/>
      <x:c r="E191" s="9"/>
      <x:c r="F191" s="6" t="str">
        <x:f>IF(E191="","",VLOOKUP(E191,Courses!$A$5:$G$10,2,FALSE))</x:f>
      </x:c>
      <x:c r="G191" s="47" t="str">
        <x:f>IF(E191="","",VLOOKUP(E191,Courses!$A$5:$G$10,3,FALSE))</x:f>
      </x:c>
      <x:c r="H191" s="9"/>
      <x:c r="I191" s="9"/>
      <x:c r="J191" s="51" t="str">
        <x:f>IF(I191="","",VLOOKUP(E191,Courses!$A$5:$G$10,6,FALSE))</x:f>
      </x:c>
      <x:c r="K191" s="47" t="n">
        <x:f>IF(AND(H191="Paid",I191&lt;&gt;""),G191*J191,0)</x:f>
        <x:v>0</x:v>
      </x:c>
      <x:c r="L191" s="9"/>
      <x:c r="M191" s="9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9"/>
      <x:c r="B192" s="9"/>
      <x:c r="C192" s="43"/>
      <x:c r="D192" s="9"/>
      <x:c r="E192" s="9"/>
      <x:c r="F192" s="6" t="str">
        <x:f>IF(E192="","",VLOOKUP(E192,Courses!$A$5:$G$10,2,FALSE))</x:f>
      </x:c>
      <x:c r="G192" s="47" t="str">
        <x:f>IF(E192="","",VLOOKUP(E192,Courses!$A$5:$G$10,3,FALSE))</x:f>
      </x:c>
      <x:c r="H192" s="9"/>
      <x:c r="I192" s="9"/>
      <x:c r="J192" s="51" t="str">
        <x:f>IF(I192="","",VLOOKUP(E192,Courses!$A$5:$G$10,6,FALSE))</x:f>
      </x:c>
      <x:c r="K192" s="47" t="n">
        <x:f>IF(AND(H192="Paid",I192&lt;&gt;""),G192*J192,0)</x:f>
        <x:v>0</x:v>
      </x:c>
      <x:c r="L192" s="9"/>
      <x:c r="M192" s="9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9"/>
      <x:c r="B193" s="9"/>
      <x:c r="C193" s="43"/>
      <x:c r="D193" s="9"/>
      <x:c r="E193" s="9"/>
      <x:c r="F193" s="6" t="str">
        <x:f>IF(E193="","",VLOOKUP(E193,Courses!$A$5:$G$10,2,FALSE))</x:f>
      </x:c>
      <x:c r="G193" s="47" t="str">
        <x:f>IF(E193="","",VLOOKUP(E193,Courses!$A$5:$G$10,3,FALSE))</x:f>
      </x:c>
      <x:c r="H193" s="9"/>
      <x:c r="I193" s="9"/>
      <x:c r="J193" s="51" t="str">
        <x:f>IF(I193="","",VLOOKUP(E193,Courses!$A$5:$G$10,6,FALSE))</x:f>
      </x:c>
      <x:c r="K193" s="47" t="n">
        <x:f>IF(AND(H193="Paid",I193&lt;&gt;""),G193*J193,0)</x:f>
        <x:v>0</x:v>
      </x:c>
      <x:c r="L193" s="9"/>
      <x:c r="M193" s="9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9"/>
      <x:c r="B194" s="9"/>
      <x:c r="C194" s="43"/>
      <x:c r="D194" s="9"/>
      <x:c r="E194" s="9"/>
      <x:c r="F194" s="6" t="str">
        <x:f>IF(E194="","",VLOOKUP(E194,Courses!$A$5:$G$10,2,FALSE))</x:f>
      </x:c>
      <x:c r="G194" s="47" t="str">
        <x:f>IF(E194="","",VLOOKUP(E194,Courses!$A$5:$G$10,3,FALSE))</x:f>
      </x:c>
      <x:c r="H194" s="9"/>
      <x:c r="I194" s="9"/>
      <x:c r="J194" s="51" t="str">
        <x:f>IF(I194="","",VLOOKUP(E194,Courses!$A$5:$G$10,6,FALSE))</x:f>
      </x:c>
      <x:c r="K194" s="47" t="n">
        <x:f>IF(AND(H194="Paid",I194&lt;&gt;""),G194*J194,0)</x:f>
        <x:v>0</x:v>
      </x:c>
      <x:c r="L194" s="9"/>
      <x:c r="M194" s="9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9"/>
      <x:c r="B195" s="9"/>
      <x:c r="C195" s="43"/>
      <x:c r="D195" s="9"/>
      <x:c r="E195" s="9"/>
      <x:c r="F195" s="6" t="str">
        <x:f>IF(E195="","",VLOOKUP(E195,Courses!$A$5:$G$10,2,FALSE))</x:f>
      </x:c>
      <x:c r="G195" s="47" t="str">
        <x:f>IF(E195="","",VLOOKUP(E195,Courses!$A$5:$G$10,3,FALSE))</x:f>
      </x:c>
      <x:c r="H195" s="9"/>
      <x:c r="I195" s="9"/>
      <x:c r="J195" s="51" t="str">
        <x:f>IF(I195="","",VLOOKUP(E195,Courses!$A$5:$G$10,6,FALSE))</x:f>
      </x:c>
      <x:c r="K195" s="47" t="n">
        <x:f>IF(AND(H195="Paid",I195&lt;&gt;""),G195*J195,0)</x:f>
        <x:v>0</x:v>
      </x:c>
      <x:c r="L195" s="9"/>
      <x:c r="M195" s="9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9"/>
      <x:c r="B196" s="9"/>
      <x:c r="C196" s="43"/>
      <x:c r="D196" s="9"/>
      <x:c r="E196" s="9"/>
      <x:c r="F196" s="6" t="str">
        <x:f>IF(E196="","",VLOOKUP(E196,Courses!$A$5:$G$10,2,FALSE))</x:f>
      </x:c>
      <x:c r="G196" s="47" t="str">
        <x:f>IF(E196="","",VLOOKUP(E196,Courses!$A$5:$G$10,3,FALSE))</x:f>
      </x:c>
      <x:c r="H196" s="9"/>
      <x:c r="I196" s="9"/>
      <x:c r="J196" s="51" t="str">
        <x:f>IF(I196="","",VLOOKUP(E196,Courses!$A$5:$G$10,6,FALSE))</x:f>
      </x:c>
      <x:c r="K196" s="47" t="n">
        <x:f>IF(AND(H196="Paid",I196&lt;&gt;""),G196*J196,0)</x:f>
        <x:v>0</x:v>
      </x:c>
      <x:c r="L196" s="9"/>
      <x:c r="M196" s="9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9"/>
      <x:c r="B197" s="9"/>
      <x:c r="C197" s="43"/>
      <x:c r="D197" s="9"/>
      <x:c r="E197" s="9"/>
      <x:c r="F197" s="6" t="str">
        <x:f>IF(E197="","",VLOOKUP(E197,Courses!$A$5:$G$10,2,FALSE))</x:f>
      </x:c>
      <x:c r="G197" s="47" t="str">
        <x:f>IF(E197="","",VLOOKUP(E197,Courses!$A$5:$G$10,3,FALSE))</x:f>
      </x:c>
      <x:c r="H197" s="9"/>
      <x:c r="I197" s="9"/>
      <x:c r="J197" s="51" t="str">
        <x:f>IF(I197="","",VLOOKUP(E197,Courses!$A$5:$G$10,6,FALSE))</x:f>
      </x:c>
      <x:c r="K197" s="47" t="n">
        <x:f>IF(AND(H197="Paid",I197&lt;&gt;""),G197*J197,0)</x:f>
        <x:v>0</x:v>
      </x:c>
      <x:c r="L197" s="9"/>
      <x:c r="M197" s="9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9"/>
      <x:c r="B198" s="9"/>
      <x:c r="C198" s="43"/>
      <x:c r="D198" s="9"/>
      <x:c r="E198" s="9"/>
      <x:c r="F198" s="6" t="str">
        <x:f>IF(E198="","",VLOOKUP(E198,Courses!$A$5:$G$10,2,FALSE))</x:f>
      </x:c>
      <x:c r="G198" s="47" t="str">
        <x:f>IF(E198="","",VLOOKUP(E198,Courses!$A$5:$G$10,3,FALSE))</x:f>
      </x:c>
      <x:c r="H198" s="9"/>
      <x:c r="I198" s="9"/>
      <x:c r="J198" s="51" t="str">
        <x:f>IF(I198="","",VLOOKUP(E198,Courses!$A$5:$G$10,6,FALSE))</x:f>
      </x:c>
      <x:c r="K198" s="47" t="n">
        <x:f>IF(AND(H198="Paid",I198&lt;&gt;""),G198*J198,0)</x:f>
        <x:v>0</x:v>
      </x:c>
      <x:c r="L198" s="9"/>
      <x:c r="M198" s="9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9"/>
      <x:c r="B199" s="9"/>
      <x:c r="C199" s="43"/>
      <x:c r="D199" s="9"/>
      <x:c r="E199" s="9"/>
      <x:c r="F199" s="6" t="str">
        <x:f>IF(E199="","",VLOOKUP(E199,Courses!$A$5:$G$10,2,FALSE))</x:f>
      </x:c>
      <x:c r="G199" s="47" t="str">
        <x:f>IF(E199="","",VLOOKUP(E199,Courses!$A$5:$G$10,3,FALSE))</x:f>
      </x:c>
      <x:c r="H199" s="9"/>
      <x:c r="I199" s="9"/>
      <x:c r="J199" s="51" t="str">
        <x:f>IF(I199="","",VLOOKUP(E199,Courses!$A$5:$G$10,6,FALSE))</x:f>
      </x:c>
      <x:c r="K199" s="47" t="n">
        <x:f>IF(AND(H199="Paid",I199&lt;&gt;""),G199*J199,0)</x:f>
        <x:v>0</x:v>
      </x:c>
      <x:c r="L199" s="9"/>
      <x:c r="M199" s="9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9"/>
      <x:c r="B200" s="9"/>
      <x:c r="C200" s="43"/>
      <x:c r="D200" s="9"/>
      <x:c r="E200" s="9"/>
      <x:c r="F200" s="6" t="str">
        <x:f>IF(E200="","",VLOOKUP(E200,Courses!$A$5:$G$10,2,FALSE))</x:f>
      </x:c>
      <x:c r="G200" s="47" t="str">
        <x:f>IF(E200="","",VLOOKUP(E200,Courses!$A$5:$G$10,3,FALSE))</x:f>
      </x:c>
      <x:c r="H200" s="9"/>
      <x:c r="I200" s="9"/>
      <x:c r="J200" s="51" t="str">
        <x:f>IF(I200="","",VLOOKUP(E200,Courses!$A$5:$G$10,6,FALSE))</x:f>
      </x:c>
      <x:c r="K200" s="47" t="n">
        <x:f>IF(AND(H200="Paid",I200&lt;&gt;""),G200*J200,0)</x:f>
        <x:v>0</x:v>
      </x:c>
      <x:c r="L200" s="9"/>
      <x:c r="M200" s="9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9"/>
      <x:c r="B201" s="9"/>
      <x:c r="C201" s="43"/>
      <x:c r="D201" s="9"/>
      <x:c r="E201" s="9"/>
      <x:c r="F201" s="6" t="str">
        <x:f>IF(E201="","",VLOOKUP(E201,Courses!$A$5:$G$10,2,FALSE))</x:f>
      </x:c>
      <x:c r="G201" s="47" t="str">
        <x:f>IF(E201="","",VLOOKUP(E201,Courses!$A$5:$G$10,3,FALSE))</x:f>
      </x:c>
      <x:c r="H201" s="9"/>
      <x:c r="I201" s="9"/>
      <x:c r="J201" s="51" t="str">
        <x:f>IF(I201="","",VLOOKUP(E201,Courses!$A$5:$G$10,6,FALSE))</x:f>
      </x:c>
      <x:c r="K201" s="47" t="n">
        <x:f>IF(AND(H201="Paid",I201&lt;&gt;""),G201*J201,0)</x:f>
        <x:v>0</x:v>
      </x:c>
      <x:c r="L201" s="9"/>
      <x:c r="M201" s="9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9"/>
      <x:c r="B202" s="9"/>
      <x:c r="C202" s="43"/>
      <x:c r="D202" s="9"/>
      <x:c r="E202" s="9"/>
      <x:c r="F202" s="6" t="str">
        <x:f>IF(E202="","",VLOOKUP(E202,Courses!$A$5:$G$10,2,FALSE))</x:f>
      </x:c>
      <x:c r="G202" s="47" t="str">
        <x:f>IF(E202="","",VLOOKUP(E202,Courses!$A$5:$G$10,3,FALSE))</x:f>
      </x:c>
      <x:c r="H202" s="9"/>
      <x:c r="I202" s="9"/>
      <x:c r="J202" s="51" t="str">
        <x:f>IF(I202="","",VLOOKUP(E202,Courses!$A$5:$G$10,6,FALSE))</x:f>
      </x:c>
      <x:c r="K202" s="47" t="n">
        <x:f>IF(AND(H202="Paid",I202&lt;&gt;""),G202*J202,0)</x:f>
        <x:v>0</x:v>
      </x:c>
      <x:c r="L202" s="9"/>
      <x:c r="M202" s="9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9"/>
      <x:c r="B203" s="9"/>
      <x:c r="C203" s="43"/>
      <x:c r="D203" s="9"/>
      <x:c r="E203" s="9"/>
      <x:c r="F203" s="6" t="str">
        <x:f>IF(E203="","",VLOOKUP(E203,Courses!$A$5:$G$10,2,FALSE))</x:f>
      </x:c>
      <x:c r="G203" s="47" t="str">
        <x:f>IF(E203="","",VLOOKUP(E203,Courses!$A$5:$G$10,3,FALSE))</x:f>
      </x:c>
      <x:c r="H203" s="9"/>
      <x:c r="I203" s="9"/>
      <x:c r="J203" s="51" t="str">
        <x:f>IF(I203="","",VLOOKUP(E203,Courses!$A$5:$G$10,6,FALSE))</x:f>
      </x:c>
      <x:c r="K203" s="47" t="n">
        <x:f>IF(AND(H203="Paid",I203&lt;&gt;""),G203*J203,0)</x:f>
        <x:v>0</x:v>
      </x:c>
      <x:c r="L203" s="9"/>
      <x:c r="M203" s="9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9"/>
      <x:c r="B204" s="9"/>
      <x:c r="C204" s="43"/>
      <x:c r="D204" s="9"/>
      <x:c r="E204" s="9"/>
      <x:c r="F204" s="6" t="str">
        <x:f>IF(E204="","",VLOOKUP(E204,Courses!$A$5:$G$10,2,FALSE))</x:f>
      </x:c>
      <x:c r="G204" s="47" t="str">
        <x:f>IF(E204="","",VLOOKUP(E204,Courses!$A$5:$G$10,3,FALSE))</x:f>
      </x:c>
      <x:c r="H204" s="9"/>
      <x:c r="I204" s="9"/>
      <x:c r="J204" s="51" t="str">
        <x:f>IF(I204="","",VLOOKUP(E204,Courses!$A$5:$G$10,6,FALSE))</x:f>
      </x:c>
      <x:c r="K204" s="47" t="n">
        <x:f>IF(AND(H204="Paid",I204&lt;&gt;""),G204*J204,0)</x:f>
        <x:v>0</x:v>
      </x:c>
      <x:c r="L204" s="9"/>
      <x:c r="M204" s="9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9"/>
      <x:c r="B205" s="9"/>
      <x:c r="C205" s="43"/>
      <x:c r="D205" s="9"/>
      <x:c r="E205" s="9"/>
      <x:c r="F205" s="6" t="str">
        <x:f>IF(E205="","",VLOOKUP(E205,Courses!$A$5:$G$10,2,FALSE))</x:f>
      </x:c>
      <x:c r="G205" s="47" t="str">
        <x:f>IF(E205="","",VLOOKUP(E205,Courses!$A$5:$G$10,3,FALSE))</x:f>
      </x:c>
      <x:c r="H205" s="9"/>
      <x:c r="I205" s="9"/>
      <x:c r="J205" s="51" t="str">
        <x:f>IF(I205="","",VLOOKUP(E205,Courses!$A$5:$G$10,6,FALSE))</x:f>
      </x:c>
      <x:c r="K205" s="47" t="n">
        <x:f>IF(AND(H205="Paid",I205&lt;&gt;""),G205*J205,0)</x:f>
        <x:v>0</x:v>
      </x:c>
      <x:c r="L205" s="9"/>
      <x:c r="M205" s="9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9"/>
      <x:c r="B206" s="9"/>
      <x:c r="C206" s="43"/>
      <x:c r="D206" s="9"/>
      <x:c r="E206" s="9"/>
      <x:c r="F206" s="6" t="str">
        <x:f>IF(E206="","",VLOOKUP(E206,Courses!$A$5:$G$10,2,FALSE))</x:f>
      </x:c>
      <x:c r="G206" s="47" t="str">
        <x:f>IF(E206="","",VLOOKUP(E206,Courses!$A$5:$G$10,3,FALSE))</x:f>
      </x:c>
      <x:c r="H206" s="9"/>
      <x:c r="I206" s="9"/>
      <x:c r="J206" s="51" t="str">
        <x:f>IF(I206="","",VLOOKUP(E206,Courses!$A$5:$G$10,6,FALSE))</x:f>
      </x:c>
      <x:c r="K206" s="47" t="n">
        <x:f>IF(AND(H206="Paid",I206&lt;&gt;""),G206*J206,0)</x:f>
        <x:v>0</x:v>
      </x:c>
      <x:c r="L206" s="9"/>
      <x:c r="M206" s="9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9"/>
      <x:c r="B207" s="9"/>
      <x:c r="C207" s="43"/>
      <x:c r="D207" s="9"/>
      <x:c r="E207" s="9"/>
      <x:c r="F207" s="6" t="str">
        <x:f>IF(E207="","",VLOOKUP(E207,Courses!$A$5:$G$10,2,FALSE))</x:f>
      </x:c>
      <x:c r="G207" s="47" t="str">
        <x:f>IF(E207="","",VLOOKUP(E207,Courses!$A$5:$G$10,3,FALSE))</x:f>
      </x:c>
      <x:c r="H207" s="9"/>
      <x:c r="I207" s="9"/>
      <x:c r="J207" s="51" t="str">
        <x:f>IF(I207="","",VLOOKUP(E207,Courses!$A$5:$G$10,6,FALSE))</x:f>
      </x:c>
      <x:c r="K207" s="47" t="n">
        <x:f>IF(AND(H207="Paid",I207&lt;&gt;""),G207*J207,0)</x:f>
        <x:v>0</x:v>
      </x:c>
      <x:c r="L207" s="9"/>
      <x:c r="M207" s="9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9"/>
      <x:c r="B208" s="9"/>
      <x:c r="C208" s="43"/>
      <x:c r="D208" s="9"/>
      <x:c r="E208" s="9"/>
      <x:c r="F208" s="6" t="str">
        <x:f>IF(E208="","",VLOOKUP(E208,Courses!$A$5:$G$10,2,FALSE))</x:f>
      </x:c>
      <x:c r="G208" s="47" t="str">
        <x:f>IF(E208="","",VLOOKUP(E208,Courses!$A$5:$G$10,3,FALSE))</x:f>
      </x:c>
      <x:c r="H208" s="9"/>
      <x:c r="I208" s="9"/>
      <x:c r="J208" s="51" t="str">
        <x:f>IF(I208="","",VLOOKUP(E208,Courses!$A$5:$G$10,6,FALSE))</x:f>
      </x:c>
      <x:c r="K208" s="47" t="n">
        <x:f>IF(AND(H208="Paid",I208&lt;&gt;""),G208*J208,0)</x:f>
        <x:v>0</x:v>
      </x:c>
      <x:c r="L208" s="9"/>
      <x:c r="M208" s="9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9"/>
      <x:c r="B209" s="9"/>
      <x:c r="C209" s="43"/>
      <x:c r="D209" s="9"/>
      <x:c r="E209" s="9"/>
      <x:c r="F209" s="6" t="str">
        <x:f>IF(E209="","",VLOOKUP(E209,Courses!$A$5:$G$10,2,FALSE))</x:f>
      </x:c>
      <x:c r="G209" s="47" t="str">
        <x:f>IF(E209="","",VLOOKUP(E209,Courses!$A$5:$G$10,3,FALSE))</x:f>
      </x:c>
      <x:c r="H209" s="9"/>
      <x:c r="I209" s="9"/>
      <x:c r="J209" s="51" t="str">
        <x:f>IF(I209="","",VLOOKUP(E209,Courses!$A$5:$G$10,6,FALSE))</x:f>
      </x:c>
      <x:c r="K209" s="47" t="n">
        <x:f>IF(AND(H209="Paid",I209&lt;&gt;""),G209*J209,0)</x:f>
        <x:v>0</x:v>
      </x:c>
      <x:c r="L209" s="9"/>
      <x:c r="M209" s="9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9"/>
      <x:c r="B210" s="9"/>
      <x:c r="C210" s="43"/>
      <x:c r="D210" s="9"/>
      <x:c r="E210" s="9"/>
      <x:c r="F210" s="6" t="str">
        <x:f>IF(E210="","",VLOOKUP(E210,Courses!$A$5:$G$10,2,FALSE))</x:f>
      </x:c>
      <x:c r="G210" s="47" t="str">
        <x:f>IF(E210="","",VLOOKUP(E210,Courses!$A$5:$G$10,3,FALSE))</x:f>
      </x:c>
      <x:c r="H210" s="9"/>
      <x:c r="I210" s="9"/>
      <x:c r="J210" s="51" t="str">
        <x:f>IF(I210="","",VLOOKUP(E210,Courses!$A$5:$G$10,6,FALSE))</x:f>
      </x:c>
      <x:c r="K210" s="47" t="n">
        <x:f>IF(AND(H210="Paid",I210&lt;&gt;""),G210*J210,0)</x:f>
        <x:v>0</x:v>
      </x:c>
      <x:c r="L210" s="9"/>
      <x:c r="M210" s="9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9"/>
      <x:c r="B211" s="9"/>
      <x:c r="C211" s="43"/>
      <x:c r="D211" s="9"/>
      <x:c r="E211" s="9"/>
      <x:c r="F211" s="6" t="str">
        <x:f>IF(E211="","",VLOOKUP(E211,Courses!$A$5:$G$10,2,FALSE))</x:f>
      </x:c>
      <x:c r="G211" s="47" t="str">
        <x:f>IF(E211="","",VLOOKUP(E211,Courses!$A$5:$G$10,3,FALSE))</x:f>
      </x:c>
      <x:c r="H211" s="9"/>
      <x:c r="I211" s="9"/>
      <x:c r="J211" s="51" t="str">
        <x:f>IF(I211="","",VLOOKUP(E211,Courses!$A$5:$G$10,6,FALSE))</x:f>
      </x:c>
      <x:c r="K211" s="47" t="n">
        <x:f>IF(AND(H211="Paid",I211&lt;&gt;""),G211*J211,0)</x:f>
        <x:v>0</x:v>
      </x:c>
      <x:c r="L211" s="9"/>
      <x:c r="M211" s="9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9"/>
      <x:c r="B212" s="9"/>
      <x:c r="C212" s="43"/>
      <x:c r="D212" s="9"/>
      <x:c r="E212" s="9"/>
      <x:c r="F212" s="6" t="str">
        <x:f>IF(E212="","",VLOOKUP(E212,Courses!$A$5:$G$10,2,FALSE))</x:f>
      </x:c>
      <x:c r="G212" s="47" t="str">
        <x:f>IF(E212="","",VLOOKUP(E212,Courses!$A$5:$G$10,3,FALSE))</x:f>
      </x:c>
      <x:c r="H212" s="9"/>
      <x:c r="I212" s="9"/>
      <x:c r="J212" s="51" t="str">
        <x:f>IF(I212="","",VLOOKUP(E212,Courses!$A$5:$G$10,6,FALSE))</x:f>
      </x:c>
      <x:c r="K212" s="47" t="n">
        <x:f>IF(AND(H212="Paid",I212&lt;&gt;""),G212*J212,0)</x:f>
        <x:v>0</x:v>
      </x:c>
      <x:c r="L212" s="9"/>
      <x:c r="M212" s="9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9"/>
      <x:c r="B213" s="9"/>
      <x:c r="C213" s="43"/>
      <x:c r="D213" s="9"/>
      <x:c r="E213" s="9"/>
      <x:c r="F213" s="6" t="str">
        <x:f>IF(E213="","",VLOOKUP(E213,Courses!$A$5:$G$10,2,FALSE))</x:f>
      </x:c>
      <x:c r="G213" s="47" t="str">
        <x:f>IF(E213="","",VLOOKUP(E213,Courses!$A$5:$G$10,3,FALSE))</x:f>
      </x:c>
      <x:c r="H213" s="9"/>
      <x:c r="I213" s="9"/>
      <x:c r="J213" s="51" t="str">
        <x:f>IF(I213="","",VLOOKUP(E213,Courses!$A$5:$G$10,6,FALSE))</x:f>
      </x:c>
      <x:c r="K213" s="47" t="n">
        <x:f>IF(AND(H213="Paid",I213&lt;&gt;""),G213*J213,0)</x:f>
        <x:v>0</x:v>
      </x:c>
      <x:c r="L213" s="9"/>
      <x:c r="M213" s="9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9"/>
      <x:c r="B214" s="9"/>
      <x:c r="C214" s="43"/>
      <x:c r="D214" s="9"/>
      <x:c r="E214" s="9"/>
      <x:c r="F214" s="6" t="str">
        <x:f>IF(E214="","",VLOOKUP(E214,Courses!$A$5:$G$10,2,FALSE))</x:f>
      </x:c>
      <x:c r="G214" s="47" t="str">
        <x:f>IF(E214="","",VLOOKUP(E214,Courses!$A$5:$G$10,3,FALSE))</x:f>
      </x:c>
      <x:c r="H214" s="9"/>
      <x:c r="I214" s="9"/>
      <x:c r="J214" s="51" t="str">
        <x:f>IF(I214="","",VLOOKUP(E214,Courses!$A$5:$G$10,6,FALSE))</x:f>
      </x:c>
      <x:c r="K214" s="47" t="n">
        <x:f>IF(AND(H214="Paid",I214&lt;&gt;""),G214*J214,0)</x:f>
        <x:v>0</x:v>
      </x:c>
      <x:c r="L214" s="9"/>
      <x:c r="M214" s="9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9"/>
      <x:c r="B215" s="9"/>
      <x:c r="C215" s="43"/>
      <x:c r="D215" s="9"/>
      <x:c r="E215" s="9"/>
      <x:c r="F215" s="6" t="str">
        <x:f>IF(E215="","",VLOOKUP(E215,Courses!$A$5:$G$10,2,FALSE))</x:f>
      </x:c>
      <x:c r="G215" s="47" t="str">
        <x:f>IF(E215="","",VLOOKUP(E215,Courses!$A$5:$G$10,3,FALSE))</x:f>
      </x:c>
      <x:c r="H215" s="9"/>
      <x:c r="I215" s="9"/>
      <x:c r="J215" s="51" t="str">
        <x:f>IF(I215="","",VLOOKUP(E215,Courses!$A$5:$G$10,6,FALSE))</x:f>
      </x:c>
      <x:c r="K215" s="47" t="n">
        <x:f>IF(AND(H215="Paid",I215&lt;&gt;""),G215*J215,0)</x:f>
        <x:v>0</x:v>
      </x:c>
      <x:c r="L215" s="9"/>
      <x:c r="M215" s="9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9"/>
      <x:c r="B216" s="9"/>
      <x:c r="C216" s="43"/>
      <x:c r="D216" s="9"/>
      <x:c r="E216" s="9"/>
      <x:c r="F216" s="6" t="str">
        <x:f>IF(E216="","",VLOOKUP(E216,Courses!$A$5:$G$10,2,FALSE))</x:f>
      </x:c>
      <x:c r="G216" s="47" t="str">
        <x:f>IF(E216="","",VLOOKUP(E216,Courses!$A$5:$G$10,3,FALSE))</x:f>
      </x:c>
      <x:c r="H216" s="9"/>
      <x:c r="I216" s="9"/>
      <x:c r="J216" s="51" t="str">
        <x:f>IF(I216="","",VLOOKUP(E216,Courses!$A$5:$G$10,6,FALSE))</x:f>
      </x:c>
      <x:c r="K216" s="47" t="n">
        <x:f>IF(AND(H216="Paid",I216&lt;&gt;""),G216*J216,0)</x:f>
        <x:v>0</x:v>
      </x:c>
      <x:c r="L216" s="9"/>
      <x:c r="M216" s="9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9"/>
      <x:c r="B217" s="9"/>
      <x:c r="C217" s="43"/>
      <x:c r="D217" s="9"/>
      <x:c r="E217" s="9"/>
      <x:c r="F217" s="6" t="str">
        <x:f>IF(E217="","",VLOOKUP(E217,Courses!$A$5:$G$10,2,FALSE))</x:f>
      </x:c>
      <x:c r="G217" s="47" t="str">
        <x:f>IF(E217="","",VLOOKUP(E217,Courses!$A$5:$G$10,3,FALSE))</x:f>
      </x:c>
      <x:c r="H217" s="9"/>
      <x:c r="I217" s="9"/>
      <x:c r="J217" s="51" t="str">
        <x:f>IF(I217="","",VLOOKUP(E217,Courses!$A$5:$G$10,6,FALSE))</x:f>
      </x:c>
      <x:c r="K217" s="47" t="n">
        <x:f>IF(AND(H217="Paid",I217&lt;&gt;""),G217*J217,0)</x:f>
        <x:v>0</x:v>
      </x:c>
      <x:c r="L217" s="9"/>
      <x:c r="M217" s="9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9"/>
      <x:c r="B218" s="9"/>
      <x:c r="C218" s="43"/>
      <x:c r="D218" s="9"/>
      <x:c r="E218" s="9"/>
      <x:c r="F218" s="6" t="str">
        <x:f>IF(E218="","",VLOOKUP(E218,Courses!$A$5:$G$10,2,FALSE))</x:f>
      </x:c>
      <x:c r="G218" s="47" t="str">
        <x:f>IF(E218="","",VLOOKUP(E218,Courses!$A$5:$G$10,3,FALSE))</x:f>
      </x:c>
      <x:c r="H218" s="9"/>
      <x:c r="I218" s="9"/>
      <x:c r="J218" s="51" t="str">
        <x:f>IF(I218="","",VLOOKUP(E218,Courses!$A$5:$G$10,6,FALSE))</x:f>
      </x:c>
      <x:c r="K218" s="47" t="n">
        <x:f>IF(AND(H218="Paid",I218&lt;&gt;""),G218*J218,0)</x:f>
        <x:v>0</x:v>
      </x:c>
      <x:c r="L218" s="9"/>
      <x:c r="M218" s="9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9"/>
      <x:c r="B219" s="9"/>
      <x:c r="C219" s="43"/>
      <x:c r="D219" s="9"/>
      <x:c r="E219" s="9"/>
      <x:c r="F219" s="6" t="str">
        <x:f>IF(E219="","",VLOOKUP(E219,Courses!$A$5:$G$10,2,FALSE))</x:f>
      </x:c>
      <x:c r="G219" s="47" t="str">
        <x:f>IF(E219="","",VLOOKUP(E219,Courses!$A$5:$G$10,3,FALSE))</x:f>
      </x:c>
      <x:c r="H219" s="9"/>
      <x:c r="I219" s="9"/>
      <x:c r="J219" s="51" t="str">
        <x:f>IF(I219="","",VLOOKUP(E219,Courses!$A$5:$G$10,6,FALSE))</x:f>
      </x:c>
      <x:c r="K219" s="47" t="n">
        <x:f>IF(AND(H219="Paid",I219&lt;&gt;""),G219*J219,0)</x:f>
        <x:v>0</x:v>
      </x:c>
      <x:c r="L219" s="9"/>
      <x:c r="M219" s="9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9"/>
      <x:c r="B220" s="9"/>
      <x:c r="C220" s="43"/>
      <x:c r="D220" s="9"/>
      <x:c r="E220" s="9"/>
      <x:c r="F220" s="6" t="str">
        <x:f>IF(E220="","",VLOOKUP(E220,Courses!$A$5:$G$10,2,FALSE))</x:f>
      </x:c>
      <x:c r="G220" s="47" t="str">
        <x:f>IF(E220="","",VLOOKUP(E220,Courses!$A$5:$G$10,3,FALSE))</x:f>
      </x:c>
      <x:c r="H220" s="9"/>
      <x:c r="I220" s="9"/>
      <x:c r="J220" s="51" t="str">
        <x:f>IF(I220="","",VLOOKUP(E220,Courses!$A$5:$G$10,6,FALSE))</x:f>
      </x:c>
      <x:c r="K220" s="47" t="n">
        <x:f>IF(AND(H220="Paid",I220&lt;&gt;""),G220*J220,0)</x:f>
        <x:v>0</x:v>
      </x:c>
      <x:c r="L220" s="9"/>
      <x:c r="M220" s="9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9"/>
      <x:c r="B221" s="9"/>
      <x:c r="C221" s="43"/>
      <x:c r="D221" s="9"/>
      <x:c r="E221" s="9"/>
      <x:c r="F221" s="6" t="str">
        <x:f>IF(E221="","",VLOOKUP(E221,Courses!$A$5:$G$10,2,FALSE))</x:f>
      </x:c>
      <x:c r="G221" s="47" t="str">
        <x:f>IF(E221="","",VLOOKUP(E221,Courses!$A$5:$G$10,3,FALSE))</x:f>
      </x:c>
      <x:c r="H221" s="9"/>
      <x:c r="I221" s="9"/>
      <x:c r="J221" s="51" t="str">
        <x:f>IF(I221="","",VLOOKUP(E221,Courses!$A$5:$G$10,6,FALSE))</x:f>
      </x:c>
      <x:c r="K221" s="47" t="n">
        <x:f>IF(AND(H221="Paid",I221&lt;&gt;""),G221*J221,0)</x:f>
        <x:v>0</x:v>
      </x:c>
      <x:c r="L221" s="9"/>
      <x:c r="M221" s="9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9"/>
      <x:c r="B222" s="9"/>
      <x:c r="C222" s="43"/>
      <x:c r="D222" s="9"/>
      <x:c r="E222" s="9"/>
      <x:c r="F222" s="6" t="str">
        <x:f>IF(E222="","",VLOOKUP(E222,Courses!$A$5:$G$10,2,FALSE))</x:f>
      </x:c>
      <x:c r="G222" s="47" t="str">
        <x:f>IF(E222="","",VLOOKUP(E222,Courses!$A$5:$G$10,3,FALSE))</x:f>
      </x:c>
      <x:c r="H222" s="9"/>
      <x:c r="I222" s="9"/>
      <x:c r="J222" s="51" t="str">
        <x:f>IF(I222="","",VLOOKUP(E222,Courses!$A$5:$G$10,6,FALSE))</x:f>
      </x:c>
      <x:c r="K222" s="47" t="n">
        <x:f>IF(AND(H222="Paid",I222&lt;&gt;""),G222*J222,0)</x:f>
        <x:v>0</x:v>
      </x:c>
      <x:c r="L222" s="9"/>
      <x:c r="M222" s="9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9"/>
      <x:c r="B223" s="9"/>
      <x:c r="C223" s="43"/>
      <x:c r="D223" s="9"/>
      <x:c r="E223" s="9"/>
      <x:c r="F223" s="6" t="str">
        <x:f>IF(E223="","",VLOOKUP(E223,Courses!$A$5:$G$10,2,FALSE))</x:f>
      </x:c>
      <x:c r="G223" s="47" t="str">
        <x:f>IF(E223="","",VLOOKUP(E223,Courses!$A$5:$G$10,3,FALSE))</x:f>
      </x:c>
      <x:c r="H223" s="9"/>
      <x:c r="I223" s="9"/>
      <x:c r="J223" s="51" t="str">
        <x:f>IF(I223="","",VLOOKUP(E223,Courses!$A$5:$G$10,6,FALSE))</x:f>
      </x:c>
      <x:c r="K223" s="47" t="n">
        <x:f>IF(AND(H223="Paid",I223&lt;&gt;""),G223*J223,0)</x:f>
        <x:v>0</x:v>
      </x:c>
      <x:c r="L223" s="9"/>
      <x:c r="M223" s="9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9"/>
      <x:c r="B224" s="9"/>
      <x:c r="C224" s="43"/>
      <x:c r="D224" s="9"/>
      <x:c r="E224" s="9"/>
      <x:c r="F224" s="6" t="str">
        <x:f>IF(E224="","",VLOOKUP(E224,Courses!$A$5:$G$10,2,FALSE))</x:f>
      </x:c>
      <x:c r="G224" s="47" t="str">
        <x:f>IF(E224="","",VLOOKUP(E224,Courses!$A$5:$G$10,3,FALSE))</x:f>
      </x:c>
      <x:c r="H224" s="9"/>
      <x:c r="I224" s="9"/>
      <x:c r="J224" s="51" t="str">
        <x:f>IF(I224="","",VLOOKUP(E224,Courses!$A$5:$G$10,6,FALSE))</x:f>
      </x:c>
      <x:c r="K224" s="47" t="n">
        <x:f>IF(AND(H224="Paid",I224&lt;&gt;""),G224*J224,0)</x:f>
        <x:v>0</x:v>
      </x:c>
      <x:c r="L224" s="9"/>
      <x:c r="M224" s="9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9"/>
      <x:c r="B225" s="9"/>
      <x:c r="C225" s="43"/>
      <x:c r="D225" s="9"/>
      <x:c r="E225" s="9"/>
      <x:c r="F225" s="6" t="str">
        <x:f>IF(E225="","",VLOOKUP(E225,Courses!$A$5:$G$10,2,FALSE))</x:f>
      </x:c>
      <x:c r="G225" s="47" t="str">
        <x:f>IF(E225="","",VLOOKUP(E225,Courses!$A$5:$G$10,3,FALSE))</x:f>
      </x:c>
      <x:c r="H225" s="9"/>
      <x:c r="I225" s="9"/>
      <x:c r="J225" s="51" t="str">
        <x:f>IF(I225="","",VLOOKUP(E225,Courses!$A$5:$G$10,6,FALSE))</x:f>
      </x:c>
      <x:c r="K225" s="47" t="n">
        <x:f>IF(AND(H225="Paid",I225&lt;&gt;""),G225*J225,0)</x:f>
        <x:v>0</x:v>
      </x:c>
      <x:c r="L225" s="9"/>
      <x:c r="M225" s="9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9"/>
      <x:c r="B226" s="9"/>
      <x:c r="C226" s="43"/>
      <x:c r="D226" s="9"/>
      <x:c r="E226" s="9"/>
      <x:c r="F226" s="6" t="str">
        <x:f>IF(E226="","",VLOOKUP(E226,Courses!$A$5:$G$10,2,FALSE))</x:f>
      </x:c>
      <x:c r="G226" s="47" t="str">
        <x:f>IF(E226="","",VLOOKUP(E226,Courses!$A$5:$G$10,3,FALSE))</x:f>
      </x:c>
      <x:c r="H226" s="9"/>
      <x:c r="I226" s="9"/>
      <x:c r="J226" s="51" t="str">
        <x:f>IF(I226="","",VLOOKUP(E226,Courses!$A$5:$G$10,6,FALSE))</x:f>
      </x:c>
      <x:c r="K226" s="47" t="n">
        <x:f>IF(AND(H226="Paid",I226&lt;&gt;""),G226*J226,0)</x:f>
        <x:v>0</x:v>
      </x:c>
      <x:c r="L226" s="9"/>
      <x:c r="M226" s="9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9"/>
      <x:c r="B227" s="9"/>
      <x:c r="C227" s="43"/>
      <x:c r="D227" s="9"/>
      <x:c r="E227" s="9"/>
      <x:c r="F227" s="6" t="str">
        <x:f>IF(E227="","",VLOOKUP(E227,Courses!$A$5:$G$10,2,FALSE))</x:f>
      </x:c>
      <x:c r="G227" s="47" t="str">
        <x:f>IF(E227="","",VLOOKUP(E227,Courses!$A$5:$G$10,3,FALSE))</x:f>
      </x:c>
      <x:c r="H227" s="9"/>
      <x:c r="I227" s="9"/>
      <x:c r="J227" s="51" t="str">
        <x:f>IF(I227="","",VLOOKUP(E227,Courses!$A$5:$G$10,6,FALSE))</x:f>
      </x:c>
      <x:c r="K227" s="47" t="n">
        <x:f>IF(AND(H227="Paid",I227&lt;&gt;""),G227*J227,0)</x:f>
        <x:v>0</x:v>
      </x:c>
      <x:c r="L227" s="9"/>
      <x:c r="M227" s="9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9"/>
      <x:c r="B228" s="9"/>
      <x:c r="C228" s="43"/>
      <x:c r="D228" s="9"/>
      <x:c r="E228" s="9"/>
      <x:c r="F228" s="6" t="str">
        <x:f>IF(E228="","",VLOOKUP(E228,Courses!$A$5:$G$10,2,FALSE))</x:f>
      </x:c>
      <x:c r="G228" s="47" t="str">
        <x:f>IF(E228="","",VLOOKUP(E228,Courses!$A$5:$G$10,3,FALSE))</x:f>
      </x:c>
      <x:c r="H228" s="9"/>
      <x:c r="I228" s="9"/>
      <x:c r="J228" s="51" t="str">
        <x:f>IF(I228="","",VLOOKUP(E228,Courses!$A$5:$G$10,6,FALSE))</x:f>
      </x:c>
      <x:c r="K228" s="47" t="n">
        <x:f>IF(AND(H228="Paid",I228&lt;&gt;""),G228*J228,0)</x:f>
        <x:v>0</x:v>
      </x:c>
      <x:c r="L228" s="9"/>
      <x:c r="M228" s="9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9"/>
      <x:c r="B229" s="9"/>
      <x:c r="C229" s="43"/>
      <x:c r="D229" s="9"/>
      <x:c r="E229" s="9"/>
      <x:c r="F229" s="6" t="str">
        <x:f>IF(E229="","",VLOOKUP(E229,Courses!$A$5:$G$10,2,FALSE))</x:f>
      </x:c>
      <x:c r="G229" s="47" t="str">
        <x:f>IF(E229="","",VLOOKUP(E229,Courses!$A$5:$G$10,3,FALSE))</x:f>
      </x:c>
      <x:c r="H229" s="9"/>
      <x:c r="I229" s="9"/>
      <x:c r="J229" s="51" t="str">
        <x:f>IF(I229="","",VLOOKUP(E229,Courses!$A$5:$G$10,6,FALSE))</x:f>
      </x:c>
      <x:c r="K229" s="47" t="n">
        <x:f>IF(AND(H229="Paid",I229&lt;&gt;""),G229*J229,0)</x:f>
        <x:v>0</x:v>
      </x:c>
      <x:c r="L229" s="9"/>
      <x:c r="M229" s="9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9"/>
      <x:c r="B230" s="9"/>
      <x:c r="C230" s="43"/>
      <x:c r="D230" s="9"/>
      <x:c r="E230" s="9"/>
      <x:c r="F230" s="6" t="str">
        <x:f>IF(E230="","",VLOOKUP(E230,Courses!$A$5:$G$10,2,FALSE))</x:f>
      </x:c>
      <x:c r="G230" s="47" t="str">
        <x:f>IF(E230="","",VLOOKUP(E230,Courses!$A$5:$G$10,3,FALSE))</x:f>
      </x:c>
      <x:c r="H230" s="9"/>
      <x:c r="I230" s="9"/>
      <x:c r="J230" s="51" t="str">
        <x:f>IF(I230="","",VLOOKUP(E230,Courses!$A$5:$G$10,6,FALSE))</x:f>
      </x:c>
      <x:c r="K230" s="47" t="n">
        <x:f>IF(AND(H230="Paid",I230&lt;&gt;""),G230*J230,0)</x:f>
        <x:v>0</x:v>
      </x:c>
      <x:c r="L230" s="9"/>
      <x:c r="M230" s="9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9"/>
      <x:c r="B231" s="9"/>
      <x:c r="C231" s="43"/>
      <x:c r="D231" s="9"/>
      <x:c r="E231" s="9"/>
      <x:c r="F231" s="6" t="str">
        <x:f>IF(E231="","",VLOOKUP(E231,Courses!$A$5:$G$10,2,FALSE))</x:f>
      </x:c>
      <x:c r="G231" s="47" t="str">
        <x:f>IF(E231="","",VLOOKUP(E231,Courses!$A$5:$G$10,3,FALSE))</x:f>
      </x:c>
      <x:c r="H231" s="9"/>
      <x:c r="I231" s="9"/>
      <x:c r="J231" s="51" t="str">
        <x:f>IF(I231="","",VLOOKUP(E231,Courses!$A$5:$G$10,6,FALSE))</x:f>
      </x:c>
      <x:c r="K231" s="47" t="n">
        <x:f>IF(AND(H231="Paid",I231&lt;&gt;""),G231*J231,0)</x:f>
        <x:v>0</x:v>
      </x:c>
      <x:c r="L231" s="9"/>
      <x:c r="M231" s="9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9"/>
      <x:c r="B232" s="9"/>
      <x:c r="C232" s="43"/>
      <x:c r="D232" s="9"/>
      <x:c r="E232" s="9"/>
      <x:c r="F232" s="6" t="str">
        <x:f>IF(E232="","",VLOOKUP(E232,Courses!$A$5:$G$10,2,FALSE))</x:f>
      </x:c>
      <x:c r="G232" s="47" t="str">
        <x:f>IF(E232="","",VLOOKUP(E232,Courses!$A$5:$G$10,3,FALSE))</x:f>
      </x:c>
      <x:c r="H232" s="9"/>
      <x:c r="I232" s="9"/>
      <x:c r="J232" s="51" t="str">
        <x:f>IF(I232="","",VLOOKUP(E232,Courses!$A$5:$G$10,6,FALSE))</x:f>
      </x:c>
      <x:c r="K232" s="47" t="n">
        <x:f>IF(AND(H232="Paid",I232&lt;&gt;""),G232*J232,0)</x:f>
        <x:v>0</x:v>
      </x:c>
      <x:c r="L232" s="9"/>
      <x:c r="M232" s="9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9"/>
      <x:c r="B233" s="9"/>
      <x:c r="C233" s="43"/>
      <x:c r="D233" s="9"/>
      <x:c r="E233" s="9"/>
      <x:c r="F233" s="6" t="str">
        <x:f>IF(E233="","",VLOOKUP(E233,Courses!$A$5:$G$10,2,FALSE))</x:f>
      </x:c>
      <x:c r="G233" s="47" t="str">
        <x:f>IF(E233="","",VLOOKUP(E233,Courses!$A$5:$G$10,3,FALSE))</x:f>
      </x:c>
      <x:c r="H233" s="9"/>
      <x:c r="I233" s="9"/>
      <x:c r="J233" s="51" t="str">
        <x:f>IF(I233="","",VLOOKUP(E233,Courses!$A$5:$G$10,6,FALSE))</x:f>
      </x:c>
      <x:c r="K233" s="47" t="n">
        <x:f>IF(AND(H233="Paid",I233&lt;&gt;""),G233*J233,0)</x:f>
        <x:v>0</x:v>
      </x:c>
      <x:c r="L233" s="9"/>
      <x:c r="M233" s="9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9"/>
      <x:c r="B234" s="9"/>
      <x:c r="C234" s="43"/>
      <x:c r="D234" s="9"/>
      <x:c r="E234" s="9"/>
      <x:c r="F234" s="6" t="str">
        <x:f>IF(E234="","",VLOOKUP(E234,Courses!$A$5:$G$10,2,FALSE))</x:f>
      </x:c>
      <x:c r="G234" s="47" t="str">
        <x:f>IF(E234="","",VLOOKUP(E234,Courses!$A$5:$G$10,3,FALSE))</x:f>
      </x:c>
      <x:c r="H234" s="9"/>
      <x:c r="I234" s="9"/>
      <x:c r="J234" s="51" t="str">
        <x:f>IF(I234="","",VLOOKUP(E234,Courses!$A$5:$G$10,6,FALSE))</x:f>
      </x:c>
      <x:c r="K234" s="47" t="n">
        <x:f>IF(AND(H234="Paid",I234&lt;&gt;""),G234*J234,0)</x:f>
        <x:v>0</x:v>
      </x:c>
      <x:c r="L234" s="9"/>
      <x:c r="M234" s="9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9"/>
      <x:c r="B235" s="9"/>
      <x:c r="C235" s="43"/>
      <x:c r="D235" s="9"/>
      <x:c r="E235" s="9"/>
      <x:c r="F235" s="6" t="str">
        <x:f>IF(E235="","",VLOOKUP(E235,Courses!$A$5:$G$10,2,FALSE))</x:f>
      </x:c>
      <x:c r="G235" s="47" t="str">
        <x:f>IF(E235="","",VLOOKUP(E235,Courses!$A$5:$G$10,3,FALSE))</x:f>
      </x:c>
      <x:c r="H235" s="9"/>
      <x:c r="I235" s="9"/>
      <x:c r="J235" s="51" t="str">
        <x:f>IF(I235="","",VLOOKUP(E235,Courses!$A$5:$G$10,6,FALSE))</x:f>
      </x:c>
      <x:c r="K235" s="47" t="n">
        <x:f>IF(AND(H235="Paid",I235&lt;&gt;""),G235*J235,0)</x:f>
        <x:v>0</x:v>
      </x:c>
      <x:c r="L235" s="9"/>
      <x:c r="M235" s="9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9"/>
      <x:c r="B236" s="9"/>
      <x:c r="C236" s="43"/>
      <x:c r="D236" s="9"/>
      <x:c r="E236" s="9"/>
      <x:c r="F236" s="6" t="str">
        <x:f>IF(E236="","",VLOOKUP(E236,Courses!$A$5:$G$10,2,FALSE))</x:f>
      </x:c>
      <x:c r="G236" s="47" t="str">
        <x:f>IF(E236="","",VLOOKUP(E236,Courses!$A$5:$G$10,3,FALSE))</x:f>
      </x:c>
      <x:c r="H236" s="9"/>
      <x:c r="I236" s="9"/>
      <x:c r="J236" s="51" t="str">
        <x:f>IF(I236="","",VLOOKUP(E236,Courses!$A$5:$G$10,6,FALSE))</x:f>
      </x:c>
      <x:c r="K236" s="47" t="n">
        <x:f>IF(AND(H236="Paid",I236&lt;&gt;""),G236*J236,0)</x:f>
        <x:v>0</x:v>
      </x:c>
      <x:c r="L236" s="9"/>
      <x:c r="M236" s="9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9"/>
      <x:c r="B237" s="9"/>
      <x:c r="C237" s="43"/>
      <x:c r="D237" s="9"/>
      <x:c r="E237" s="9"/>
      <x:c r="F237" s="6" t="str">
        <x:f>IF(E237="","",VLOOKUP(E237,Courses!$A$5:$G$10,2,FALSE))</x:f>
      </x:c>
      <x:c r="G237" s="47" t="str">
        <x:f>IF(E237="","",VLOOKUP(E237,Courses!$A$5:$G$10,3,FALSE))</x:f>
      </x:c>
      <x:c r="H237" s="9"/>
      <x:c r="I237" s="9"/>
      <x:c r="J237" s="51" t="str">
        <x:f>IF(I237="","",VLOOKUP(E237,Courses!$A$5:$G$10,6,FALSE))</x:f>
      </x:c>
      <x:c r="K237" s="47" t="n">
        <x:f>IF(AND(H237="Paid",I237&lt;&gt;""),G237*J237,0)</x:f>
        <x:v>0</x:v>
      </x:c>
      <x:c r="L237" s="9"/>
      <x:c r="M237" s="9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9"/>
      <x:c r="B238" s="9"/>
      <x:c r="C238" s="43"/>
      <x:c r="D238" s="9"/>
      <x:c r="E238" s="9"/>
      <x:c r="F238" s="6" t="str">
        <x:f>IF(E238="","",VLOOKUP(E238,Courses!$A$5:$G$10,2,FALSE))</x:f>
      </x:c>
      <x:c r="G238" s="47" t="str">
        <x:f>IF(E238="","",VLOOKUP(E238,Courses!$A$5:$G$10,3,FALSE))</x:f>
      </x:c>
      <x:c r="H238" s="9"/>
      <x:c r="I238" s="9"/>
      <x:c r="J238" s="51" t="str">
        <x:f>IF(I238="","",VLOOKUP(E238,Courses!$A$5:$G$10,6,FALSE))</x:f>
      </x:c>
      <x:c r="K238" s="47" t="n">
        <x:f>IF(AND(H238="Paid",I238&lt;&gt;""),G238*J238,0)</x:f>
        <x:v>0</x:v>
      </x:c>
      <x:c r="L238" s="9"/>
      <x:c r="M238" s="9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9"/>
      <x:c r="B239" s="9"/>
      <x:c r="C239" s="43"/>
      <x:c r="D239" s="9"/>
      <x:c r="E239" s="9"/>
      <x:c r="F239" s="6" t="str">
        <x:f>IF(E239="","",VLOOKUP(E239,Courses!$A$5:$G$10,2,FALSE))</x:f>
      </x:c>
      <x:c r="G239" s="47" t="str">
        <x:f>IF(E239="","",VLOOKUP(E239,Courses!$A$5:$G$10,3,FALSE))</x:f>
      </x:c>
      <x:c r="H239" s="9"/>
      <x:c r="I239" s="9"/>
      <x:c r="J239" s="51" t="str">
        <x:f>IF(I239="","",VLOOKUP(E239,Courses!$A$5:$G$10,6,FALSE))</x:f>
      </x:c>
      <x:c r="K239" s="47" t="n">
        <x:f>IF(AND(H239="Paid",I239&lt;&gt;""),G239*J239,0)</x:f>
        <x:v>0</x:v>
      </x:c>
      <x:c r="L239" s="9"/>
      <x:c r="M239" s="9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9"/>
      <x:c r="B240" s="9"/>
      <x:c r="C240" s="43"/>
      <x:c r="D240" s="9"/>
      <x:c r="E240" s="9"/>
      <x:c r="F240" s="6" t="str">
        <x:f>IF(E240="","",VLOOKUP(E240,Courses!$A$5:$G$10,2,FALSE))</x:f>
      </x:c>
      <x:c r="G240" s="47" t="str">
        <x:f>IF(E240="","",VLOOKUP(E240,Courses!$A$5:$G$10,3,FALSE))</x:f>
      </x:c>
      <x:c r="H240" s="9"/>
      <x:c r="I240" s="9"/>
      <x:c r="J240" s="51" t="str">
        <x:f>IF(I240="","",VLOOKUP(E240,Courses!$A$5:$G$10,6,FALSE))</x:f>
      </x:c>
      <x:c r="K240" s="47" t="n">
        <x:f>IF(AND(H240="Paid",I240&lt;&gt;""),G240*J240,0)</x:f>
        <x:v>0</x:v>
      </x:c>
      <x:c r="L240" s="9"/>
      <x:c r="M240" s="9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9"/>
      <x:c r="B241" s="9"/>
      <x:c r="C241" s="43"/>
      <x:c r="D241" s="9"/>
      <x:c r="E241" s="9"/>
      <x:c r="F241" s="6" t="str">
        <x:f>IF(E241="","",VLOOKUP(E241,Courses!$A$5:$G$10,2,FALSE))</x:f>
      </x:c>
      <x:c r="G241" s="47" t="str">
        <x:f>IF(E241="","",VLOOKUP(E241,Courses!$A$5:$G$10,3,FALSE))</x:f>
      </x:c>
      <x:c r="H241" s="9"/>
      <x:c r="I241" s="9"/>
      <x:c r="J241" s="51" t="str">
        <x:f>IF(I241="","",VLOOKUP(E241,Courses!$A$5:$G$10,6,FALSE))</x:f>
      </x:c>
      <x:c r="K241" s="47" t="n">
        <x:f>IF(AND(H241="Paid",I241&lt;&gt;""),G241*J241,0)</x:f>
        <x:v>0</x:v>
      </x:c>
      <x:c r="L241" s="9"/>
      <x:c r="M241" s="9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9"/>
      <x:c r="B242" s="9"/>
      <x:c r="C242" s="43"/>
      <x:c r="D242" s="9"/>
      <x:c r="E242" s="9"/>
      <x:c r="F242" s="6" t="str">
        <x:f>IF(E242="","",VLOOKUP(E242,Courses!$A$5:$G$10,2,FALSE))</x:f>
      </x:c>
      <x:c r="G242" s="47" t="str">
        <x:f>IF(E242="","",VLOOKUP(E242,Courses!$A$5:$G$10,3,FALSE))</x:f>
      </x:c>
      <x:c r="H242" s="9"/>
      <x:c r="I242" s="9"/>
      <x:c r="J242" s="51" t="str">
        <x:f>IF(I242="","",VLOOKUP(E242,Courses!$A$5:$G$10,6,FALSE))</x:f>
      </x:c>
      <x:c r="K242" s="47" t="n">
        <x:f>IF(AND(H242="Paid",I242&lt;&gt;""),G242*J242,0)</x:f>
        <x:v>0</x:v>
      </x:c>
      <x:c r="L242" s="9"/>
      <x:c r="M242" s="9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9"/>
      <x:c r="B243" s="9"/>
      <x:c r="C243" s="43"/>
      <x:c r="D243" s="9"/>
      <x:c r="E243" s="9"/>
      <x:c r="F243" s="6" t="str">
        <x:f>IF(E243="","",VLOOKUP(E243,Courses!$A$5:$G$10,2,FALSE))</x:f>
      </x:c>
      <x:c r="G243" s="47" t="str">
        <x:f>IF(E243="","",VLOOKUP(E243,Courses!$A$5:$G$10,3,FALSE))</x:f>
      </x:c>
      <x:c r="H243" s="9"/>
      <x:c r="I243" s="9"/>
      <x:c r="J243" s="51" t="str">
        <x:f>IF(I243="","",VLOOKUP(E243,Courses!$A$5:$G$10,6,FALSE))</x:f>
      </x:c>
      <x:c r="K243" s="47" t="n">
        <x:f>IF(AND(H243="Paid",I243&lt;&gt;""),G243*J243,0)</x:f>
        <x:v>0</x:v>
      </x:c>
      <x:c r="L243" s="9"/>
      <x:c r="M243" s="9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9"/>
      <x:c r="B244" s="9"/>
      <x:c r="C244" s="43"/>
      <x:c r="D244" s="9"/>
      <x:c r="E244" s="9"/>
      <x:c r="F244" s="6" t="str">
        <x:f>IF(E244="","",VLOOKUP(E244,Courses!$A$5:$G$10,2,FALSE))</x:f>
      </x:c>
      <x:c r="G244" s="47" t="str">
        <x:f>IF(E244="","",VLOOKUP(E244,Courses!$A$5:$G$10,3,FALSE))</x:f>
      </x:c>
      <x:c r="H244" s="9"/>
      <x:c r="I244" s="9"/>
      <x:c r="J244" s="51" t="str">
        <x:f>IF(I244="","",VLOOKUP(E244,Courses!$A$5:$G$10,6,FALSE))</x:f>
      </x:c>
      <x:c r="K244" s="47" t="n">
        <x:f>IF(AND(H244="Paid",I244&lt;&gt;""),G244*J244,0)</x:f>
        <x:v>0</x:v>
      </x:c>
      <x:c r="L244" s="9"/>
      <x:c r="M244" s="9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9"/>
      <x:c r="B245" s="9"/>
      <x:c r="C245" s="43"/>
      <x:c r="D245" s="9"/>
      <x:c r="E245" s="9"/>
      <x:c r="F245" s="6" t="str">
        <x:f>IF(E245="","",VLOOKUP(E245,Courses!$A$5:$G$10,2,FALSE))</x:f>
      </x:c>
      <x:c r="G245" s="47" t="str">
        <x:f>IF(E245="","",VLOOKUP(E245,Courses!$A$5:$G$10,3,FALSE))</x:f>
      </x:c>
      <x:c r="H245" s="9"/>
      <x:c r="I245" s="9"/>
      <x:c r="J245" s="51" t="str">
        <x:f>IF(I245="","",VLOOKUP(E245,Courses!$A$5:$G$10,6,FALSE))</x:f>
      </x:c>
      <x:c r="K245" s="47" t="n">
        <x:f>IF(AND(H245="Paid",I245&lt;&gt;""),G245*J245,0)</x:f>
        <x:v>0</x:v>
      </x:c>
      <x:c r="L245" s="9"/>
      <x:c r="M245" s="9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9"/>
      <x:c r="B246" s="9"/>
      <x:c r="C246" s="43"/>
      <x:c r="D246" s="9"/>
      <x:c r="E246" s="9"/>
      <x:c r="F246" s="6" t="str">
        <x:f>IF(E246="","",VLOOKUP(E246,Courses!$A$5:$G$10,2,FALSE))</x:f>
      </x:c>
      <x:c r="G246" s="47" t="str">
        <x:f>IF(E246="","",VLOOKUP(E246,Courses!$A$5:$G$10,3,FALSE))</x:f>
      </x:c>
      <x:c r="H246" s="9"/>
      <x:c r="I246" s="9"/>
      <x:c r="J246" s="51" t="str">
        <x:f>IF(I246="","",VLOOKUP(E246,Courses!$A$5:$G$10,6,FALSE))</x:f>
      </x:c>
      <x:c r="K246" s="47" t="n">
        <x:f>IF(AND(H246="Paid",I246&lt;&gt;""),G246*J246,0)</x:f>
        <x:v>0</x:v>
      </x:c>
      <x:c r="L246" s="9"/>
      <x:c r="M246" s="9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9"/>
      <x:c r="B247" s="9"/>
      <x:c r="C247" s="43"/>
      <x:c r="D247" s="9"/>
      <x:c r="E247" s="9"/>
      <x:c r="F247" s="6" t="str">
        <x:f>IF(E247="","",VLOOKUP(E247,Courses!$A$5:$G$10,2,FALSE))</x:f>
      </x:c>
      <x:c r="G247" s="47" t="str">
        <x:f>IF(E247="","",VLOOKUP(E247,Courses!$A$5:$G$10,3,FALSE))</x:f>
      </x:c>
      <x:c r="H247" s="9"/>
      <x:c r="I247" s="9"/>
      <x:c r="J247" s="51" t="str">
        <x:f>IF(I247="","",VLOOKUP(E247,Courses!$A$5:$G$10,6,FALSE))</x:f>
      </x:c>
      <x:c r="K247" s="47" t="n">
        <x:f>IF(AND(H247="Paid",I247&lt;&gt;""),G247*J247,0)</x:f>
        <x:v>0</x:v>
      </x:c>
      <x:c r="L247" s="9"/>
      <x:c r="M247" s="9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9"/>
      <x:c r="B248" s="9"/>
      <x:c r="C248" s="43"/>
      <x:c r="D248" s="9"/>
      <x:c r="E248" s="9"/>
      <x:c r="F248" s="6" t="str">
        <x:f>IF(E248="","",VLOOKUP(E248,Courses!$A$5:$G$10,2,FALSE))</x:f>
      </x:c>
      <x:c r="G248" s="47" t="str">
        <x:f>IF(E248="","",VLOOKUP(E248,Courses!$A$5:$G$10,3,FALSE))</x:f>
      </x:c>
      <x:c r="H248" s="9"/>
      <x:c r="I248" s="9"/>
      <x:c r="J248" s="51" t="str">
        <x:f>IF(I248="","",VLOOKUP(E248,Courses!$A$5:$G$10,6,FALSE))</x:f>
      </x:c>
      <x:c r="K248" s="47" t="n">
        <x:f>IF(AND(H248="Paid",I248&lt;&gt;""),G248*J248,0)</x:f>
        <x:v>0</x:v>
      </x:c>
      <x:c r="L248" s="9"/>
      <x:c r="M248" s="9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9"/>
      <x:c r="B249" s="9"/>
      <x:c r="C249" s="43"/>
      <x:c r="D249" s="9"/>
      <x:c r="E249" s="9"/>
      <x:c r="F249" s="6" t="str">
        <x:f>IF(E249="","",VLOOKUP(E249,Courses!$A$5:$G$10,2,FALSE))</x:f>
      </x:c>
      <x:c r="G249" s="47" t="str">
        <x:f>IF(E249="","",VLOOKUP(E249,Courses!$A$5:$G$10,3,FALSE))</x:f>
      </x:c>
      <x:c r="H249" s="9"/>
      <x:c r="I249" s="9"/>
      <x:c r="J249" s="51" t="str">
        <x:f>IF(I249="","",VLOOKUP(E249,Courses!$A$5:$G$10,6,FALSE))</x:f>
      </x:c>
      <x:c r="K249" s="47" t="n">
        <x:f>IF(AND(H249="Paid",I249&lt;&gt;""),G249*J249,0)</x:f>
        <x:v>0</x:v>
      </x:c>
      <x:c r="L249" s="9"/>
      <x:c r="M249" s="9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9"/>
      <x:c r="B250" s="9"/>
      <x:c r="C250" s="43"/>
      <x:c r="D250" s="9"/>
      <x:c r="E250" s="9"/>
      <x:c r="F250" s="6" t="str">
        <x:f>IF(E250="","",VLOOKUP(E250,Courses!$A$5:$G$10,2,FALSE))</x:f>
      </x:c>
      <x:c r="G250" s="47" t="str">
        <x:f>IF(E250="","",VLOOKUP(E250,Courses!$A$5:$G$10,3,FALSE))</x:f>
      </x:c>
      <x:c r="H250" s="9"/>
      <x:c r="I250" s="9"/>
      <x:c r="J250" s="51" t="str">
        <x:f>IF(I250="","",VLOOKUP(E250,Courses!$A$5:$G$10,6,FALSE))</x:f>
      </x:c>
      <x:c r="K250" s="47" t="n">
        <x:f>IF(AND(H250="Paid",I250&lt;&gt;""),G250*J250,0)</x:f>
        <x:v>0</x:v>
      </x:c>
      <x:c r="L250" s="9"/>
      <x:c r="M250" s="9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9"/>
      <x:c r="B251" s="9"/>
      <x:c r="C251" s="43"/>
      <x:c r="D251" s="9"/>
      <x:c r="E251" s="9"/>
      <x:c r="F251" s="6" t="str">
        <x:f>IF(E251="","",VLOOKUP(E251,Courses!$A$5:$G$10,2,FALSE))</x:f>
      </x:c>
      <x:c r="G251" s="47" t="str">
        <x:f>IF(E251="","",VLOOKUP(E251,Courses!$A$5:$G$10,3,FALSE))</x:f>
      </x:c>
      <x:c r="H251" s="9"/>
      <x:c r="I251" s="9"/>
      <x:c r="J251" s="51" t="str">
        <x:f>IF(I251="","",VLOOKUP(E251,Courses!$A$5:$G$10,6,FALSE))</x:f>
      </x:c>
      <x:c r="K251" s="47" t="n">
        <x:f>IF(AND(H251="Paid",I251&lt;&gt;""),G251*J251,0)</x:f>
        <x:v>0</x:v>
      </x:c>
      <x:c r="L251" s="9"/>
      <x:c r="M251" s="9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9"/>
      <x:c r="B252" s="9"/>
      <x:c r="C252" s="43"/>
      <x:c r="D252" s="9"/>
      <x:c r="E252" s="9"/>
      <x:c r="F252" s="6" t="str">
        <x:f>IF(E252="","",VLOOKUP(E252,Courses!$A$5:$G$10,2,FALSE))</x:f>
      </x:c>
      <x:c r="G252" s="47" t="str">
        <x:f>IF(E252="","",VLOOKUP(E252,Courses!$A$5:$G$10,3,FALSE))</x:f>
      </x:c>
      <x:c r="H252" s="9"/>
      <x:c r="I252" s="9"/>
      <x:c r="J252" s="51" t="str">
        <x:f>IF(I252="","",VLOOKUP(E252,Courses!$A$5:$G$10,6,FALSE))</x:f>
      </x:c>
      <x:c r="K252" s="47" t="n">
        <x:f>IF(AND(H252="Paid",I252&lt;&gt;""),G252*J252,0)</x:f>
        <x:v>0</x:v>
      </x:c>
      <x:c r="L252" s="9"/>
      <x:c r="M252" s="9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9"/>
      <x:c r="B253" s="9"/>
      <x:c r="C253" s="43"/>
      <x:c r="D253" s="9"/>
      <x:c r="E253" s="9"/>
      <x:c r="F253" s="6" t="str">
        <x:f>IF(E253="","",VLOOKUP(E253,Courses!$A$5:$G$10,2,FALSE))</x:f>
      </x:c>
      <x:c r="G253" s="47" t="str">
        <x:f>IF(E253="","",VLOOKUP(E253,Courses!$A$5:$G$10,3,FALSE))</x:f>
      </x:c>
      <x:c r="H253" s="9"/>
      <x:c r="I253" s="9"/>
      <x:c r="J253" s="51" t="str">
        <x:f>IF(I253="","",VLOOKUP(E253,Courses!$A$5:$G$10,6,FALSE))</x:f>
      </x:c>
      <x:c r="K253" s="47" t="n">
        <x:f>IF(AND(H253="Paid",I253&lt;&gt;""),G253*J253,0)</x:f>
        <x:v>0</x:v>
      </x:c>
      <x:c r="L253" s="9"/>
      <x:c r="M253" s="9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9"/>
      <x:c r="B254" s="9"/>
      <x:c r="C254" s="43"/>
      <x:c r="D254" s="9"/>
      <x:c r="E254" s="9"/>
      <x:c r="F254" s="6" t="str">
        <x:f>IF(E254="","",VLOOKUP(E254,Courses!$A$5:$G$10,2,FALSE))</x:f>
      </x:c>
      <x:c r="G254" s="47" t="str">
        <x:f>IF(E254="","",VLOOKUP(E254,Courses!$A$5:$G$10,3,FALSE))</x:f>
      </x:c>
      <x:c r="H254" s="9"/>
      <x:c r="I254" s="9"/>
      <x:c r="J254" s="51" t="str">
        <x:f>IF(I254="","",VLOOKUP(E254,Courses!$A$5:$G$10,6,FALSE))</x:f>
      </x:c>
      <x:c r="K254" s="47" t="n">
        <x:f>IF(AND(H254="Paid",I254&lt;&gt;""),G254*J254,0)</x:f>
        <x:v>0</x:v>
      </x:c>
      <x:c r="L254" s="9"/>
      <x:c r="M254" s="9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9"/>
      <x:c r="B255" s="9"/>
      <x:c r="C255" s="43"/>
      <x:c r="D255" s="9"/>
      <x:c r="E255" s="9"/>
      <x:c r="F255" s="6" t="str">
        <x:f>IF(E255="","",VLOOKUP(E255,Courses!$A$5:$G$10,2,FALSE))</x:f>
      </x:c>
      <x:c r="G255" s="47" t="str">
        <x:f>IF(E255="","",VLOOKUP(E255,Courses!$A$5:$G$10,3,FALSE))</x:f>
      </x:c>
      <x:c r="H255" s="9"/>
      <x:c r="I255" s="9"/>
      <x:c r="J255" s="51" t="str">
        <x:f>IF(I255="","",VLOOKUP(E255,Courses!$A$5:$G$10,6,FALSE))</x:f>
      </x:c>
      <x:c r="K255" s="47" t="n">
        <x:f>IF(AND(H255="Paid",I255&lt;&gt;""),G255*J255,0)</x:f>
        <x:v>0</x:v>
      </x:c>
      <x:c r="L255" s="9"/>
      <x:c r="M255" s="9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9"/>
      <x:c r="B256" s="9"/>
      <x:c r="C256" s="43"/>
      <x:c r="D256" s="9"/>
      <x:c r="E256" s="9"/>
      <x:c r="F256" s="6" t="str">
        <x:f>IF(E256="","",VLOOKUP(E256,Courses!$A$5:$G$10,2,FALSE))</x:f>
      </x:c>
      <x:c r="G256" s="47" t="str">
        <x:f>IF(E256="","",VLOOKUP(E256,Courses!$A$5:$G$10,3,FALSE))</x:f>
      </x:c>
      <x:c r="H256" s="9"/>
      <x:c r="I256" s="9"/>
      <x:c r="J256" s="51" t="str">
        <x:f>IF(I256="","",VLOOKUP(E256,Courses!$A$5:$G$10,6,FALSE))</x:f>
      </x:c>
      <x:c r="K256" s="47" t="n">
        <x:f>IF(AND(H256="Paid",I256&lt;&gt;""),G256*J256,0)</x:f>
        <x:v>0</x:v>
      </x:c>
      <x:c r="L256" s="9"/>
      <x:c r="M256" s="9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9"/>
      <x:c r="B257" s="9"/>
      <x:c r="C257" s="43"/>
      <x:c r="D257" s="9"/>
      <x:c r="E257" s="9"/>
      <x:c r="F257" s="6" t="str">
        <x:f>IF(E257="","",VLOOKUP(E257,Courses!$A$5:$G$10,2,FALSE))</x:f>
      </x:c>
      <x:c r="G257" s="47" t="str">
        <x:f>IF(E257="","",VLOOKUP(E257,Courses!$A$5:$G$10,3,FALSE))</x:f>
      </x:c>
      <x:c r="H257" s="9"/>
      <x:c r="I257" s="9"/>
      <x:c r="J257" s="51" t="str">
        <x:f>IF(I257="","",VLOOKUP(E257,Courses!$A$5:$G$10,6,FALSE))</x:f>
      </x:c>
      <x:c r="K257" s="47" t="n">
        <x:f>IF(AND(H257="Paid",I257&lt;&gt;""),G257*J257,0)</x:f>
        <x:v>0</x:v>
      </x:c>
      <x:c r="L257" s="9"/>
      <x:c r="M257" s="9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9"/>
      <x:c r="B258" s="9"/>
      <x:c r="C258" s="43"/>
      <x:c r="D258" s="9"/>
      <x:c r="E258" s="9"/>
      <x:c r="F258" s="6" t="str">
        <x:f>IF(E258="","",VLOOKUP(E258,Courses!$A$5:$G$10,2,FALSE))</x:f>
      </x:c>
      <x:c r="G258" s="47" t="str">
        <x:f>IF(E258="","",VLOOKUP(E258,Courses!$A$5:$G$10,3,FALSE))</x:f>
      </x:c>
      <x:c r="H258" s="9"/>
      <x:c r="I258" s="9"/>
      <x:c r="J258" s="51" t="str">
        <x:f>IF(I258="","",VLOOKUP(E258,Courses!$A$5:$G$10,6,FALSE))</x:f>
      </x:c>
      <x:c r="K258" s="47" t="n">
        <x:f>IF(AND(H258="Paid",I258&lt;&gt;""),G258*J258,0)</x:f>
        <x:v>0</x:v>
      </x:c>
      <x:c r="L258" s="9"/>
      <x:c r="M258" s="9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9"/>
      <x:c r="B259" s="9"/>
      <x:c r="C259" s="43"/>
      <x:c r="D259" s="9"/>
      <x:c r="E259" s="9"/>
      <x:c r="F259" s="6" t="str">
        <x:f>IF(E259="","",VLOOKUP(E259,Courses!$A$5:$G$10,2,FALSE))</x:f>
      </x:c>
      <x:c r="G259" s="47" t="str">
        <x:f>IF(E259="","",VLOOKUP(E259,Courses!$A$5:$G$10,3,FALSE))</x:f>
      </x:c>
      <x:c r="H259" s="9"/>
      <x:c r="I259" s="9"/>
      <x:c r="J259" s="51" t="str">
        <x:f>IF(I259="","",VLOOKUP(E259,Courses!$A$5:$G$10,6,FALSE))</x:f>
      </x:c>
      <x:c r="K259" s="47" t="n">
        <x:f>IF(AND(H259="Paid",I259&lt;&gt;""),G259*J259,0)</x:f>
        <x:v>0</x:v>
      </x:c>
      <x:c r="L259" s="9"/>
      <x:c r="M259" s="9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9"/>
      <x:c r="B260" s="9"/>
      <x:c r="C260" s="43"/>
      <x:c r="D260" s="9"/>
      <x:c r="E260" s="9"/>
      <x:c r="F260" s="6" t="str">
        <x:f>IF(E260="","",VLOOKUP(E260,Courses!$A$5:$G$10,2,FALSE))</x:f>
      </x:c>
      <x:c r="G260" s="47" t="str">
        <x:f>IF(E260="","",VLOOKUP(E260,Courses!$A$5:$G$10,3,FALSE))</x:f>
      </x:c>
      <x:c r="H260" s="9"/>
      <x:c r="I260" s="9"/>
      <x:c r="J260" s="51" t="str">
        <x:f>IF(I260="","",VLOOKUP(E260,Courses!$A$5:$G$10,6,FALSE))</x:f>
      </x:c>
      <x:c r="K260" s="47" t="n">
        <x:f>IF(AND(H260="Paid",I260&lt;&gt;""),G260*J260,0)</x:f>
        <x:v>0</x:v>
      </x:c>
      <x:c r="L260" s="9"/>
      <x:c r="M260" s="9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9"/>
      <x:c r="B261" s="9"/>
      <x:c r="C261" s="43"/>
      <x:c r="D261" s="9"/>
      <x:c r="E261" s="9"/>
      <x:c r="F261" s="6" t="str">
        <x:f>IF(E261="","",VLOOKUP(E261,Courses!$A$5:$G$10,2,FALSE))</x:f>
      </x:c>
      <x:c r="G261" s="47" t="str">
        <x:f>IF(E261="","",VLOOKUP(E261,Courses!$A$5:$G$10,3,FALSE))</x:f>
      </x:c>
      <x:c r="H261" s="9"/>
      <x:c r="I261" s="9"/>
      <x:c r="J261" s="51" t="str">
        <x:f>IF(I261="","",VLOOKUP(E261,Courses!$A$5:$G$10,6,FALSE))</x:f>
      </x:c>
      <x:c r="K261" s="47" t="n">
        <x:f>IF(AND(H261="Paid",I261&lt;&gt;""),G261*J261,0)</x:f>
        <x:v>0</x:v>
      </x:c>
      <x:c r="L261" s="9"/>
      <x:c r="M261" s="9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9"/>
      <x:c r="B262" s="9"/>
      <x:c r="C262" s="43"/>
      <x:c r="D262" s="9"/>
      <x:c r="E262" s="9"/>
      <x:c r="F262" s="6" t="str">
        <x:f>IF(E262="","",VLOOKUP(E262,Courses!$A$5:$G$10,2,FALSE))</x:f>
      </x:c>
      <x:c r="G262" s="47" t="str">
        <x:f>IF(E262="","",VLOOKUP(E262,Courses!$A$5:$G$10,3,FALSE))</x:f>
      </x:c>
      <x:c r="H262" s="9"/>
      <x:c r="I262" s="9"/>
      <x:c r="J262" s="51" t="str">
        <x:f>IF(I262="","",VLOOKUP(E262,Courses!$A$5:$G$10,6,FALSE))</x:f>
      </x:c>
      <x:c r="K262" s="47" t="n">
        <x:f>IF(AND(H262="Paid",I262&lt;&gt;""),G262*J262,0)</x:f>
        <x:v>0</x:v>
      </x:c>
      <x:c r="L262" s="9"/>
      <x:c r="M262" s="9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9"/>
      <x:c r="B263" s="9"/>
      <x:c r="C263" s="43"/>
      <x:c r="D263" s="9"/>
      <x:c r="E263" s="9"/>
      <x:c r="F263" s="6" t="str">
        <x:f>IF(E263="","",VLOOKUP(E263,Courses!$A$5:$G$10,2,FALSE))</x:f>
      </x:c>
      <x:c r="G263" s="47" t="str">
        <x:f>IF(E263="","",VLOOKUP(E263,Courses!$A$5:$G$10,3,FALSE))</x:f>
      </x:c>
      <x:c r="H263" s="9"/>
      <x:c r="I263" s="9"/>
      <x:c r="J263" s="51" t="str">
        <x:f>IF(I263="","",VLOOKUP(E263,Courses!$A$5:$G$10,6,FALSE))</x:f>
      </x:c>
      <x:c r="K263" s="47" t="n">
        <x:f>IF(AND(H263="Paid",I263&lt;&gt;""),G263*J263,0)</x:f>
        <x:v>0</x:v>
      </x:c>
      <x:c r="L263" s="9"/>
      <x:c r="M263" s="9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9"/>
      <x:c r="B264" s="9"/>
      <x:c r="C264" s="43"/>
      <x:c r="D264" s="9"/>
      <x:c r="E264" s="9"/>
      <x:c r="F264" s="6" t="str">
        <x:f>IF(E264="","",VLOOKUP(E264,Courses!$A$5:$G$10,2,FALSE))</x:f>
      </x:c>
      <x:c r="G264" s="47" t="str">
        <x:f>IF(E264="","",VLOOKUP(E264,Courses!$A$5:$G$10,3,FALSE))</x:f>
      </x:c>
      <x:c r="H264" s="9"/>
      <x:c r="I264" s="9"/>
      <x:c r="J264" s="51" t="str">
        <x:f>IF(I264="","",VLOOKUP(E264,Courses!$A$5:$G$10,6,FALSE))</x:f>
      </x:c>
      <x:c r="K264" s="47" t="n">
        <x:f>IF(AND(H264="Paid",I264&lt;&gt;""),G264*J264,0)</x:f>
        <x:v>0</x:v>
      </x:c>
      <x:c r="L264" s="9"/>
      <x:c r="M264" s="9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9"/>
      <x:c r="B265" s="9"/>
      <x:c r="C265" s="43"/>
      <x:c r="D265" s="9"/>
      <x:c r="E265" s="9"/>
      <x:c r="F265" s="6" t="str">
        <x:f>IF(E265="","",VLOOKUP(E265,Courses!$A$5:$G$10,2,FALSE))</x:f>
      </x:c>
      <x:c r="G265" s="47" t="str">
        <x:f>IF(E265="","",VLOOKUP(E265,Courses!$A$5:$G$10,3,FALSE))</x:f>
      </x:c>
      <x:c r="H265" s="9"/>
      <x:c r="I265" s="9"/>
      <x:c r="J265" s="51" t="str">
        <x:f>IF(I265="","",VLOOKUP(E265,Courses!$A$5:$G$10,6,FALSE))</x:f>
      </x:c>
      <x:c r="K265" s="47" t="n">
        <x:f>IF(AND(H265="Paid",I265&lt;&gt;""),G265*J265,0)</x:f>
        <x:v>0</x:v>
      </x:c>
      <x:c r="L265" s="9"/>
      <x:c r="M265" s="9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9"/>
      <x:c r="B266" s="9"/>
      <x:c r="C266" s="43"/>
      <x:c r="D266" s="9"/>
      <x:c r="E266" s="9"/>
      <x:c r="F266" s="6" t="str">
        <x:f>IF(E266="","",VLOOKUP(E266,Courses!$A$5:$G$10,2,FALSE))</x:f>
      </x:c>
      <x:c r="G266" s="47" t="str">
        <x:f>IF(E266="","",VLOOKUP(E266,Courses!$A$5:$G$10,3,FALSE))</x:f>
      </x:c>
      <x:c r="H266" s="9"/>
      <x:c r="I266" s="9"/>
      <x:c r="J266" s="51" t="str">
        <x:f>IF(I266="","",VLOOKUP(E266,Courses!$A$5:$G$10,6,FALSE))</x:f>
      </x:c>
      <x:c r="K266" s="47" t="n">
        <x:f>IF(AND(H266="Paid",I266&lt;&gt;""),G266*J266,0)</x:f>
        <x:v>0</x:v>
      </x:c>
      <x:c r="L266" s="9"/>
      <x:c r="M266" s="9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9"/>
      <x:c r="B267" s="9"/>
      <x:c r="C267" s="43"/>
      <x:c r="D267" s="9"/>
      <x:c r="E267" s="9"/>
      <x:c r="F267" s="6" t="str">
        <x:f>IF(E267="","",VLOOKUP(E267,Courses!$A$5:$G$10,2,FALSE))</x:f>
      </x:c>
      <x:c r="G267" s="47" t="str">
        <x:f>IF(E267="","",VLOOKUP(E267,Courses!$A$5:$G$10,3,FALSE))</x:f>
      </x:c>
      <x:c r="H267" s="9"/>
      <x:c r="I267" s="9"/>
      <x:c r="J267" s="51" t="str">
        <x:f>IF(I267="","",VLOOKUP(E267,Courses!$A$5:$G$10,6,FALSE))</x:f>
      </x:c>
      <x:c r="K267" s="47" t="n">
        <x:f>IF(AND(H267="Paid",I267&lt;&gt;""),G267*J267,0)</x:f>
        <x:v>0</x:v>
      </x:c>
      <x:c r="L267" s="9"/>
      <x:c r="M267" s="9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9"/>
      <x:c r="B268" s="9"/>
      <x:c r="C268" s="43"/>
      <x:c r="D268" s="9"/>
      <x:c r="E268" s="9"/>
      <x:c r="F268" s="6" t="str">
        <x:f>IF(E268="","",VLOOKUP(E268,Courses!$A$5:$G$10,2,FALSE))</x:f>
      </x:c>
      <x:c r="G268" s="47" t="str">
        <x:f>IF(E268="","",VLOOKUP(E268,Courses!$A$5:$G$10,3,FALSE))</x:f>
      </x:c>
      <x:c r="H268" s="9"/>
      <x:c r="I268" s="9"/>
      <x:c r="J268" s="51" t="str">
        <x:f>IF(I268="","",VLOOKUP(E268,Courses!$A$5:$G$10,6,FALSE))</x:f>
      </x:c>
      <x:c r="K268" s="47" t="n">
        <x:f>IF(AND(H268="Paid",I268&lt;&gt;""),G268*J268,0)</x:f>
        <x:v>0</x:v>
      </x:c>
      <x:c r="L268" s="9"/>
      <x:c r="M268" s="9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9"/>
      <x:c r="B269" s="9"/>
      <x:c r="C269" s="43"/>
      <x:c r="D269" s="9"/>
      <x:c r="E269" s="9"/>
      <x:c r="F269" s="6" t="str">
        <x:f>IF(E269="","",VLOOKUP(E269,Courses!$A$5:$G$10,2,FALSE))</x:f>
      </x:c>
      <x:c r="G269" s="47" t="str">
        <x:f>IF(E269="","",VLOOKUP(E269,Courses!$A$5:$G$10,3,FALSE))</x:f>
      </x:c>
      <x:c r="H269" s="9"/>
      <x:c r="I269" s="9"/>
      <x:c r="J269" s="51" t="str">
        <x:f>IF(I269="","",VLOOKUP(E269,Courses!$A$5:$G$10,6,FALSE))</x:f>
      </x:c>
      <x:c r="K269" s="47" t="n">
        <x:f>IF(AND(H269="Paid",I269&lt;&gt;""),G269*J269,0)</x:f>
        <x:v>0</x:v>
      </x:c>
      <x:c r="L269" s="9"/>
      <x:c r="M269" s="9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9"/>
      <x:c r="B270" s="9"/>
      <x:c r="C270" s="43"/>
      <x:c r="D270" s="9"/>
      <x:c r="E270" s="9"/>
      <x:c r="F270" s="6" t="str">
        <x:f>IF(E270="","",VLOOKUP(E270,Courses!$A$5:$G$10,2,FALSE))</x:f>
      </x:c>
      <x:c r="G270" s="47" t="str">
        <x:f>IF(E270="","",VLOOKUP(E270,Courses!$A$5:$G$10,3,FALSE))</x:f>
      </x:c>
      <x:c r="H270" s="9"/>
      <x:c r="I270" s="9"/>
      <x:c r="J270" s="51" t="str">
        <x:f>IF(I270="","",VLOOKUP(E270,Courses!$A$5:$G$10,6,FALSE))</x:f>
      </x:c>
      <x:c r="K270" s="47" t="n">
        <x:f>IF(AND(H270="Paid",I270&lt;&gt;""),G270*J270,0)</x:f>
        <x:v>0</x:v>
      </x:c>
      <x:c r="L270" s="9"/>
      <x:c r="M270" s="9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9"/>
      <x:c r="B271" s="9"/>
      <x:c r="C271" s="43"/>
      <x:c r="D271" s="9"/>
      <x:c r="E271" s="9"/>
      <x:c r="F271" s="6" t="str">
        <x:f>IF(E271="","",VLOOKUP(E271,Courses!$A$5:$G$10,2,FALSE))</x:f>
      </x:c>
      <x:c r="G271" s="47" t="str">
        <x:f>IF(E271="","",VLOOKUP(E271,Courses!$A$5:$G$10,3,FALSE))</x:f>
      </x:c>
      <x:c r="H271" s="9"/>
      <x:c r="I271" s="9"/>
      <x:c r="J271" s="51" t="str">
        <x:f>IF(I271="","",VLOOKUP(E271,Courses!$A$5:$G$10,6,FALSE))</x:f>
      </x:c>
      <x:c r="K271" s="47" t="n">
        <x:f>IF(AND(H271="Paid",I271&lt;&gt;""),G271*J271,0)</x:f>
        <x:v>0</x:v>
      </x:c>
      <x:c r="L271" s="9"/>
      <x:c r="M271" s="9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9"/>
      <x:c r="B272" s="9"/>
      <x:c r="C272" s="43"/>
      <x:c r="D272" s="9"/>
      <x:c r="E272" s="9"/>
      <x:c r="F272" s="6" t="str">
        <x:f>IF(E272="","",VLOOKUP(E272,Courses!$A$5:$G$10,2,FALSE))</x:f>
      </x:c>
      <x:c r="G272" s="47" t="str">
        <x:f>IF(E272="","",VLOOKUP(E272,Courses!$A$5:$G$10,3,FALSE))</x:f>
      </x:c>
      <x:c r="H272" s="9"/>
      <x:c r="I272" s="9"/>
      <x:c r="J272" s="51" t="str">
        <x:f>IF(I272="","",VLOOKUP(E272,Courses!$A$5:$G$10,6,FALSE))</x:f>
      </x:c>
      <x:c r="K272" s="47" t="n">
        <x:f>IF(AND(H272="Paid",I272&lt;&gt;""),G272*J272,0)</x:f>
        <x:v>0</x:v>
      </x:c>
      <x:c r="L272" s="9"/>
      <x:c r="M272" s="9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9"/>
      <x:c r="B273" s="9"/>
      <x:c r="C273" s="43"/>
      <x:c r="D273" s="9"/>
      <x:c r="E273" s="9"/>
      <x:c r="F273" s="6" t="str">
        <x:f>IF(E273="","",VLOOKUP(E273,Courses!$A$5:$G$10,2,FALSE))</x:f>
      </x:c>
      <x:c r="G273" s="47" t="str">
        <x:f>IF(E273="","",VLOOKUP(E273,Courses!$A$5:$G$10,3,FALSE))</x:f>
      </x:c>
      <x:c r="H273" s="9"/>
      <x:c r="I273" s="9"/>
      <x:c r="J273" s="51" t="str">
        <x:f>IF(I273="","",VLOOKUP(E273,Courses!$A$5:$G$10,6,FALSE))</x:f>
      </x:c>
      <x:c r="K273" s="47" t="n">
        <x:f>IF(AND(H273="Paid",I273&lt;&gt;""),G273*J273,0)</x:f>
        <x:v>0</x:v>
      </x:c>
      <x:c r="L273" s="9"/>
      <x:c r="M273" s="9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9"/>
      <x:c r="B274" s="9"/>
      <x:c r="C274" s="43"/>
      <x:c r="D274" s="9"/>
      <x:c r="E274" s="9"/>
      <x:c r="F274" s="6" t="str">
        <x:f>IF(E274="","",VLOOKUP(E274,Courses!$A$5:$G$10,2,FALSE))</x:f>
      </x:c>
      <x:c r="G274" s="47" t="str">
        <x:f>IF(E274="","",VLOOKUP(E274,Courses!$A$5:$G$10,3,FALSE))</x:f>
      </x:c>
      <x:c r="H274" s="9"/>
      <x:c r="I274" s="9"/>
      <x:c r="J274" s="51" t="str">
        <x:f>IF(I274="","",VLOOKUP(E274,Courses!$A$5:$G$10,6,FALSE))</x:f>
      </x:c>
      <x:c r="K274" s="47" t="n">
        <x:f>IF(AND(H274="Paid",I274&lt;&gt;""),G274*J274,0)</x:f>
        <x:v>0</x:v>
      </x:c>
      <x:c r="L274" s="9"/>
      <x:c r="M274" s="9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9"/>
      <x:c r="B275" s="9"/>
      <x:c r="C275" s="43"/>
      <x:c r="D275" s="9"/>
      <x:c r="E275" s="9"/>
      <x:c r="F275" s="6" t="str">
        <x:f>IF(E275="","",VLOOKUP(E275,Courses!$A$5:$G$10,2,FALSE))</x:f>
      </x:c>
      <x:c r="G275" s="47" t="str">
        <x:f>IF(E275="","",VLOOKUP(E275,Courses!$A$5:$G$10,3,FALSE))</x:f>
      </x:c>
      <x:c r="H275" s="9"/>
      <x:c r="I275" s="9"/>
      <x:c r="J275" s="51" t="str">
        <x:f>IF(I275="","",VLOOKUP(E275,Courses!$A$5:$G$10,6,FALSE))</x:f>
      </x:c>
      <x:c r="K275" s="47" t="n">
        <x:f>IF(AND(H275="Paid",I275&lt;&gt;""),G275*J275,0)</x:f>
        <x:v>0</x:v>
      </x:c>
      <x:c r="L275" s="9"/>
      <x:c r="M275" s="9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9"/>
      <x:c r="B276" s="9"/>
      <x:c r="C276" s="43"/>
      <x:c r="D276" s="9"/>
      <x:c r="E276" s="9"/>
      <x:c r="F276" s="6" t="str">
        <x:f>IF(E276="","",VLOOKUP(E276,Courses!$A$5:$G$10,2,FALSE))</x:f>
      </x:c>
      <x:c r="G276" s="47" t="str">
        <x:f>IF(E276="","",VLOOKUP(E276,Courses!$A$5:$G$10,3,FALSE))</x:f>
      </x:c>
      <x:c r="H276" s="9"/>
      <x:c r="I276" s="9"/>
      <x:c r="J276" s="51" t="str">
        <x:f>IF(I276="","",VLOOKUP(E276,Courses!$A$5:$G$10,6,FALSE))</x:f>
      </x:c>
      <x:c r="K276" s="47" t="n">
        <x:f>IF(AND(H276="Paid",I276&lt;&gt;""),G276*J276,0)</x:f>
        <x:v>0</x:v>
      </x:c>
      <x:c r="L276" s="9"/>
      <x:c r="M276" s="9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9"/>
      <x:c r="B277" s="9"/>
      <x:c r="C277" s="43"/>
      <x:c r="D277" s="9"/>
      <x:c r="E277" s="9"/>
      <x:c r="F277" s="6" t="str">
        <x:f>IF(E277="","",VLOOKUP(E277,Courses!$A$5:$G$10,2,FALSE))</x:f>
      </x:c>
      <x:c r="G277" s="47" t="str">
        <x:f>IF(E277="","",VLOOKUP(E277,Courses!$A$5:$G$10,3,FALSE))</x:f>
      </x:c>
      <x:c r="H277" s="9"/>
      <x:c r="I277" s="9"/>
      <x:c r="J277" s="51" t="str">
        <x:f>IF(I277="","",VLOOKUP(E277,Courses!$A$5:$G$10,6,FALSE))</x:f>
      </x:c>
      <x:c r="K277" s="47" t="n">
        <x:f>IF(AND(H277="Paid",I277&lt;&gt;""),G277*J277,0)</x:f>
        <x:v>0</x:v>
      </x:c>
      <x:c r="L277" s="9"/>
      <x:c r="M277" s="9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9"/>
      <x:c r="B278" s="9"/>
      <x:c r="C278" s="43"/>
      <x:c r="D278" s="9"/>
      <x:c r="E278" s="9"/>
      <x:c r="F278" s="6" t="str">
        <x:f>IF(E278="","",VLOOKUP(E278,Courses!$A$5:$G$10,2,FALSE))</x:f>
      </x:c>
      <x:c r="G278" s="47" t="str">
        <x:f>IF(E278="","",VLOOKUP(E278,Courses!$A$5:$G$10,3,FALSE))</x:f>
      </x:c>
      <x:c r="H278" s="9"/>
      <x:c r="I278" s="9"/>
      <x:c r="J278" s="51" t="str">
        <x:f>IF(I278="","",VLOOKUP(E278,Courses!$A$5:$G$10,6,FALSE))</x:f>
      </x:c>
      <x:c r="K278" s="47" t="n">
        <x:f>IF(AND(H278="Paid",I278&lt;&gt;""),G278*J278,0)</x:f>
        <x:v>0</x:v>
      </x:c>
      <x:c r="L278" s="9"/>
      <x:c r="M278" s="9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9"/>
      <x:c r="B279" s="9"/>
      <x:c r="C279" s="43"/>
      <x:c r="D279" s="9"/>
      <x:c r="E279" s="9"/>
      <x:c r="F279" s="6" t="str">
        <x:f>IF(E279="","",VLOOKUP(E279,Courses!$A$5:$G$10,2,FALSE))</x:f>
      </x:c>
      <x:c r="G279" s="47" t="str">
        <x:f>IF(E279="","",VLOOKUP(E279,Courses!$A$5:$G$10,3,FALSE))</x:f>
      </x:c>
      <x:c r="H279" s="9"/>
      <x:c r="I279" s="9"/>
      <x:c r="J279" s="51" t="str">
        <x:f>IF(I279="","",VLOOKUP(E279,Courses!$A$5:$G$10,6,FALSE))</x:f>
      </x:c>
      <x:c r="K279" s="47" t="n">
        <x:f>IF(AND(H279="Paid",I279&lt;&gt;""),G279*J279,0)</x:f>
        <x:v>0</x:v>
      </x:c>
      <x:c r="L279" s="9"/>
      <x:c r="M279" s="9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9"/>
      <x:c r="B280" s="9"/>
      <x:c r="C280" s="43"/>
      <x:c r="D280" s="9"/>
      <x:c r="E280" s="9"/>
      <x:c r="F280" s="6" t="str">
        <x:f>IF(E280="","",VLOOKUP(E280,Courses!$A$5:$G$10,2,FALSE))</x:f>
      </x:c>
      <x:c r="G280" s="47" t="str">
        <x:f>IF(E280="","",VLOOKUP(E280,Courses!$A$5:$G$10,3,FALSE))</x:f>
      </x:c>
      <x:c r="H280" s="9"/>
      <x:c r="I280" s="9"/>
      <x:c r="J280" s="51" t="str">
        <x:f>IF(I280="","",VLOOKUP(E280,Courses!$A$5:$G$10,6,FALSE))</x:f>
      </x:c>
      <x:c r="K280" s="47" t="n">
        <x:f>IF(AND(H280="Paid",I280&lt;&gt;""),G280*J280,0)</x:f>
        <x:v>0</x:v>
      </x:c>
      <x:c r="L280" s="9"/>
      <x:c r="M280" s="9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9"/>
      <x:c r="B281" s="9"/>
      <x:c r="C281" s="43"/>
      <x:c r="D281" s="9"/>
      <x:c r="E281" s="9"/>
      <x:c r="F281" s="6" t="str">
        <x:f>IF(E281="","",VLOOKUP(E281,Courses!$A$5:$G$10,2,FALSE))</x:f>
      </x:c>
      <x:c r="G281" s="47" t="str">
        <x:f>IF(E281="","",VLOOKUP(E281,Courses!$A$5:$G$10,3,FALSE))</x:f>
      </x:c>
      <x:c r="H281" s="9"/>
      <x:c r="I281" s="9"/>
      <x:c r="J281" s="51" t="str">
        <x:f>IF(I281="","",VLOOKUP(E281,Courses!$A$5:$G$10,6,FALSE))</x:f>
      </x:c>
      <x:c r="K281" s="47" t="n">
        <x:f>IF(AND(H281="Paid",I281&lt;&gt;""),G281*J281,0)</x:f>
        <x:v>0</x:v>
      </x:c>
      <x:c r="L281" s="9"/>
      <x:c r="M281" s="9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9"/>
      <x:c r="B282" s="9"/>
      <x:c r="C282" s="43"/>
      <x:c r="D282" s="9"/>
      <x:c r="E282" s="9"/>
      <x:c r="F282" s="6" t="str">
        <x:f>IF(E282="","",VLOOKUP(E282,Courses!$A$5:$G$10,2,FALSE))</x:f>
      </x:c>
      <x:c r="G282" s="47" t="str">
        <x:f>IF(E282="","",VLOOKUP(E282,Courses!$A$5:$G$10,3,FALSE))</x:f>
      </x:c>
      <x:c r="H282" s="9"/>
      <x:c r="I282" s="9"/>
      <x:c r="J282" s="51" t="str">
        <x:f>IF(I282="","",VLOOKUP(E282,Courses!$A$5:$G$10,6,FALSE))</x:f>
      </x:c>
      <x:c r="K282" s="47" t="n">
        <x:f>IF(AND(H282="Paid",I282&lt;&gt;""),G282*J282,0)</x:f>
        <x:v>0</x:v>
      </x:c>
      <x:c r="L282" s="9"/>
      <x:c r="M282" s="9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9"/>
      <x:c r="B283" s="9"/>
      <x:c r="C283" s="43"/>
      <x:c r="D283" s="9"/>
      <x:c r="E283" s="9"/>
      <x:c r="F283" s="6" t="str">
        <x:f>IF(E283="","",VLOOKUP(E283,Courses!$A$5:$G$10,2,FALSE))</x:f>
      </x:c>
      <x:c r="G283" s="47" t="str">
        <x:f>IF(E283="","",VLOOKUP(E283,Courses!$A$5:$G$10,3,FALSE))</x:f>
      </x:c>
      <x:c r="H283" s="9"/>
      <x:c r="I283" s="9"/>
      <x:c r="J283" s="51" t="str">
        <x:f>IF(I283="","",VLOOKUP(E283,Courses!$A$5:$G$10,6,FALSE))</x:f>
      </x:c>
      <x:c r="K283" s="47" t="n">
        <x:f>IF(AND(H283="Paid",I283&lt;&gt;""),G283*J283,0)</x:f>
        <x:v>0</x:v>
      </x:c>
      <x:c r="L283" s="9"/>
      <x:c r="M283" s="9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9"/>
      <x:c r="B284" s="9"/>
      <x:c r="C284" s="43"/>
      <x:c r="D284" s="9"/>
      <x:c r="E284" s="9"/>
      <x:c r="F284" s="6" t="str">
        <x:f>IF(E284="","",VLOOKUP(E284,Courses!$A$5:$G$10,2,FALSE))</x:f>
      </x:c>
      <x:c r="G284" s="47" t="str">
        <x:f>IF(E284="","",VLOOKUP(E284,Courses!$A$5:$G$10,3,FALSE))</x:f>
      </x:c>
      <x:c r="H284" s="9"/>
      <x:c r="I284" s="9"/>
      <x:c r="J284" s="51" t="str">
        <x:f>IF(I284="","",VLOOKUP(E284,Courses!$A$5:$G$10,6,FALSE))</x:f>
      </x:c>
      <x:c r="K284" s="47" t="n">
        <x:f>IF(AND(H284="Paid",I284&lt;&gt;""),G284*J284,0)</x:f>
        <x:v>0</x:v>
      </x:c>
      <x:c r="L284" s="9"/>
      <x:c r="M284" s="9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9"/>
      <x:c r="B285" s="9"/>
      <x:c r="C285" s="43"/>
      <x:c r="D285" s="9"/>
      <x:c r="E285" s="9"/>
      <x:c r="F285" s="6" t="str">
        <x:f>IF(E285="","",VLOOKUP(E285,Courses!$A$5:$G$10,2,FALSE))</x:f>
      </x:c>
      <x:c r="G285" s="47" t="str">
        <x:f>IF(E285="","",VLOOKUP(E285,Courses!$A$5:$G$10,3,FALSE))</x:f>
      </x:c>
      <x:c r="H285" s="9"/>
      <x:c r="I285" s="9"/>
      <x:c r="J285" s="51" t="str">
        <x:f>IF(I285="","",VLOOKUP(E285,Courses!$A$5:$G$10,6,FALSE))</x:f>
      </x:c>
      <x:c r="K285" s="47" t="n">
        <x:f>IF(AND(H285="Paid",I285&lt;&gt;""),G285*J285,0)</x:f>
        <x:v>0</x:v>
      </x:c>
      <x:c r="L285" s="9"/>
      <x:c r="M285" s="9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9"/>
      <x:c r="B286" s="9"/>
      <x:c r="C286" s="43"/>
      <x:c r="D286" s="9"/>
      <x:c r="E286" s="9"/>
      <x:c r="F286" s="6" t="str">
        <x:f>IF(E286="","",VLOOKUP(E286,Courses!$A$5:$G$10,2,FALSE))</x:f>
      </x:c>
      <x:c r="G286" s="47" t="str">
        <x:f>IF(E286="","",VLOOKUP(E286,Courses!$A$5:$G$10,3,FALSE))</x:f>
      </x:c>
      <x:c r="H286" s="9"/>
      <x:c r="I286" s="9"/>
      <x:c r="J286" s="51" t="str">
        <x:f>IF(I286="","",VLOOKUP(E286,Courses!$A$5:$G$10,6,FALSE))</x:f>
      </x:c>
      <x:c r="K286" s="47" t="n">
        <x:f>IF(AND(H286="Paid",I286&lt;&gt;""),G286*J286,0)</x:f>
        <x:v>0</x:v>
      </x:c>
      <x:c r="L286" s="9"/>
      <x:c r="M286" s="9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9"/>
      <x:c r="B287" s="9"/>
      <x:c r="C287" s="43"/>
      <x:c r="D287" s="9"/>
      <x:c r="E287" s="9"/>
      <x:c r="F287" s="6" t="str">
        <x:f>IF(E287="","",VLOOKUP(E287,Courses!$A$5:$G$10,2,FALSE))</x:f>
      </x:c>
      <x:c r="G287" s="47" t="str">
        <x:f>IF(E287="","",VLOOKUP(E287,Courses!$A$5:$G$10,3,FALSE))</x:f>
      </x:c>
      <x:c r="H287" s="9"/>
      <x:c r="I287" s="9"/>
      <x:c r="J287" s="51" t="str">
        <x:f>IF(I287="","",VLOOKUP(E287,Courses!$A$5:$G$10,6,FALSE))</x:f>
      </x:c>
      <x:c r="K287" s="47" t="n">
        <x:f>IF(AND(H287="Paid",I287&lt;&gt;""),G287*J287,0)</x:f>
        <x:v>0</x:v>
      </x:c>
      <x:c r="L287" s="9"/>
      <x:c r="M287" s="9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9"/>
      <x:c r="B288" s="9"/>
      <x:c r="C288" s="43"/>
      <x:c r="D288" s="9"/>
      <x:c r="E288" s="9"/>
      <x:c r="F288" s="6" t="str">
        <x:f>IF(E288="","",VLOOKUP(E288,Courses!$A$5:$G$10,2,FALSE))</x:f>
      </x:c>
      <x:c r="G288" s="47" t="str">
        <x:f>IF(E288="","",VLOOKUP(E288,Courses!$A$5:$G$10,3,FALSE))</x:f>
      </x:c>
      <x:c r="H288" s="9"/>
      <x:c r="I288" s="9"/>
      <x:c r="J288" s="51" t="str">
        <x:f>IF(I288="","",VLOOKUP(E288,Courses!$A$5:$G$10,6,FALSE))</x:f>
      </x:c>
      <x:c r="K288" s="47" t="n">
        <x:f>IF(AND(H288="Paid",I288&lt;&gt;""),G288*J288,0)</x:f>
        <x:v>0</x:v>
      </x:c>
      <x:c r="L288" s="9"/>
      <x:c r="M288" s="9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9"/>
      <x:c r="B289" s="9"/>
      <x:c r="C289" s="43"/>
      <x:c r="D289" s="9"/>
      <x:c r="E289" s="9"/>
      <x:c r="F289" s="6" t="str">
        <x:f>IF(E289="","",VLOOKUP(E289,Courses!$A$5:$G$10,2,FALSE))</x:f>
      </x:c>
      <x:c r="G289" s="47" t="str">
        <x:f>IF(E289="","",VLOOKUP(E289,Courses!$A$5:$G$10,3,FALSE))</x:f>
      </x:c>
      <x:c r="H289" s="9"/>
      <x:c r="I289" s="9"/>
      <x:c r="J289" s="51" t="str">
        <x:f>IF(I289="","",VLOOKUP(E289,Courses!$A$5:$G$10,6,FALSE))</x:f>
      </x:c>
      <x:c r="K289" s="47" t="n">
        <x:f>IF(AND(H289="Paid",I289&lt;&gt;""),G289*J289,0)</x:f>
        <x:v>0</x:v>
      </x:c>
      <x:c r="L289" s="9"/>
      <x:c r="M289" s="9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9"/>
      <x:c r="B290" s="9"/>
      <x:c r="C290" s="43"/>
      <x:c r="D290" s="9"/>
      <x:c r="E290" s="9"/>
      <x:c r="F290" s="6" t="str">
        <x:f>IF(E290="","",VLOOKUP(E290,Courses!$A$5:$G$10,2,FALSE))</x:f>
      </x:c>
      <x:c r="G290" s="47" t="str">
        <x:f>IF(E290="","",VLOOKUP(E290,Courses!$A$5:$G$10,3,FALSE))</x:f>
      </x:c>
      <x:c r="H290" s="9"/>
      <x:c r="I290" s="9"/>
      <x:c r="J290" s="51" t="str">
        <x:f>IF(I290="","",VLOOKUP(E290,Courses!$A$5:$G$10,6,FALSE))</x:f>
      </x:c>
      <x:c r="K290" s="47" t="n">
        <x:f>IF(AND(H290="Paid",I290&lt;&gt;""),G290*J290,0)</x:f>
        <x:v>0</x:v>
      </x:c>
      <x:c r="L290" s="9"/>
      <x:c r="M290" s="9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9"/>
      <x:c r="B291" s="9"/>
      <x:c r="C291" s="43"/>
      <x:c r="D291" s="9"/>
      <x:c r="E291" s="9"/>
      <x:c r="F291" s="6" t="str">
        <x:f>IF(E291="","",VLOOKUP(E291,Courses!$A$5:$G$10,2,FALSE))</x:f>
      </x:c>
      <x:c r="G291" s="47" t="str">
        <x:f>IF(E291="","",VLOOKUP(E291,Courses!$A$5:$G$10,3,FALSE))</x:f>
      </x:c>
      <x:c r="H291" s="9"/>
      <x:c r="I291" s="9"/>
      <x:c r="J291" s="51" t="str">
        <x:f>IF(I291="","",VLOOKUP(E291,Courses!$A$5:$G$10,6,FALSE))</x:f>
      </x:c>
      <x:c r="K291" s="47" t="n">
        <x:f>IF(AND(H291="Paid",I291&lt;&gt;""),G291*J291,0)</x:f>
        <x:v>0</x:v>
      </x:c>
      <x:c r="L291" s="9"/>
      <x:c r="M291" s="9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9"/>
      <x:c r="B292" s="9"/>
      <x:c r="C292" s="43"/>
      <x:c r="D292" s="9"/>
      <x:c r="E292" s="9"/>
      <x:c r="F292" s="6" t="str">
        <x:f>IF(E292="","",VLOOKUP(E292,Courses!$A$5:$G$10,2,FALSE))</x:f>
      </x:c>
      <x:c r="G292" s="47" t="str">
        <x:f>IF(E292="","",VLOOKUP(E292,Courses!$A$5:$G$10,3,FALSE))</x:f>
      </x:c>
      <x:c r="H292" s="9"/>
      <x:c r="I292" s="9"/>
      <x:c r="J292" s="51" t="str">
        <x:f>IF(I292="","",VLOOKUP(E292,Courses!$A$5:$G$10,6,FALSE))</x:f>
      </x:c>
      <x:c r="K292" s="47" t="n">
        <x:f>IF(AND(H292="Paid",I292&lt;&gt;""),G292*J292,0)</x:f>
        <x:v>0</x:v>
      </x:c>
      <x:c r="L292" s="9"/>
      <x:c r="M292" s="9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9"/>
      <x:c r="B293" s="9"/>
      <x:c r="C293" s="43"/>
      <x:c r="D293" s="9"/>
      <x:c r="E293" s="9"/>
      <x:c r="F293" s="6" t="str">
        <x:f>IF(E293="","",VLOOKUP(E293,Courses!$A$5:$G$10,2,FALSE))</x:f>
      </x:c>
      <x:c r="G293" s="47" t="str">
        <x:f>IF(E293="","",VLOOKUP(E293,Courses!$A$5:$G$10,3,FALSE))</x:f>
      </x:c>
      <x:c r="H293" s="9"/>
      <x:c r="I293" s="9"/>
      <x:c r="J293" s="51" t="str">
        <x:f>IF(I293="","",VLOOKUP(E293,Courses!$A$5:$G$10,6,FALSE))</x:f>
      </x:c>
      <x:c r="K293" s="47" t="n">
        <x:f>IF(AND(H293="Paid",I293&lt;&gt;""),G293*J293,0)</x:f>
        <x:v>0</x:v>
      </x:c>
      <x:c r="L293" s="9"/>
      <x:c r="M293" s="9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9"/>
      <x:c r="B294" s="9"/>
      <x:c r="C294" s="43"/>
      <x:c r="D294" s="9"/>
      <x:c r="E294" s="9"/>
      <x:c r="F294" s="6" t="str">
        <x:f>IF(E294="","",VLOOKUP(E294,Courses!$A$5:$G$10,2,FALSE))</x:f>
      </x:c>
      <x:c r="G294" s="47" t="str">
        <x:f>IF(E294="","",VLOOKUP(E294,Courses!$A$5:$G$10,3,FALSE))</x:f>
      </x:c>
      <x:c r="H294" s="9"/>
      <x:c r="I294" s="9"/>
      <x:c r="J294" s="51" t="str">
        <x:f>IF(I294="","",VLOOKUP(E294,Courses!$A$5:$G$10,6,FALSE))</x:f>
      </x:c>
      <x:c r="K294" s="47" t="n">
        <x:f>IF(AND(H294="Paid",I294&lt;&gt;""),G294*J294,0)</x:f>
        <x:v>0</x:v>
      </x:c>
      <x:c r="L294" s="9"/>
      <x:c r="M294" s="9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9"/>
      <x:c r="B295" s="9"/>
      <x:c r="C295" s="43"/>
      <x:c r="D295" s="9"/>
      <x:c r="E295" s="9"/>
      <x:c r="F295" s="6" t="str">
        <x:f>IF(E295="","",VLOOKUP(E295,Courses!$A$5:$G$10,2,FALSE))</x:f>
      </x:c>
      <x:c r="G295" s="47" t="str">
        <x:f>IF(E295="","",VLOOKUP(E295,Courses!$A$5:$G$10,3,FALSE))</x:f>
      </x:c>
      <x:c r="H295" s="9"/>
      <x:c r="I295" s="9"/>
      <x:c r="J295" s="51" t="str">
        <x:f>IF(I295="","",VLOOKUP(E295,Courses!$A$5:$G$10,6,FALSE))</x:f>
      </x:c>
      <x:c r="K295" s="47" t="n">
        <x:f>IF(AND(H295="Paid",I295&lt;&gt;""),G295*J295,0)</x:f>
        <x:v>0</x:v>
      </x:c>
      <x:c r="L295" s="9"/>
      <x:c r="M295" s="9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9"/>
      <x:c r="B296" s="9"/>
      <x:c r="C296" s="43"/>
      <x:c r="D296" s="9"/>
      <x:c r="E296" s="9"/>
      <x:c r="F296" s="6" t="str">
        <x:f>IF(E296="","",VLOOKUP(E296,Courses!$A$5:$G$10,2,FALSE))</x:f>
      </x:c>
      <x:c r="G296" s="47" t="str">
        <x:f>IF(E296="","",VLOOKUP(E296,Courses!$A$5:$G$10,3,FALSE))</x:f>
      </x:c>
      <x:c r="H296" s="9"/>
      <x:c r="I296" s="9"/>
      <x:c r="J296" s="51" t="str">
        <x:f>IF(I296="","",VLOOKUP(E296,Courses!$A$5:$G$10,6,FALSE))</x:f>
      </x:c>
      <x:c r="K296" s="47" t="n">
        <x:f>IF(AND(H296="Paid",I296&lt;&gt;""),G296*J296,0)</x:f>
        <x:v>0</x:v>
      </x:c>
      <x:c r="L296" s="9"/>
      <x:c r="M296" s="9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9"/>
      <x:c r="B297" s="9"/>
      <x:c r="C297" s="43"/>
      <x:c r="D297" s="9"/>
      <x:c r="E297" s="9"/>
      <x:c r="F297" s="6" t="str">
        <x:f>IF(E297="","",VLOOKUP(E297,Courses!$A$5:$G$10,2,FALSE))</x:f>
      </x:c>
      <x:c r="G297" s="47" t="str">
        <x:f>IF(E297="","",VLOOKUP(E297,Courses!$A$5:$G$10,3,FALSE))</x:f>
      </x:c>
      <x:c r="H297" s="9"/>
      <x:c r="I297" s="9"/>
      <x:c r="J297" s="51" t="str">
        <x:f>IF(I297="","",VLOOKUP(E297,Courses!$A$5:$G$10,6,FALSE))</x:f>
      </x:c>
      <x:c r="K297" s="47" t="n">
        <x:f>IF(AND(H297="Paid",I297&lt;&gt;""),G297*J297,0)</x:f>
        <x:v>0</x:v>
      </x:c>
      <x:c r="L297" s="9"/>
      <x:c r="M297" s="9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9"/>
      <x:c r="B298" s="9"/>
      <x:c r="C298" s="43"/>
      <x:c r="D298" s="9"/>
      <x:c r="E298" s="9"/>
      <x:c r="F298" s="6" t="str">
        <x:f>IF(E298="","",VLOOKUP(E298,Courses!$A$5:$G$10,2,FALSE))</x:f>
      </x:c>
      <x:c r="G298" s="47" t="str">
        <x:f>IF(E298="","",VLOOKUP(E298,Courses!$A$5:$G$10,3,FALSE))</x:f>
      </x:c>
      <x:c r="H298" s="9"/>
      <x:c r="I298" s="9"/>
      <x:c r="J298" s="51" t="str">
        <x:f>IF(I298="","",VLOOKUP(E298,Courses!$A$5:$G$10,6,FALSE))</x:f>
      </x:c>
      <x:c r="K298" s="47" t="n">
        <x:f>IF(AND(H298="Paid",I298&lt;&gt;""),G298*J298,0)</x:f>
        <x:v>0</x:v>
      </x:c>
      <x:c r="L298" s="9"/>
      <x:c r="M298" s="9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9"/>
      <x:c r="B299" s="9"/>
      <x:c r="C299" s="43"/>
      <x:c r="D299" s="9"/>
      <x:c r="E299" s="9"/>
      <x:c r="F299" s="6" t="str">
        <x:f>IF(E299="","",VLOOKUP(E299,Courses!$A$5:$G$10,2,FALSE))</x:f>
      </x:c>
      <x:c r="G299" s="47" t="str">
        <x:f>IF(E299="","",VLOOKUP(E299,Courses!$A$5:$G$10,3,FALSE))</x:f>
      </x:c>
      <x:c r="H299" s="9"/>
      <x:c r="I299" s="9"/>
      <x:c r="J299" s="51" t="str">
        <x:f>IF(I299="","",VLOOKUP(E299,Courses!$A$5:$G$10,6,FALSE))</x:f>
      </x:c>
      <x:c r="K299" s="47" t="n">
        <x:f>IF(AND(H299="Paid",I299&lt;&gt;""),G299*J299,0)</x:f>
        <x:v>0</x:v>
      </x:c>
      <x:c r="L299" s="9"/>
      <x:c r="M299" s="9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9"/>
      <x:c r="B300" s="9"/>
      <x:c r="C300" s="43"/>
      <x:c r="D300" s="9"/>
      <x:c r="E300" s="9"/>
      <x:c r="F300" s="6" t="str">
        <x:f>IF(E300="","",VLOOKUP(E300,Courses!$A$5:$G$10,2,FALSE))</x:f>
      </x:c>
      <x:c r="G300" s="47" t="str">
        <x:f>IF(E300="","",VLOOKUP(E300,Courses!$A$5:$G$10,3,FALSE))</x:f>
      </x:c>
      <x:c r="H300" s="9"/>
      <x:c r="I300" s="9"/>
      <x:c r="J300" s="51" t="str">
        <x:f>IF(I300="","",VLOOKUP(E300,Courses!$A$5:$G$10,6,FALSE))</x:f>
      </x:c>
      <x:c r="K300" s="47" t="n">
        <x:f>IF(AND(H300="Paid",I300&lt;&gt;""),G300*J300,0)</x:f>
        <x:v>0</x:v>
      </x:c>
      <x:c r="L300" s="9"/>
      <x:c r="M300" s="9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9"/>
      <x:c r="B301" s="9"/>
      <x:c r="C301" s="43"/>
      <x:c r="D301" s="9"/>
      <x:c r="E301" s="9"/>
      <x:c r="F301" s="6" t="str">
        <x:f>IF(E301="","",VLOOKUP(E301,Courses!$A$5:$G$10,2,FALSE))</x:f>
      </x:c>
      <x:c r="G301" s="47" t="str">
        <x:f>IF(E301="","",VLOOKUP(E301,Courses!$A$5:$G$10,3,FALSE))</x:f>
      </x:c>
      <x:c r="H301" s="9"/>
      <x:c r="I301" s="9"/>
      <x:c r="J301" s="51" t="str">
        <x:f>IF(I301="","",VLOOKUP(E301,Courses!$A$5:$G$10,6,FALSE))</x:f>
      </x:c>
      <x:c r="K301" s="47" t="n">
        <x:f>IF(AND(H301="Paid",I301&lt;&gt;""),G301*J301,0)</x:f>
        <x:v>0</x:v>
      </x:c>
      <x:c r="L301" s="9"/>
      <x:c r="M301" s="9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9"/>
      <x:c r="B302" s="9"/>
      <x:c r="C302" s="43"/>
      <x:c r="D302" s="9"/>
      <x:c r="E302" s="9"/>
      <x:c r="F302" s="6" t="str">
        <x:f>IF(E302="","",VLOOKUP(E302,Courses!$A$5:$G$10,2,FALSE))</x:f>
      </x:c>
      <x:c r="G302" s="47" t="str">
        <x:f>IF(E302="","",VLOOKUP(E302,Courses!$A$5:$G$10,3,FALSE))</x:f>
      </x:c>
      <x:c r="H302" s="9"/>
      <x:c r="I302" s="9"/>
      <x:c r="J302" s="51" t="str">
        <x:f>IF(I302="","",VLOOKUP(E302,Courses!$A$5:$G$10,6,FALSE))</x:f>
      </x:c>
      <x:c r="K302" s="47" t="n">
        <x:f>IF(AND(H302="Paid",I302&lt;&gt;""),G302*J302,0)</x:f>
        <x:v>0</x:v>
      </x:c>
      <x:c r="L302" s="9"/>
      <x:c r="M302" s="9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9"/>
      <x:c r="B303" s="9"/>
      <x:c r="C303" s="43"/>
      <x:c r="D303" s="9"/>
      <x:c r="E303" s="9"/>
      <x:c r="F303" s="6" t="str">
        <x:f>IF(E303="","",VLOOKUP(E303,Courses!$A$5:$G$10,2,FALSE))</x:f>
      </x:c>
      <x:c r="G303" s="47" t="str">
        <x:f>IF(E303="","",VLOOKUP(E303,Courses!$A$5:$G$10,3,FALSE))</x:f>
      </x:c>
      <x:c r="H303" s="9"/>
      <x:c r="I303" s="9"/>
      <x:c r="J303" s="51" t="str">
        <x:f>IF(I303="","",VLOOKUP(E303,Courses!$A$5:$G$10,6,FALSE))</x:f>
      </x:c>
      <x:c r="K303" s="47" t="n">
        <x:f>IF(AND(H303="Paid",I303&lt;&gt;""),G303*J303,0)</x:f>
        <x:v>0</x:v>
      </x:c>
      <x:c r="L303" s="9"/>
      <x:c r="M303" s="9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9"/>
      <x:c r="B304" s="9"/>
      <x:c r="C304" s="43"/>
      <x:c r="D304" s="9"/>
      <x:c r="E304" s="9"/>
      <x:c r="F304" s="6" t="str">
        <x:f>IF(E304="","",VLOOKUP(E304,Courses!$A$5:$G$10,2,FALSE))</x:f>
      </x:c>
      <x:c r="G304" s="47" t="str">
        <x:f>IF(E304="","",VLOOKUP(E304,Courses!$A$5:$G$10,3,FALSE))</x:f>
      </x:c>
      <x:c r="H304" s="9"/>
      <x:c r="I304" s="9"/>
      <x:c r="J304" s="51" t="str">
        <x:f>IF(I304="","",VLOOKUP(E304,Courses!$A$5:$G$10,6,FALSE))</x:f>
      </x:c>
      <x:c r="K304" s="47" t="n">
        <x:f>IF(AND(H304="Paid",I304&lt;&gt;""),G304*J304,0)</x:f>
        <x:v>0</x:v>
      </x:c>
      <x:c r="L304" s="9"/>
      <x:c r="M304" s="9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9"/>
      <x:c r="B305" s="9"/>
      <x:c r="C305" s="43"/>
      <x:c r="D305" s="9"/>
      <x:c r="E305" s="9"/>
      <x:c r="F305" s="6" t="str">
        <x:f>IF(E305="","",VLOOKUP(E305,Courses!$A$5:$G$10,2,FALSE))</x:f>
      </x:c>
      <x:c r="G305" s="47" t="str">
        <x:f>IF(E305="","",VLOOKUP(E305,Courses!$A$5:$G$10,3,FALSE))</x:f>
      </x:c>
      <x:c r="H305" s="9"/>
      <x:c r="I305" s="9"/>
      <x:c r="J305" s="51" t="str">
        <x:f>IF(I305="","",VLOOKUP(E305,Courses!$A$5:$G$10,6,FALSE))</x:f>
      </x:c>
      <x:c r="K305" s="47" t="n">
        <x:f>IF(AND(H305="Paid",I305&lt;&gt;""),G305*J305,0)</x:f>
        <x:v>0</x:v>
      </x:c>
      <x:c r="L305" s="9"/>
      <x:c r="M305" s="9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9"/>
      <x:c r="B306" s="9"/>
      <x:c r="C306" s="43"/>
      <x:c r="D306" s="9"/>
      <x:c r="E306" s="9"/>
      <x:c r="F306" s="6" t="str">
        <x:f>IF(E306="","",VLOOKUP(E306,Courses!$A$5:$G$10,2,FALSE))</x:f>
      </x:c>
      <x:c r="G306" s="47" t="str">
        <x:f>IF(E306="","",VLOOKUP(E306,Courses!$A$5:$G$10,3,FALSE))</x:f>
      </x:c>
      <x:c r="H306" s="9"/>
      <x:c r="I306" s="9"/>
      <x:c r="J306" s="51" t="str">
        <x:f>IF(I306="","",VLOOKUP(E306,Courses!$A$5:$G$10,6,FALSE))</x:f>
      </x:c>
      <x:c r="K306" s="47" t="n">
        <x:f>IF(AND(H306="Paid",I306&lt;&gt;""),G306*J306,0)</x:f>
        <x:v>0</x:v>
      </x:c>
      <x:c r="L306" s="9"/>
      <x:c r="M306" s="9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9"/>
      <x:c r="B307" s="9"/>
      <x:c r="C307" s="43"/>
      <x:c r="D307" s="9"/>
      <x:c r="E307" s="9"/>
      <x:c r="F307" s="6" t="str">
        <x:f>IF(E307="","",VLOOKUP(E307,Courses!$A$5:$G$10,2,FALSE))</x:f>
      </x:c>
      <x:c r="G307" s="47" t="str">
        <x:f>IF(E307="","",VLOOKUP(E307,Courses!$A$5:$G$10,3,FALSE))</x:f>
      </x:c>
      <x:c r="H307" s="9"/>
      <x:c r="I307" s="9"/>
      <x:c r="J307" s="51" t="str">
        <x:f>IF(I307="","",VLOOKUP(E307,Courses!$A$5:$G$10,6,FALSE))</x:f>
      </x:c>
      <x:c r="K307" s="47" t="n">
        <x:f>IF(AND(H307="Paid",I307&lt;&gt;""),G307*J307,0)</x:f>
        <x:v>0</x:v>
      </x:c>
      <x:c r="L307" s="9"/>
      <x:c r="M307" s="9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9"/>
      <x:c r="B308" s="9"/>
      <x:c r="C308" s="43"/>
      <x:c r="D308" s="9"/>
      <x:c r="E308" s="9"/>
      <x:c r="F308" s="6" t="str">
        <x:f>IF(E308="","",VLOOKUP(E308,Courses!$A$5:$G$10,2,FALSE))</x:f>
      </x:c>
      <x:c r="G308" s="47" t="str">
        <x:f>IF(E308="","",VLOOKUP(E308,Courses!$A$5:$G$10,3,FALSE))</x:f>
      </x:c>
      <x:c r="H308" s="9"/>
      <x:c r="I308" s="9"/>
      <x:c r="J308" s="51" t="str">
        <x:f>IF(I308="","",VLOOKUP(E308,Courses!$A$5:$G$10,6,FALSE))</x:f>
      </x:c>
      <x:c r="K308" s="47" t="n">
        <x:f>IF(AND(H308="Paid",I308&lt;&gt;""),G308*J308,0)</x:f>
        <x:v>0</x:v>
      </x:c>
      <x:c r="L308" s="9"/>
      <x:c r="M308" s="9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9"/>
      <x:c r="B309" s="9"/>
      <x:c r="C309" s="43"/>
      <x:c r="D309" s="9"/>
      <x:c r="E309" s="9"/>
      <x:c r="F309" s="6" t="str">
        <x:f>IF(E309="","",VLOOKUP(E309,Courses!$A$5:$G$10,2,FALSE))</x:f>
      </x:c>
      <x:c r="G309" s="47" t="str">
        <x:f>IF(E309="","",VLOOKUP(E309,Courses!$A$5:$G$10,3,FALSE))</x:f>
      </x:c>
      <x:c r="H309" s="9"/>
      <x:c r="I309" s="9"/>
      <x:c r="J309" s="51" t="str">
        <x:f>IF(I309="","",VLOOKUP(E309,Courses!$A$5:$G$10,6,FALSE))</x:f>
      </x:c>
      <x:c r="K309" s="47" t="n">
        <x:f>IF(AND(H309="Paid",I309&lt;&gt;""),G309*J309,0)</x:f>
        <x:v>0</x:v>
      </x:c>
      <x:c r="L309" s="9"/>
      <x:c r="M309" s="9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9"/>
      <x:c r="B310" s="9"/>
      <x:c r="C310" s="43"/>
      <x:c r="D310" s="9"/>
      <x:c r="E310" s="9"/>
      <x:c r="F310" s="6" t="str">
        <x:f>IF(E310="","",VLOOKUP(E310,Courses!$A$5:$G$10,2,FALSE))</x:f>
      </x:c>
      <x:c r="G310" s="47" t="str">
        <x:f>IF(E310="","",VLOOKUP(E310,Courses!$A$5:$G$10,3,FALSE))</x:f>
      </x:c>
      <x:c r="H310" s="9"/>
      <x:c r="I310" s="9"/>
      <x:c r="J310" s="51" t="str">
        <x:f>IF(I310="","",VLOOKUP(E310,Courses!$A$5:$G$10,6,FALSE))</x:f>
      </x:c>
      <x:c r="K310" s="47" t="n">
        <x:f>IF(AND(H310="Paid",I310&lt;&gt;""),G310*J310,0)</x:f>
        <x:v>0</x:v>
      </x:c>
      <x:c r="L310" s="9"/>
      <x:c r="M310" s="9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9"/>
      <x:c r="B311" s="9"/>
      <x:c r="C311" s="43"/>
      <x:c r="D311" s="9"/>
      <x:c r="E311" s="9"/>
      <x:c r="F311" s="6" t="str">
        <x:f>IF(E311="","",VLOOKUP(E311,Courses!$A$5:$G$10,2,FALSE))</x:f>
      </x:c>
      <x:c r="G311" s="47" t="str">
        <x:f>IF(E311="","",VLOOKUP(E311,Courses!$A$5:$G$10,3,FALSE))</x:f>
      </x:c>
      <x:c r="H311" s="9"/>
      <x:c r="I311" s="9"/>
      <x:c r="J311" s="51" t="str">
        <x:f>IF(I311="","",VLOOKUP(E311,Courses!$A$5:$G$10,6,FALSE))</x:f>
      </x:c>
      <x:c r="K311" s="47" t="n">
        <x:f>IF(AND(H311="Paid",I311&lt;&gt;""),G311*J311,0)</x:f>
        <x:v>0</x:v>
      </x:c>
      <x:c r="L311" s="9"/>
      <x:c r="M311" s="9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9"/>
      <x:c r="B312" s="9"/>
      <x:c r="C312" s="43"/>
      <x:c r="D312" s="9"/>
      <x:c r="E312" s="9"/>
      <x:c r="F312" s="6" t="str">
        <x:f>IF(E312="","",VLOOKUP(E312,Courses!$A$5:$G$10,2,FALSE))</x:f>
      </x:c>
      <x:c r="G312" s="47" t="str">
        <x:f>IF(E312="","",VLOOKUP(E312,Courses!$A$5:$G$10,3,FALSE))</x:f>
      </x:c>
      <x:c r="H312" s="9"/>
      <x:c r="I312" s="9"/>
      <x:c r="J312" s="51" t="str">
        <x:f>IF(I312="","",VLOOKUP(E312,Courses!$A$5:$G$10,6,FALSE))</x:f>
      </x:c>
      <x:c r="K312" s="47" t="n">
        <x:f>IF(AND(H312="Paid",I312&lt;&gt;""),G312*J312,0)</x:f>
        <x:v>0</x:v>
      </x:c>
      <x:c r="L312" s="9"/>
      <x:c r="M312" s="9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9"/>
      <x:c r="B313" s="9"/>
      <x:c r="C313" s="43"/>
      <x:c r="D313" s="9"/>
      <x:c r="E313" s="9"/>
      <x:c r="F313" s="6" t="str">
        <x:f>IF(E313="","",VLOOKUP(E313,Courses!$A$5:$G$10,2,FALSE))</x:f>
      </x:c>
      <x:c r="G313" s="47" t="str">
        <x:f>IF(E313="","",VLOOKUP(E313,Courses!$A$5:$G$10,3,FALSE))</x:f>
      </x:c>
      <x:c r="H313" s="9"/>
      <x:c r="I313" s="9"/>
      <x:c r="J313" s="51" t="str">
        <x:f>IF(I313="","",VLOOKUP(E313,Courses!$A$5:$G$10,6,FALSE))</x:f>
      </x:c>
      <x:c r="K313" s="47" t="n">
        <x:f>IF(AND(H313="Paid",I313&lt;&gt;""),G313*J313,0)</x:f>
        <x:v>0</x:v>
      </x:c>
      <x:c r="L313" s="9"/>
      <x:c r="M313" s="9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9"/>
      <x:c r="B314" s="9"/>
      <x:c r="C314" s="43"/>
      <x:c r="D314" s="9"/>
      <x:c r="E314" s="9"/>
      <x:c r="F314" s="6" t="str">
        <x:f>IF(E314="","",VLOOKUP(E314,Courses!$A$5:$G$10,2,FALSE))</x:f>
      </x:c>
      <x:c r="G314" s="47" t="str">
        <x:f>IF(E314="","",VLOOKUP(E314,Courses!$A$5:$G$10,3,FALSE))</x:f>
      </x:c>
      <x:c r="H314" s="9"/>
      <x:c r="I314" s="9"/>
      <x:c r="J314" s="51" t="str">
        <x:f>IF(I314="","",VLOOKUP(E314,Courses!$A$5:$G$10,6,FALSE))</x:f>
      </x:c>
      <x:c r="K314" s="47" t="n">
        <x:f>IF(AND(H314="Paid",I314&lt;&gt;""),G314*J314,0)</x:f>
        <x:v>0</x:v>
      </x:c>
      <x:c r="L314" s="9"/>
      <x:c r="M314" s="9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9"/>
      <x:c r="B315" s="9"/>
      <x:c r="C315" s="43"/>
      <x:c r="D315" s="9"/>
      <x:c r="E315" s="9"/>
      <x:c r="F315" s="6" t="str">
        <x:f>IF(E315="","",VLOOKUP(E315,Courses!$A$5:$G$10,2,FALSE))</x:f>
      </x:c>
      <x:c r="G315" s="47" t="str">
        <x:f>IF(E315="","",VLOOKUP(E315,Courses!$A$5:$G$10,3,FALSE))</x:f>
      </x:c>
      <x:c r="H315" s="9"/>
      <x:c r="I315" s="9"/>
      <x:c r="J315" s="51" t="str">
        <x:f>IF(I315="","",VLOOKUP(E315,Courses!$A$5:$G$10,6,FALSE))</x:f>
      </x:c>
      <x:c r="K315" s="47" t="n">
        <x:f>IF(AND(H315="Paid",I315&lt;&gt;""),G315*J315,0)</x:f>
        <x:v>0</x:v>
      </x:c>
      <x:c r="L315" s="9"/>
      <x:c r="M315" s="9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9"/>
      <x:c r="B316" s="9"/>
      <x:c r="C316" s="43"/>
      <x:c r="D316" s="9"/>
      <x:c r="E316" s="9"/>
      <x:c r="F316" s="6" t="str">
        <x:f>IF(E316="","",VLOOKUP(E316,Courses!$A$5:$G$10,2,FALSE))</x:f>
      </x:c>
      <x:c r="G316" s="47" t="str">
        <x:f>IF(E316="","",VLOOKUP(E316,Courses!$A$5:$G$10,3,FALSE))</x:f>
      </x:c>
      <x:c r="H316" s="9"/>
      <x:c r="I316" s="9"/>
      <x:c r="J316" s="51" t="str">
        <x:f>IF(I316="","",VLOOKUP(E316,Courses!$A$5:$G$10,6,FALSE))</x:f>
      </x:c>
      <x:c r="K316" s="47" t="n">
        <x:f>IF(AND(H316="Paid",I316&lt;&gt;""),G316*J316,0)</x:f>
        <x:v>0</x:v>
      </x:c>
      <x:c r="L316" s="9"/>
      <x:c r="M316" s="9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9"/>
      <x:c r="B317" s="9"/>
      <x:c r="C317" s="43"/>
      <x:c r="D317" s="9"/>
      <x:c r="E317" s="9"/>
      <x:c r="F317" s="6" t="str">
        <x:f>IF(E317="","",VLOOKUP(E317,Courses!$A$5:$G$10,2,FALSE))</x:f>
      </x:c>
      <x:c r="G317" s="47" t="str">
        <x:f>IF(E317="","",VLOOKUP(E317,Courses!$A$5:$G$10,3,FALSE))</x:f>
      </x:c>
      <x:c r="H317" s="9"/>
      <x:c r="I317" s="9"/>
      <x:c r="J317" s="51" t="str">
        <x:f>IF(I317="","",VLOOKUP(E317,Courses!$A$5:$G$10,6,FALSE))</x:f>
      </x:c>
      <x:c r="K317" s="47" t="n">
        <x:f>IF(AND(H317="Paid",I317&lt;&gt;""),G317*J317,0)</x:f>
        <x:v>0</x:v>
      </x:c>
      <x:c r="L317" s="9"/>
      <x:c r="M317" s="9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9"/>
      <x:c r="B318" s="9"/>
      <x:c r="C318" s="43"/>
      <x:c r="D318" s="9"/>
      <x:c r="E318" s="9"/>
      <x:c r="F318" s="6" t="str">
        <x:f>IF(E318="","",VLOOKUP(E318,Courses!$A$5:$G$10,2,FALSE))</x:f>
      </x:c>
      <x:c r="G318" s="47" t="str">
        <x:f>IF(E318="","",VLOOKUP(E318,Courses!$A$5:$G$10,3,FALSE))</x:f>
      </x:c>
      <x:c r="H318" s="9"/>
      <x:c r="I318" s="9"/>
      <x:c r="J318" s="51" t="str">
        <x:f>IF(I318="","",VLOOKUP(E318,Courses!$A$5:$G$10,6,FALSE))</x:f>
      </x:c>
      <x:c r="K318" s="47" t="n">
        <x:f>IF(AND(H318="Paid",I318&lt;&gt;""),G318*J318,0)</x:f>
        <x:v>0</x:v>
      </x:c>
      <x:c r="L318" s="9"/>
      <x:c r="M318" s="9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9"/>
      <x:c r="B319" s="9"/>
      <x:c r="C319" s="43"/>
      <x:c r="D319" s="9"/>
      <x:c r="E319" s="9"/>
      <x:c r="F319" s="6" t="str">
        <x:f>IF(E319="","",VLOOKUP(E319,Courses!$A$5:$G$10,2,FALSE))</x:f>
      </x:c>
      <x:c r="G319" s="47" t="str">
        <x:f>IF(E319="","",VLOOKUP(E319,Courses!$A$5:$G$10,3,FALSE))</x:f>
      </x:c>
      <x:c r="H319" s="9"/>
      <x:c r="I319" s="9"/>
      <x:c r="J319" s="51" t="str">
        <x:f>IF(I319="","",VLOOKUP(E319,Courses!$A$5:$G$10,6,FALSE))</x:f>
      </x:c>
      <x:c r="K319" s="47" t="n">
        <x:f>IF(AND(H319="Paid",I319&lt;&gt;""),G319*J319,0)</x:f>
        <x:v>0</x:v>
      </x:c>
      <x:c r="L319" s="9"/>
      <x:c r="M319" s="9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9"/>
      <x:c r="B320" s="9"/>
      <x:c r="C320" s="43"/>
      <x:c r="D320" s="9"/>
      <x:c r="E320" s="9"/>
      <x:c r="F320" s="6" t="str">
        <x:f>IF(E320="","",VLOOKUP(E320,Courses!$A$5:$G$10,2,FALSE))</x:f>
      </x:c>
      <x:c r="G320" s="47" t="str">
        <x:f>IF(E320="","",VLOOKUP(E320,Courses!$A$5:$G$10,3,FALSE))</x:f>
      </x:c>
      <x:c r="H320" s="9"/>
      <x:c r="I320" s="9"/>
      <x:c r="J320" s="51" t="str">
        <x:f>IF(I320="","",VLOOKUP(E320,Courses!$A$5:$G$10,6,FALSE))</x:f>
      </x:c>
      <x:c r="K320" s="47" t="n">
        <x:f>IF(AND(H320="Paid",I320&lt;&gt;""),G320*J320,0)</x:f>
        <x:v>0</x:v>
      </x:c>
      <x:c r="L320" s="9"/>
      <x:c r="M320" s="9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9"/>
      <x:c r="B321" s="9"/>
      <x:c r="C321" s="43"/>
      <x:c r="D321" s="9"/>
      <x:c r="E321" s="9"/>
      <x:c r="F321" s="6" t="str">
        <x:f>IF(E321="","",VLOOKUP(E321,Courses!$A$5:$G$10,2,FALSE))</x:f>
      </x:c>
      <x:c r="G321" s="47" t="str">
        <x:f>IF(E321="","",VLOOKUP(E321,Courses!$A$5:$G$10,3,FALSE))</x:f>
      </x:c>
      <x:c r="H321" s="9"/>
      <x:c r="I321" s="9"/>
      <x:c r="J321" s="51" t="str">
        <x:f>IF(I321="","",VLOOKUP(E321,Courses!$A$5:$G$10,6,FALSE))</x:f>
      </x:c>
      <x:c r="K321" s="47" t="n">
        <x:f>IF(AND(H321="Paid",I321&lt;&gt;""),G321*J321,0)</x:f>
        <x:v>0</x:v>
      </x:c>
      <x:c r="L321" s="9"/>
      <x:c r="M321" s="9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9"/>
      <x:c r="B322" s="9"/>
      <x:c r="C322" s="43"/>
      <x:c r="D322" s="9"/>
      <x:c r="E322" s="9"/>
      <x:c r="F322" s="6" t="str">
        <x:f>IF(E322="","",VLOOKUP(E322,Courses!$A$5:$G$10,2,FALSE))</x:f>
      </x:c>
      <x:c r="G322" s="47" t="str">
        <x:f>IF(E322="","",VLOOKUP(E322,Courses!$A$5:$G$10,3,FALSE))</x:f>
      </x:c>
      <x:c r="H322" s="9"/>
      <x:c r="I322" s="9"/>
      <x:c r="J322" s="51" t="str">
        <x:f>IF(I322="","",VLOOKUP(E322,Courses!$A$5:$G$10,6,FALSE))</x:f>
      </x:c>
      <x:c r="K322" s="47" t="n">
        <x:f>IF(AND(H322="Paid",I322&lt;&gt;""),G322*J322,0)</x:f>
        <x:v>0</x:v>
      </x:c>
      <x:c r="L322" s="9"/>
      <x:c r="M322" s="9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9"/>
      <x:c r="B323" s="9"/>
      <x:c r="C323" s="43"/>
      <x:c r="D323" s="9"/>
      <x:c r="E323" s="9"/>
      <x:c r="F323" s="6" t="str">
        <x:f>IF(E323="","",VLOOKUP(E323,Courses!$A$5:$G$10,2,FALSE))</x:f>
      </x:c>
      <x:c r="G323" s="47" t="str">
        <x:f>IF(E323="","",VLOOKUP(E323,Courses!$A$5:$G$10,3,FALSE))</x:f>
      </x:c>
      <x:c r="H323" s="9"/>
      <x:c r="I323" s="9"/>
      <x:c r="J323" s="51" t="str">
        <x:f>IF(I323="","",VLOOKUP(E323,Courses!$A$5:$G$10,6,FALSE))</x:f>
      </x:c>
      <x:c r="K323" s="47" t="n">
        <x:f>IF(AND(H323="Paid",I323&lt;&gt;""),G323*J323,0)</x:f>
        <x:v>0</x:v>
      </x:c>
      <x:c r="L323" s="9"/>
      <x:c r="M323" s="9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9"/>
      <x:c r="B324" s="9"/>
      <x:c r="C324" s="43"/>
      <x:c r="D324" s="9"/>
      <x:c r="E324" s="9"/>
      <x:c r="F324" s="6" t="str">
        <x:f>IF(E324="","",VLOOKUP(E324,Courses!$A$5:$G$10,2,FALSE))</x:f>
      </x:c>
      <x:c r="G324" s="47" t="str">
        <x:f>IF(E324="","",VLOOKUP(E324,Courses!$A$5:$G$10,3,FALSE))</x:f>
      </x:c>
      <x:c r="H324" s="9"/>
      <x:c r="I324" s="9"/>
      <x:c r="J324" s="51" t="str">
        <x:f>IF(I324="","",VLOOKUP(E324,Courses!$A$5:$G$10,6,FALSE))</x:f>
      </x:c>
      <x:c r="K324" s="47" t="n">
        <x:f>IF(AND(H324="Paid",I324&lt;&gt;""),G324*J324,0)</x:f>
        <x:v>0</x:v>
      </x:c>
      <x:c r="L324" s="9"/>
      <x:c r="M324" s="9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9"/>
      <x:c r="B325" s="9"/>
      <x:c r="C325" s="43"/>
      <x:c r="D325" s="9"/>
      <x:c r="E325" s="9"/>
      <x:c r="F325" s="6" t="str">
        <x:f>IF(E325="","",VLOOKUP(E325,Courses!$A$5:$G$10,2,FALSE))</x:f>
      </x:c>
      <x:c r="G325" s="47" t="str">
        <x:f>IF(E325="","",VLOOKUP(E325,Courses!$A$5:$G$10,3,FALSE))</x:f>
      </x:c>
      <x:c r="H325" s="9"/>
      <x:c r="I325" s="9"/>
      <x:c r="J325" s="51" t="str">
        <x:f>IF(I325="","",VLOOKUP(E325,Courses!$A$5:$G$10,6,FALSE))</x:f>
      </x:c>
      <x:c r="K325" s="47" t="n">
        <x:f>IF(AND(H325="Paid",I325&lt;&gt;""),G325*J325,0)</x:f>
        <x:v>0</x:v>
      </x:c>
      <x:c r="L325" s="9"/>
      <x:c r="M325" s="9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9"/>
      <x:c r="B326" s="9"/>
      <x:c r="C326" s="43"/>
      <x:c r="D326" s="9"/>
      <x:c r="E326" s="9"/>
      <x:c r="F326" s="6" t="str">
        <x:f>IF(E326="","",VLOOKUP(E326,Courses!$A$5:$G$10,2,FALSE))</x:f>
      </x:c>
      <x:c r="G326" s="47" t="str">
        <x:f>IF(E326="","",VLOOKUP(E326,Courses!$A$5:$G$10,3,FALSE))</x:f>
      </x:c>
      <x:c r="H326" s="9"/>
      <x:c r="I326" s="9"/>
      <x:c r="J326" s="51" t="str">
        <x:f>IF(I326="","",VLOOKUP(E326,Courses!$A$5:$G$10,6,FALSE))</x:f>
      </x:c>
      <x:c r="K326" s="47" t="n">
        <x:f>IF(AND(H326="Paid",I326&lt;&gt;""),G326*J326,0)</x:f>
        <x:v>0</x:v>
      </x:c>
      <x:c r="L326" s="9"/>
      <x:c r="M326" s="9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9"/>
      <x:c r="B327" s="9"/>
      <x:c r="C327" s="43"/>
      <x:c r="D327" s="9"/>
      <x:c r="E327" s="9"/>
      <x:c r="F327" s="6" t="str">
        <x:f>IF(E327="","",VLOOKUP(E327,Courses!$A$5:$G$10,2,FALSE))</x:f>
      </x:c>
      <x:c r="G327" s="47" t="str">
        <x:f>IF(E327="","",VLOOKUP(E327,Courses!$A$5:$G$10,3,FALSE))</x:f>
      </x:c>
      <x:c r="H327" s="9"/>
      <x:c r="I327" s="9"/>
      <x:c r="J327" s="51" t="str">
        <x:f>IF(I327="","",VLOOKUP(E327,Courses!$A$5:$G$10,6,FALSE))</x:f>
      </x:c>
      <x:c r="K327" s="47" t="n">
        <x:f>IF(AND(H327="Paid",I327&lt;&gt;""),G327*J327,0)</x:f>
        <x:v>0</x:v>
      </x:c>
      <x:c r="L327" s="9"/>
      <x:c r="M327" s="9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9"/>
      <x:c r="B328" s="9"/>
      <x:c r="C328" s="43"/>
      <x:c r="D328" s="9"/>
      <x:c r="E328" s="9"/>
      <x:c r="F328" s="6" t="str">
        <x:f>IF(E328="","",VLOOKUP(E328,Courses!$A$5:$G$10,2,FALSE))</x:f>
      </x:c>
      <x:c r="G328" s="47" t="str">
        <x:f>IF(E328="","",VLOOKUP(E328,Courses!$A$5:$G$10,3,FALSE))</x:f>
      </x:c>
      <x:c r="H328" s="9"/>
      <x:c r="I328" s="9"/>
      <x:c r="J328" s="51" t="str">
        <x:f>IF(I328="","",VLOOKUP(E328,Courses!$A$5:$G$10,6,FALSE))</x:f>
      </x:c>
      <x:c r="K328" s="47" t="n">
        <x:f>IF(AND(H328="Paid",I328&lt;&gt;""),G328*J328,0)</x:f>
        <x:v>0</x:v>
      </x:c>
      <x:c r="L328" s="9"/>
      <x:c r="M328" s="9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9"/>
      <x:c r="B329" s="9"/>
      <x:c r="C329" s="43"/>
      <x:c r="D329" s="9"/>
      <x:c r="E329" s="9"/>
      <x:c r="F329" s="6" t="str">
        <x:f>IF(E329="","",VLOOKUP(E329,Courses!$A$5:$G$10,2,FALSE))</x:f>
      </x:c>
      <x:c r="G329" s="47" t="str">
        <x:f>IF(E329="","",VLOOKUP(E329,Courses!$A$5:$G$10,3,FALSE))</x:f>
      </x:c>
      <x:c r="H329" s="9"/>
      <x:c r="I329" s="9"/>
      <x:c r="J329" s="51" t="str">
        <x:f>IF(I329="","",VLOOKUP(E329,Courses!$A$5:$G$10,6,FALSE))</x:f>
      </x:c>
      <x:c r="K329" s="47" t="n">
        <x:f>IF(AND(H329="Paid",I329&lt;&gt;""),G329*J329,0)</x:f>
        <x:v>0</x:v>
      </x:c>
      <x:c r="L329" s="9"/>
      <x:c r="M329" s="9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9"/>
      <x:c r="B330" s="9"/>
      <x:c r="C330" s="43"/>
      <x:c r="D330" s="9"/>
      <x:c r="E330" s="9"/>
      <x:c r="F330" s="6" t="str">
        <x:f>IF(E330="","",VLOOKUP(E330,Courses!$A$5:$G$10,2,FALSE))</x:f>
      </x:c>
      <x:c r="G330" s="47" t="str">
        <x:f>IF(E330="","",VLOOKUP(E330,Courses!$A$5:$G$10,3,FALSE))</x:f>
      </x:c>
      <x:c r="H330" s="9"/>
      <x:c r="I330" s="9"/>
      <x:c r="J330" s="51" t="str">
        <x:f>IF(I330="","",VLOOKUP(E330,Courses!$A$5:$G$10,6,FALSE))</x:f>
      </x:c>
      <x:c r="K330" s="47" t="n">
        <x:f>IF(AND(H330="Paid",I330&lt;&gt;""),G330*J330,0)</x:f>
        <x:v>0</x:v>
      </x:c>
      <x:c r="L330" s="9"/>
      <x:c r="M330" s="9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9"/>
      <x:c r="B331" s="9"/>
      <x:c r="C331" s="43"/>
      <x:c r="D331" s="9"/>
      <x:c r="E331" s="9"/>
      <x:c r="F331" s="6" t="str">
        <x:f>IF(E331="","",VLOOKUP(E331,Courses!$A$5:$G$10,2,FALSE))</x:f>
      </x:c>
      <x:c r="G331" s="47" t="str">
        <x:f>IF(E331="","",VLOOKUP(E331,Courses!$A$5:$G$10,3,FALSE))</x:f>
      </x:c>
      <x:c r="H331" s="9"/>
      <x:c r="I331" s="9"/>
      <x:c r="J331" s="51" t="str">
        <x:f>IF(I331="","",VLOOKUP(E331,Courses!$A$5:$G$10,6,FALSE))</x:f>
      </x:c>
      <x:c r="K331" s="47" t="n">
        <x:f>IF(AND(H331="Paid",I331&lt;&gt;""),G331*J331,0)</x:f>
        <x:v>0</x:v>
      </x:c>
      <x:c r="L331" s="9"/>
      <x:c r="M331" s="9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9"/>
      <x:c r="B332" s="9"/>
      <x:c r="C332" s="43"/>
      <x:c r="D332" s="9"/>
      <x:c r="E332" s="9"/>
      <x:c r="F332" s="6" t="str">
        <x:f>IF(E332="","",VLOOKUP(E332,Courses!$A$5:$G$10,2,FALSE))</x:f>
      </x:c>
      <x:c r="G332" s="47" t="str">
        <x:f>IF(E332="","",VLOOKUP(E332,Courses!$A$5:$G$10,3,FALSE))</x:f>
      </x:c>
      <x:c r="H332" s="9"/>
      <x:c r="I332" s="9"/>
      <x:c r="J332" s="51" t="str">
        <x:f>IF(I332="","",VLOOKUP(E332,Courses!$A$5:$G$10,6,FALSE))</x:f>
      </x:c>
      <x:c r="K332" s="47" t="n">
        <x:f>IF(AND(H332="Paid",I332&lt;&gt;""),G332*J332,0)</x:f>
        <x:v>0</x:v>
      </x:c>
      <x:c r="L332" s="9"/>
      <x:c r="M332" s="9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9"/>
      <x:c r="B333" s="9"/>
      <x:c r="C333" s="43"/>
      <x:c r="D333" s="9"/>
      <x:c r="E333" s="9"/>
      <x:c r="F333" s="6" t="str">
        <x:f>IF(E333="","",VLOOKUP(E333,Courses!$A$5:$G$10,2,FALSE))</x:f>
      </x:c>
      <x:c r="G333" s="47" t="str">
        <x:f>IF(E333="","",VLOOKUP(E333,Courses!$A$5:$G$10,3,FALSE))</x:f>
      </x:c>
      <x:c r="H333" s="9"/>
      <x:c r="I333" s="9"/>
      <x:c r="J333" s="51" t="str">
        <x:f>IF(I333="","",VLOOKUP(E333,Courses!$A$5:$G$10,6,FALSE))</x:f>
      </x:c>
      <x:c r="K333" s="47" t="n">
        <x:f>IF(AND(H333="Paid",I333&lt;&gt;""),G333*J333,0)</x:f>
        <x:v>0</x:v>
      </x:c>
      <x:c r="L333" s="9"/>
      <x:c r="M333" s="9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9"/>
      <x:c r="B334" s="9"/>
      <x:c r="C334" s="43"/>
      <x:c r="D334" s="9"/>
      <x:c r="E334" s="9"/>
      <x:c r="F334" s="6" t="str">
        <x:f>IF(E334="","",VLOOKUP(E334,Courses!$A$5:$G$10,2,FALSE))</x:f>
      </x:c>
      <x:c r="G334" s="47" t="str">
        <x:f>IF(E334="","",VLOOKUP(E334,Courses!$A$5:$G$10,3,FALSE))</x:f>
      </x:c>
      <x:c r="H334" s="9"/>
      <x:c r="I334" s="9"/>
      <x:c r="J334" s="51" t="str">
        <x:f>IF(I334="","",VLOOKUP(E334,Courses!$A$5:$G$10,6,FALSE))</x:f>
      </x:c>
      <x:c r="K334" s="47" t="n">
        <x:f>IF(AND(H334="Paid",I334&lt;&gt;""),G334*J334,0)</x:f>
        <x:v>0</x:v>
      </x:c>
      <x:c r="L334" s="9"/>
      <x:c r="M334" s="9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9"/>
      <x:c r="B335" s="9"/>
      <x:c r="C335" s="43"/>
      <x:c r="D335" s="9"/>
      <x:c r="E335" s="9"/>
      <x:c r="F335" s="6" t="str">
        <x:f>IF(E335="","",VLOOKUP(E335,Courses!$A$5:$G$10,2,FALSE))</x:f>
      </x:c>
      <x:c r="G335" s="47" t="str">
        <x:f>IF(E335="","",VLOOKUP(E335,Courses!$A$5:$G$10,3,FALSE))</x:f>
      </x:c>
      <x:c r="H335" s="9"/>
      <x:c r="I335" s="9"/>
      <x:c r="J335" s="51" t="str">
        <x:f>IF(I335="","",VLOOKUP(E335,Courses!$A$5:$G$10,6,FALSE))</x:f>
      </x:c>
      <x:c r="K335" s="47" t="n">
        <x:f>IF(AND(H335="Paid",I335&lt;&gt;""),G335*J335,0)</x:f>
        <x:v>0</x:v>
      </x:c>
      <x:c r="L335" s="9"/>
      <x:c r="M335" s="9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9"/>
      <x:c r="B336" s="9"/>
      <x:c r="C336" s="43"/>
      <x:c r="D336" s="9"/>
      <x:c r="E336" s="9"/>
      <x:c r="F336" s="6" t="str">
        <x:f>IF(E336="","",VLOOKUP(E336,Courses!$A$5:$G$10,2,FALSE))</x:f>
      </x:c>
      <x:c r="G336" s="47" t="str">
        <x:f>IF(E336="","",VLOOKUP(E336,Courses!$A$5:$G$10,3,FALSE))</x:f>
      </x:c>
      <x:c r="H336" s="9"/>
      <x:c r="I336" s="9"/>
      <x:c r="J336" s="51" t="str">
        <x:f>IF(I336="","",VLOOKUP(E336,Courses!$A$5:$G$10,6,FALSE))</x:f>
      </x:c>
      <x:c r="K336" s="47" t="n">
        <x:f>IF(AND(H336="Paid",I336&lt;&gt;""),G336*J336,0)</x:f>
        <x:v>0</x:v>
      </x:c>
      <x:c r="L336" s="9"/>
      <x:c r="M336" s="9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9"/>
      <x:c r="B337" s="9"/>
      <x:c r="C337" s="43"/>
      <x:c r="D337" s="9"/>
      <x:c r="E337" s="9"/>
      <x:c r="F337" s="6" t="str">
        <x:f>IF(E337="","",VLOOKUP(E337,Courses!$A$5:$G$10,2,FALSE))</x:f>
      </x:c>
      <x:c r="G337" s="47" t="str">
        <x:f>IF(E337="","",VLOOKUP(E337,Courses!$A$5:$G$10,3,FALSE))</x:f>
      </x:c>
      <x:c r="H337" s="9"/>
      <x:c r="I337" s="9"/>
      <x:c r="J337" s="51" t="str">
        <x:f>IF(I337="","",VLOOKUP(E337,Courses!$A$5:$G$10,6,FALSE))</x:f>
      </x:c>
      <x:c r="K337" s="47" t="n">
        <x:f>IF(AND(H337="Paid",I337&lt;&gt;""),G337*J337,0)</x:f>
        <x:v>0</x:v>
      </x:c>
      <x:c r="L337" s="9"/>
      <x:c r="M337" s="9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9"/>
      <x:c r="B338" s="9"/>
      <x:c r="C338" s="43"/>
      <x:c r="D338" s="9"/>
      <x:c r="E338" s="9"/>
      <x:c r="F338" s="6" t="str">
        <x:f>IF(E338="","",VLOOKUP(E338,Courses!$A$5:$G$10,2,FALSE))</x:f>
      </x:c>
      <x:c r="G338" s="47" t="str">
        <x:f>IF(E338="","",VLOOKUP(E338,Courses!$A$5:$G$10,3,FALSE))</x:f>
      </x:c>
      <x:c r="H338" s="9"/>
      <x:c r="I338" s="9"/>
      <x:c r="J338" s="51" t="str">
        <x:f>IF(I338="","",VLOOKUP(E338,Courses!$A$5:$G$10,6,FALSE))</x:f>
      </x:c>
      <x:c r="K338" s="47" t="n">
        <x:f>IF(AND(H338="Paid",I338&lt;&gt;""),G338*J338,0)</x:f>
        <x:v>0</x:v>
      </x:c>
      <x:c r="L338" s="9"/>
      <x:c r="M338" s="9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9"/>
      <x:c r="B339" s="9"/>
      <x:c r="C339" s="43"/>
      <x:c r="D339" s="9"/>
      <x:c r="E339" s="9"/>
      <x:c r="F339" s="6" t="str">
        <x:f>IF(E339="","",VLOOKUP(E339,Courses!$A$5:$G$10,2,FALSE))</x:f>
      </x:c>
      <x:c r="G339" s="47" t="str">
        <x:f>IF(E339="","",VLOOKUP(E339,Courses!$A$5:$G$10,3,FALSE))</x:f>
      </x:c>
      <x:c r="H339" s="9"/>
      <x:c r="I339" s="9"/>
      <x:c r="J339" s="51" t="str">
        <x:f>IF(I339="","",VLOOKUP(E339,Courses!$A$5:$G$10,6,FALSE))</x:f>
      </x:c>
      <x:c r="K339" s="47" t="n">
        <x:f>IF(AND(H339="Paid",I339&lt;&gt;""),G339*J339,0)</x:f>
        <x:v>0</x:v>
      </x:c>
      <x:c r="L339" s="9"/>
      <x:c r="M339" s="9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9"/>
      <x:c r="B340" s="9"/>
      <x:c r="C340" s="43"/>
      <x:c r="D340" s="9"/>
      <x:c r="E340" s="9"/>
      <x:c r="F340" s="6" t="str">
        <x:f>IF(E340="","",VLOOKUP(E340,Courses!$A$5:$G$10,2,FALSE))</x:f>
      </x:c>
      <x:c r="G340" s="47" t="str">
        <x:f>IF(E340="","",VLOOKUP(E340,Courses!$A$5:$G$10,3,FALSE))</x:f>
      </x:c>
      <x:c r="H340" s="9"/>
      <x:c r="I340" s="9"/>
      <x:c r="J340" s="51" t="str">
        <x:f>IF(I340="","",VLOOKUP(E340,Courses!$A$5:$G$10,6,FALSE))</x:f>
      </x:c>
      <x:c r="K340" s="47" t="n">
        <x:f>IF(AND(H340="Paid",I340&lt;&gt;""),G340*J340,0)</x:f>
        <x:v>0</x:v>
      </x:c>
      <x:c r="L340" s="9"/>
      <x:c r="M340" s="9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9"/>
      <x:c r="B341" s="9"/>
      <x:c r="C341" s="43"/>
      <x:c r="D341" s="9"/>
      <x:c r="E341" s="9"/>
      <x:c r="F341" s="6" t="str">
        <x:f>IF(E341="","",VLOOKUP(E341,Courses!$A$5:$G$10,2,FALSE))</x:f>
      </x:c>
      <x:c r="G341" s="47" t="str">
        <x:f>IF(E341="","",VLOOKUP(E341,Courses!$A$5:$G$10,3,FALSE))</x:f>
      </x:c>
      <x:c r="H341" s="9"/>
      <x:c r="I341" s="9"/>
      <x:c r="J341" s="51" t="str">
        <x:f>IF(I341="","",VLOOKUP(E341,Courses!$A$5:$G$10,6,FALSE))</x:f>
      </x:c>
      <x:c r="K341" s="47" t="n">
        <x:f>IF(AND(H341="Paid",I341&lt;&gt;""),G341*J341,0)</x:f>
        <x:v>0</x:v>
      </x:c>
      <x:c r="L341" s="9"/>
      <x:c r="M341" s="9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9"/>
      <x:c r="B342" s="9"/>
      <x:c r="C342" s="43"/>
      <x:c r="D342" s="9"/>
      <x:c r="E342" s="9"/>
      <x:c r="F342" s="6" t="str">
        <x:f>IF(E342="","",VLOOKUP(E342,Courses!$A$5:$G$10,2,FALSE))</x:f>
      </x:c>
      <x:c r="G342" s="47" t="str">
        <x:f>IF(E342="","",VLOOKUP(E342,Courses!$A$5:$G$10,3,FALSE))</x:f>
      </x:c>
      <x:c r="H342" s="9"/>
      <x:c r="I342" s="9"/>
      <x:c r="J342" s="51" t="str">
        <x:f>IF(I342="","",VLOOKUP(E342,Courses!$A$5:$G$10,6,FALSE))</x:f>
      </x:c>
      <x:c r="K342" s="47" t="n">
        <x:f>IF(AND(H342="Paid",I342&lt;&gt;""),G342*J342,0)</x:f>
        <x:v>0</x:v>
      </x:c>
      <x:c r="L342" s="9"/>
      <x:c r="M342" s="9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9"/>
      <x:c r="B343" s="9"/>
      <x:c r="C343" s="43"/>
      <x:c r="D343" s="9"/>
      <x:c r="E343" s="9"/>
      <x:c r="F343" s="6" t="str">
        <x:f>IF(E343="","",VLOOKUP(E343,Courses!$A$5:$G$10,2,FALSE))</x:f>
      </x:c>
      <x:c r="G343" s="47" t="str">
        <x:f>IF(E343="","",VLOOKUP(E343,Courses!$A$5:$G$10,3,FALSE))</x:f>
      </x:c>
      <x:c r="H343" s="9"/>
      <x:c r="I343" s="9"/>
      <x:c r="J343" s="51" t="str">
        <x:f>IF(I343="","",VLOOKUP(E343,Courses!$A$5:$G$10,6,FALSE))</x:f>
      </x:c>
      <x:c r="K343" s="47" t="n">
        <x:f>IF(AND(H343="Paid",I343&lt;&gt;""),G343*J343,0)</x:f>
        <x:v>0</x:v>
      </x:c>
      <x:c r="L343" s="9"/>
      <x:c r="M343" s="9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9"/>
      <x:c r="B344" s="9"/>
      <x:c r="C344" s="43"/>
      <x:c r="D344" s="9"/>
      <x:c r="E344" s="9"/>
      <x:c r="F344" s="6" t="str">
        <x:f>IF(E344="","",VLOOKUP(E344,Courses!$A$5:$G$10,2,FALSE))</x:f>
      </x:c>
      <x:c r="G344" s="47" t="str">
        <x:f>IF(E344="","",VLOOKUP(E344,Courses!$A$5:$G$10,3,FALSE))</x:f>
      </x:c>
      <x:c r="H344" s="9"/>
      <x:c r="I344" s="9"/>
      <x:c r="J344" s="51" t="str">
        <x:f>IF(I344="","",VLOOKUP(E344,Courses!$A$5:$G$10,6,FALSE))</x:f>
      </x:c>
      <x:c r="K344" s="47" t="n">
        <x:f>IF(AND(H344="Paid",I344&lt;&gt;""),G344*J344,0)</x:f>
        <x:v>0</x:v>
      </x:c>
      <x:c r="L344" s="9"/>
      <x:c r="M344" s="9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9"/>
      <x:c r="B345" s="9"/>
      <x:c r="C345" s="43"/>
      <x:c r="D345" s="9"/>
      <x:c r="E345" s="9"/>
      <x:c r="F345" s="6" t="str">
        <x:f>IF(E345="","",VLOOKUP(E345,Courses!$A$5:$G$10,2,FALSE))</x:f>
      </x:c>
      <x:c r="G345" s="47" t="str">
        <x:f>IF(E345="","",VLOOKUP(E345,Courses!$A$5:$G$10,3,FALSE))</x:f>
      </x:c>
      <x:c r="H345" s="9"/>
      <x:c r="I345" s="9"/>
      <x:c r="J345" s="51" t="str">
        <x:f>IF(I345="","",VLOOKUP(E345,Courses!$A$5:$G$10,6,FALSE))</x:f>
      </x:c>
      <x:c r="K345" s="47" t="n">
        <x:f>IF(AND(H345="Paid",I345&lt;&gt;""),G345*J345,0)</x:f>
        <x:v>0</x:v>
      </x:c>
      <x:c r="L345" s="9"/>
      <x:c r="M345" s="9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9"/>
      <x:c r="B346" s="9"/>
      <x:c r="C346" s="43"/>
      <x:c r="D346" s="9"/>
      <x:c r="E346" s="9"/>
      <x:c r="F346" s="6" t="str">
        <x:f>IF(E346="","",VLOOKUP(E346,Courses!$A$5:$G$10,2,FALSE))</x:f>
      </x:c>
      <x:c r="G346" s="47" t="str">
        <x:f>IF(E346="","",VLOOKUP(E346,Courses!$A$5:$G$10,3,FALSE))</x:f>
      </x:c>
      <x:c r="H346" s="9"/>
      <x:c r="I346" s="9"/>
      <x:c r="J346" s="51" t="str">
        <x:f>IF(I346="","",VLOOKUP(E346,Courses!$A$5:$G$10,6,FALSE))</x:f>
      </x:c>
      <x:c r="K346" s="47" t="n">
        <x:f>IF(AND(H346="Paid",I346&lt;&gt;""),G346*J346,0)</x:f>
        <x:v>0</x:v>
      </x:c>
      <x:c r="L346" s="9"/>
      <x:c r="M346" s="9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9"/>
      <x:c r="B347" s="9"/>
      <x:c r="C347" s="43"/>
      <x:c r="D347" s="9"/>
      <x:c r="E347" s="9"/>
      <x:c r="F347" s="6" t="str">
        <x:f>IF(E347="","",VLOOKUP(E347,Courses!$A$5:$G$10,2,FALSE))</x:f>
      </x:c>
      <x:c r="G347" s="47" t="str">
        <x:f>IF(E347="","",VLOOKUP(E347,Courses!$A$5:$G$10,3,FALSE))</x:f>
      </x:c>
      <x:c r="H347" s="9"/>
      <x:c r="I347" s="9"/>
      <x:c r="J347" s="51" t="str">
        <x:f>IF(I347="","",VLOOKUP(E347,Courses!$A$5:$G$10,6,FALSE))</x:f>
      </x:c>
      <x:c r="K347" s="47" t="n">
        <x:f>IF(AND(H347="Paid",I347&lt;&gt;""),G347*J347,0)</x:f>
        <x:v>0</x:v>
      </x:c>
      <x:c r="L347" s="9"/>
      <x:c r="M347" s="9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9"/>
      <x:c r="B348" s="9"/>
      <x:c r="C348" s="43"/>
      <x:c r="D348" s="9"/>
      <x:c r="E348" s="9"/>
      <x:c r="F348" s="6" t="str">
        <x:f>IF(E348="","",VLOOKUP(E348,Courses!$A$5:$G$10,2,FALSE))</x:f>
      </x:c>
      <x:c r="G348" s="47" t="str">
        <x:f>IF(E348="","",VLOOKUP(E348,Courses!$A$5:$G$10,3,FALSE))</x:f>
      </x:c>
      <x:c r="H348" s="9"/>
      <x:c r="I348" s="9"/>
      <x:c r="J348" s="51" t="str">
        <x:f>IF(I348="","",VLOOKUP(E348,Courses!$A$5:$G$10,6,FALSE))</x:f>
      </x:c>
      <x:c r="K348" s="47" t="n">
        <x:f>IF(AND(H348="Paid",I348&lt;&gt;""),G348*J348,0)</x:f>
        <x:v>0</x:v>
      </x:c>
      <x:c r="L348" s="9"/>
      <x:c r="M348" s="9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9"/>
      <x:c r="B349" s="9"/>
      <x:c r="C349" s="43"/>
      <x:c r="D349" s="9"/>
      <x:c r="E349" s="9"/>
      <x:c r="F349" s="6" t="str">
        <x:f>IF(E349="","",VLOOKUP(E349,Courses!$A$5:$G$10,2,FALSE))</x:f>
      </x:c>
      <x:c r="G349" s="47" t="str">
        <x:f>IF(E349="","",VLOOKUP(E349,Courses!$A$5:$G$10,3,FALSE))</x:f>
      </x:c>
      <x:c r="H349" s="9"/>
      <x:c r="I349" s="9"/>
      <x:c r="J349" s="51" t="str">
        <x:f>IF(I349="","",VLOOKUP(E349,Courses!$A$5:$G$10,6,FALSE))</x:f>
      </x:c>
      <x:c r="K349" s="47" t="n">
        <x:f>IF(AND(H349="Paid",I349&lt;&gt;""),G349*J349,0)</x:f>
        <x:v>0</x:v>
      </x:c>
      <x:c r="L349" s="9"/>
      <x:c r="M349" s="9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9"/>
      <x:c r="B350" s="9"/>
      <x:c r="C350" s="43"/>
      <x:c r="D350" s="9"/>
      <x:c r="E350" s="9"/>
      <x:c r="F350" s="6" t="str">
        <x:f>IF(E350="","",VLOOKUP(E350,Courses!$A$5:$G$10,2,FALSE))</x:f>
      </x:c>
      <x:c r="G350" s="47" t="str">
        <x:f>IF(E350="","",VLOOKUP(E350,Courses!$A$5:$G$10,3,FALSE))</x:f>
      </x:c>
      <x:c r="H350" s="9"/>
      <x:c r="I350" s="9"/>
      <x:c r="J350" s="51" t="str">
        <x:f>IF(I350="","",VLOOKUP(E350,Courses!$A$5:$G$10,6,FALSE))</x:f>
      </x:c>
      <x:c r="K350" s="47" t="n">
        <x:f>IF(AND(H350="Paid",I350&lt;&gt;""),G350*J350,0)</x:f>
        <x:v>0</x:v>
      </x:c>
      <x:c r="L350" s="9"/>
      <x:c r="M350" s="9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9"/>
      <x:c r="B351" s="9"/>
      <x:c r="C351" s="43"/>
      <x:c r="D351" s="9"/>
      <x:c r="E351" s="9"/>
      <x:c r="F351" s="6" t="str">
        <x:f>IF(E351="","",VLOOKUP(E351,Courses!$A$5:$G$10,2,FALSE))</x:f>
      </x:c>
      <x:c r="G351" s="47" t="str">
        <x:f>IF(E351="","",VLOOKUP(E351,Courses!$A$5:$G$10,3,FALSE))</x:f>
      </x:c>
      <x:c r="H351" s="9"/>
      <x:c r="I351" s="9"/>
      <x:c r="J351" s="51" t="str">
        <x:f>IF(I351="","",VLOOKUP(E351,Courses!$A$5:$G$10,6,FALSE))</x:f>
      </x:c>
      <x:c r="K351" s="47" t="n">
        <x:f>IF(AND(H351="Paid",I351&lt;&gt;""),G351*J351,0)</x:f>
        <x:v>0</x:v>
      </x:c>
      <x:c r="L351" s="9"/>
      <x:c r="M351" s="9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9"/>
      <x:c r="B352" s="9"/>
      <x:c r="C352" s="43"/>
      <x:c r="D352" s="9"/>
      <x:c r="E352" s="9"/>
      <x:c r="F352" s="6" t="str">
        <x:f>IF(E352="","",VLOOKUP(E352,Courses!$A$5:$G$10,2,FALSE))</x:f>
      </x:c>
      <x:c r="G352" s="47" t="str">
        <x:f>IF(E352="","",VLOOKUP(E352,Courses!$A$5:$G$10,3,FALSE))</x:f>
      </x:c>
      <x:c r="H352" s="9"/>
      <x:c r="I352" s="9"/>
      <x:c r="J352" s="51" t="str">
        <x:f>IF(I352="","",VLOOKUP(E352,Courses!$A$5:$G$10,6,FALSE))</x:f>
      </x:c>
      <x:c r="K352" s="47" t="n">
        <x:f>IF(AND(H352="Paid",I352&lt;&gt;""),G352*J352,0)</x:f>
        <x:v>0</x:v>
      </x:c>
      <x:c r="L352" s="9"/>
      <x:c r="M352" s="9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9"/>
      <x:c r="B353" s="9"/>
      <x:c r="C353" s="43"/>
      <x:c r="D353" s="9"/>
      <x:c r="E353" s="9"/>
      <x:c r="F353" s="6" t="str">
        <x:f>IF(E353="","",VLOOKUP(E353,Courses!$A$5:$G$10,2,FALSE))</x:f>
      </x:c>
      <x:c r="G353" s="47" t="str">
        <x:f>IF(E353="","",VLOOKUP(E353,Courses!$A$5:$G$10,3,FALSE))</x:f>
      </x:c>
      <x:c r="H353" s="9"/>
      <x:c r="I353" s="9"/>
      <x:c r="J353" s="51" t="str">
        <x:f>IF(I353="","",VLOOKUP(E353,Courses!$A$5:$G$10,6,FALSE))</x:f>
      </x:c>
      <x:c r="K353" s="47" t="n">
        <x:f>IF(AND(H353="Paid",I353&lt;&gt;""),G353*J353,0)</x:f>
        <x:v>0</x:v>
      </x:c>
      <x:c r="L353" s="9"/>
      <x:c r="M353" s="9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9"/>
      <x:c r="B354" s="9"/>
      <x:c r="C354" s="43"/>
      <x:c r="D354" s="9"/>
      <x:c r="E354" s="9"/>
      <x:c r="F354" s="6" t="str">
        <x:f>IF(E354="","",VLOOKUP(E354,Courses!$A$5:$G$10,2,FALSE))</x:f>
      </x:c>
      <x:c r="G354" s="47" t="str">
        <x:f>IF(E354="","",VLOOKUP(E354,Courses!$A$5:$G$10,3,FALSE))</x:f>
      </x:c>
      <x:c r="H354" s="9"/>
      <x:c r="I354" s="9"/>
      <x:c r="J354" s="51" t="str">
        <x:f>IF(I354="","",VLOOKUP(E354,Courses!$A$5:$G$10,6,FALSE))</x:f>
      </x:c>
      <x:c r="K354" s="47" t="n">
        <x:f>IF(AND(H354="Paid",I354&lt;&gt;""),G354*J354,0)</x:f>
        <x:v>0</x:v>
      </x:c>
      <x:c r="L354" s="9"/>
      <x:c r="M354" s="9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9"/>
      <x:c r="B355" s="9"/>
      <x:c r="C355" s="43"/>
      <x:c r="D355" s="9"/>
      <x:c r="E355" s="9"/>
      <x:c r="F355" s="6" t="str">
        <x:f>IF(E355="","",VLOOKUP(E355,Courses!$A$5:$G$10,2,FALSE))</x:f>
      </x:c>
      <x:c r="G355" s="47" t="str">
        <x:f>IF(E355="","",VLOOKUP(E355,Courses!$A$5:$G$10,3,FALSE))</x:f>
      </x:c>
      <x:c r="H355" s="9"/>
      <x:c r="I355" s="9"/>
      <x:c r="J355" s="51" t="str">
        <x:f>IF(I355="","",VLOOKUP(E355,Courses!$A$5:$G$10,6,FALSE))</x:f>
      </x:c>
      <x:c r="K355" s="47" t="n">
        <x:f>IF(AND(H355="Paid",I355&lt;&gt;""),G355*J355,0)</x:f>
        <x:v>0</x:v>
      </x:c>
      <x:c r="L355" s="9"/>
      <x:c r="M355" s="9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9"/>
      <x:c r="B356" s="9"/>
      <x:c r="C356" s="43"/>
      <x:c r="D356" s="9"/>
      <x:c r="E356" s="9"/>
      <x:c r="F356" s="6" t="str">
        <x:f>IF(E356="","",VLOOKUP(E356,Courses!$A$5:$G$10,2,FALSE))</x:f>
      </x:c>
      <x:c r="G356" s="47" t="str">
        <x:f>IF(E356="","",VLOOKUP(E356,Courses!$A$5:$G$10,3,FALSE))</x:f>
      </x:c>
      <x:c r="H356" s="9"/>
      <x:c r="I356" s="9"/>
      <x:c r="J356" s="51" t="str">
        <x:f>IF(I356="","",VLOOKUP(E356,Courses!$A$5:$G$10,6,FALSE))</x:f>
      </x:c>
      <x:c r="K356" s="47" t="n">
        <x:f>IF(AND(H356="Paid",I356&lt;&gt;""),G356*J356,0)</x:f>
        <x:v>0</x:v>
      </x:c>
      <x:c r="L356" s="9"/>
      <x:c r="M356" s="9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9"/>
      <x:c r="B357" s="9"/>
      <x:c r="C357" s="43"/>
      <x:c r="D357" s="9"/>
      <x:c r="E357" s="9"/>
      <x:c r="F357" s="6" t="str">
        <x:f>IF(E357="","",VLOOKUP(E357,Courses!$A$5:$G$10,2,FALSE))</x:f>
      </x:c>
      <x:c r="G357" s="47" t="str">
        <x:f>IF(E357="","",VLOOKUP(E357,Courses!$A$5:$G$10,3,FALSE))</x:f>
      </x:c>
      <x:c r="H357" s="9"/>
      <x:c r="I357" s="9"/>
      <x:c r="J357" s="51" t="str">
        <x:f>IF(I357="","",VLOOKUP(E357,Courses!$A$5:$G$10,6,FALSE))</x:f>
      </x:c>
      <x:c r="K357" s="47" t="n">
        <x:f>IF(AND(H357="Paid",I357&lt;&gt;""),G357*J357,0)</x:f>
        <x:v>0</x:v>
      </x:c>
      <x:c r="L357" s="9"/>
      <x:c r="M357" s="9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9"/>
      <x:c r="B358" s="9"/>
      <x:c r="C358" s="43"/>
      <x:c r="D358" s="9"/>
      <x:c r="E358" s="9"/>
      <x:c r="F358" s="6" t="str">
        <x:f>IF(E358="","",VLOOKUP(E358,Courses!$A$5:$G$10,2,FALSE))</x:f>
      </x:c>
      <x:c r="G358" s="47" t="str">
        <x:f>IF(E358="","",VLOOKUP(E358,Courses!$A$5:$G$10,3,FALSE))</x:f>
      </x:c>
      <x:c r="H358" s="9"/>
      <x:c r="I358" s="9"/>
      <x:c r="J358" s="51" t="str">
        <x:f>IF(I358="","",VLOOKUP(E358,Courses!$A$5:$G$10,6,FALSE))</x:f>
      </x:c>
      <x:c r="K358" s="47" t="n">
        <x:f>IF(AND(H358="Paid",I358&lt;&gt;""),G358*J358,0)</x:f>
        <x:v>0</x:v>
      </x:c>
      <x:c r="L358" s="9"/>
      <x:c r="M358" s="9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9"/>
      <x:c r="B359" s="9"/>
      <x:c r="C359" s="43"/>
      <x:c r="D359" s="9"/>
      <x:c r="E359" s="9"/>
      <x:c r="F359" s="6" t="str">
        <x:f>IF(E359="","",VLOOKUP(E359,Courses!$A$5:$G$10,2,FALSE))</x:f>
      </x:c>
      <x:c r="G359" s="47" t="str">
        <x:f>IF(E359="","",VLOOKUP(E359,Courses!$A$5:$G$10,3,FALSE))</x:f>
      </x:c>
      <x:c r="H359" s="9"/>
      <x:c r="I359" s="9"/>
      <x:c r="J359" s="51" t="str">
        <x:f>IF(I359="","",VLOOKUP(E359,Courses!$A$5:$G$10,6,FALSE))</x:f>
      </x:c>
      <x:c r="K359" s="47" t="n">
        <x:f>IF(AND(H359="Paid",I359&lt;&gt;""),G359*J359,0)</x:f>
        <x:v>0</x:v>
      </x:c>
      <x:c r="L359" s="9"/>
      <x:c r="M359" s="9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9"/>
      <x:c r="B360" s="9"/>
      <x:c r="C360" s="43"/>
      <x:c r="D360" s="9"/>
      <x:c r="E360" s="9"/>
      <x:c r="F360" s="6" t="str">
        <x:f>IF(E360="","",VLOOKUP(E360,Courses!$A$5:$G$10,2,FALSE))</x:f>
      </x:c>
      <x:c r="G360" s="47" t="str">
        <x:f>IF(E360="","",VLOOKUP(E360,Courses!$A$5:$G$10,3,FALSE))</x:f>
      </x:c>
      <x:c r="H360" s="9"/>
      <x:c r="I360" s="9"/>
      <x:c r="J360" s="51" t="str">
        <x:f>IF(I360="","",VLOOKUP(E360,Courses!$A$5:$G$10,6,FALSE))</x:f>
      </x:c>
      <x:c r="K360" s="47" t="n">
        <x:f>IF(AND(H360="Paid",I360&lt;&gt;""),G360*J360,0)</x:f>
        <x:v>0</x:v>
      </x:c>
      <x:c r="L360" s="9"/>
      <x:c r="M360" s="9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9"/>
      <x:c r="B361" s="9"/>
      <x:c r="C361" s="43"/>
      <x:c r="D361" s="9"/>
      <x:c r="E361" s="9"/>
      <x:c r="F361" s="6" t="str">
        <x:f>IF(E361="","",VLOOKUP(E361,Courses!$A$5:$G$10,2,FALSE))</x:f>
      </x:c>
      <x:c r="G361" s="47" t="str">
        <x:f>IF(E361="","",VLOOKUP(E361,Courses!$A$5:$G$10,3,FALSE))</x:f>
      </x:c>
      <x:c r="H361" s="9"/>
      <x:c r="I361" s="9"/>
      <x:c r="J361" s="51" t="str">
        <x:f>IF(I361="","",VLOOKUP(E361,Courses!$A$5:$G$10,6,FALSE))</x:f>
      </x:c>
      <x:c r="K361" s="47" t="n">
        <x:f>IF(AND(H361="Paid",I361&lt;&gt;""),G361*J361,0)</x:f>
        <x:v>0</x:v>
      </x:c>
      <x:c r="L361" s="9"/>
      <x:c r="M361" s="9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9"/>
      <x:c r="B362" s="9"/>
      <x:c r="C362" s="43"/>
      <x:c r="D362" s="9"/>
      <x:c r="E362" s="9"/>
      <x:c r="F362" s="6" t="str">
        <x:f>IF(E362="","",VLOOKUP(E362,Courses!$A$5:$G$10,2,FALSE))</x:f>
      </x:c>
      <x:c r="G362" s="47" t="str">
        <x:f>IF(E362="","",VLOOKUP(E362,Courses!$A$5:$G$10,3,FALSE))</x:f>
      </x:c>
      <x:c r="H362" s="9"/>
      <x:c r="I362" s="9"/>
      <x:c r="J362" s="51" t="str">
        <x:f>IF(I362="","",VLOOKUP(E362,Courses!$A$5:$G$10,6,FALSE))</x:f>
      </x:c>
      <x:c r="K362" s="47" t="n">
        <x:f>IF(AND(H362="Paid",I362&lt;&gt;""),G362*J362,0)</x:f>
        <x:v>0</x:v>
      </x:c>
      <x:c r="L362" s="9"/>
      <x:c r="M362" s="9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9"/>
      <x:c r="B363" s="9"/>
      <x:c r="C363" s="43"/>
      <x:c r="D363" s="9"/>
      <x:c r="E363" s="9"/>
      <x:c r="F363" s="6" t="str">
        <x:f>IF(E363="","",VLOOKUP(E363,Courses!$A$5:$G$10,2,FALSE))</x:f>
      </x:c>
      <x:c r="G363" s="47" t="str">
        <x:f>IF(E363="","",VLOOKUP(E363,Courses!$A$5:$G$10,3,FALSE))</x:f>
      </x:c>
      <x:c r="H363" s="9"/>
      <x:c r="I363" s="9"/>
      <x:c r="J363" s="51" t="str">
        <x:f>IF(I363="","",VLOOKUP(E363,Courses!$A$5:$G$10,6,FALSE))</x:f>
      </x:c>
      <x:c r="K363" s="47" t="n">
        <x:f>IF(AND(H363="Paid",I363&lt;&gt;""),G363*J363,0)</x:f>
        <x:v>0</x:v>
      </x:c>
      <x:c r="L363" s="9"/>
      <x:c r="M363" s="9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9"/>
      <x:c r="B364" s="9"/>
      <x:c r="C364" s="43"/>
      <x:c r="D364" s="9"/>
      <x:c r="E364" s="9"/>
      <x:c r="F364" s="6" t="str">
        <x:f>IF(E364="","",VLOOKUP(E364,Courses!$A$5:$G$10,2,FALSE))</x:f>
      </x:c>
      <x:c r="G364" s="47" t="str">
        <x:f>IF(E364="","",VLOOKUP(E364,Courses!$A$5:$G$10,3,FALSE))</x:f>
      </x:c>
      <x:c r="H364" s="9"/>
      <x:c r="I364" s="9"/>
      <x:c r="J364" s="51" t="str">
        <x:f>IF(I364="","",VLOOKUP(E364,Courses!$A$5:$G$10,6,FALSE))</x:f>
      </x:c>
      <x:c r="K364" s="47" t="n">
        <x:f>IF(AND(H364="Paid",I364&lt;&gt;""),G364*J364,0)</x:f>
        <x:v>0</x:v>
      </x:c>
      <x:c r="L364" s="9"/>
      <x:c r="M364" s="9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9"/>
      <x:c r="B365" s="9"/>
      <x:c r="C365" s="43"/>
      <x:c r="D365" s="9"/>
      <x:c r="E365" s="9"/>
      <x:c r="F365" s="6" t="str">
        <x:f>IF(E365="","",VLOOKUP(E365,Courses!$A$5:$G$10,2,FALSE))</x:f>
      </x:c>
      <x:c r="G365" s="47" t="str">
        <x:f>IF(E365="","",VLOOKUP(E365,Courses!$A$5:$G$10,3,FALSE))</x:f>
      </x:c>
      <x:c r="H365" s="9"/>
      <x:c r="I365" s="9"/>
      <x:c r="J365" s="51" t="str">
        <x:f>IF(I365="","",VLOOKUP(E365,Courses!$A$5:$G$10,6,FALSE))</x:f>
      </x:c>
      <x:c r="K365" s="47" t="n">
        <x:f>IF(AND(H365="Paid",I365&lt;&gt;""),G365*J365,0)</x:f>
        <x:v>0</x:v>
      </x:c>
      <x:c r="L365" s="9"/>
      <x:c r="M365" s="9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9"/>
      <x:c r="B366" s="9"/>
      <x:c r="C366" s="43"/>
      <x:c r="D366" s="9"/>
      <x:c r="E366" s="9"/>
      <x:c r="F366" s="6" t="str">
        <x:f>IF(E366="","",VLOOKUP(E366,Courses!$A$5:$G$10,2,FALSE))</x:f>
      </x:c>
      <x:c r="G366" s="47" t="str">
        <x:f>IF(E366="","",VLOOKUP(E366,Courses!$A$5:$G$10,3,FALSE))</x:f>
      </x:c>
      <x:c r="H366" s="9"/>
      <x:c r="I366" s="9"/>
      <x:c r="J366" s="51" t="str">
        <x:f>IF(I366="","",VLOOKUP(E366,Courses!$A$5:$G$10,6,FALSE))</x:f>
      </x:c>
      <x:c r="K366" s="47" t="n">
        <x:f>IF(AND(H366="Paid",I366&lt;&gt;""),G366*J366,0)</x:f>
        <x:v>0</x:v>
      </x:c>
      <x:c r="L366" s="9"/>
      <x:c r="M366" s="9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9"/>
      <x:c r="B367" s="9"/>
      <x:c r="C367" s="43"/>
      <x:c r="D367" s="9"/>
      <x:c r="E367" s="9"/>
      <x:c r="F367" s="6" t="str">
        <x:f>IF(E367="","",VLOOKUP(E367,Courses!$A$5:$G$10,2,FALSE))</x:f>
      </x:c>
      <x:c r="G367" s="47" t="str">
        <x:f>IF(E367="","",VLOOKUP(E367,Courses!$A$5:$G$10,3,FALSE))</x:f>
      </x:c>
      <x:c r="H367" s="9"/>
      <x:c r="I367" s="9"/>
      <x:c r="J367" s="51" t="str">
        <x:f>IF(I367="","",VLOOKUP(E367,Courses!$A$5:$G$10,6,FALSE))</x:f>
      </x:c>
      <x:c r="K367" s="47" t="n">
        <x:f>IF(AND(H367="Paid",I367&lt;&gt;""),G367*J367,0)</x:f>
        <x:v>0</x:v>
      </x:c>
      <x:c r="L367" s="9"/>
      <x:c r="M367" s="9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9"/>
      <x:c r="B368" s="9"/>
      <x:c r="C368" s="43"/>
      <x:c r="D368" s="9"/>
      <x:c r="E368" s="9"/>
      <x:c r="F368" s="6" t="str">
        <x:f>IF(E368="","",VLOOKUP(E368,Courses!$A$5:$G$10,2,FALSE))</x:f>
      </x:c>
      <x:c r="G368" s="47" t="str">
        <x:f>IF(E368="","",VLOOKUP(E368,Courses!$A$5:$G$10,3,FALSE))</x:f>
      </x:c>
      <x:c r="H368" s="9"/>
      <x:c r="I368" s="9"/>
      <x:c r="J368" s="51" t="str">
        <x:f>IF(I368="","",VLOOKUP(E368,Courses!$A$5:$G$10,6,FALSE))</x:f>
      </x:c>
      <x:c r="K368" s="47" t="n">
        <x:f>IF(AND(H368="Paid",I368&lt;&gt;""),G368*J368,0)</x:f>
        <x:v>0</x:v>
      </x:c>
      <x:c r="L368" s="9"/>
      <x:c r="M368" s="9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9"/>
      <x:c r="B369" s="9"/>
      <x:c r="C369" s="43"/>
      <x:c r="D369" s="9"/>
      <x:c r="E369" s="9"/>
      <x:c r="F369" s="6" t="str">
        <x:f>IF(E369="","",VLOOKUP(E369,Courses!$A$5:$G$10,2,FALSE))</x:f>
      </x:c>
      <x:c r="G369" s="47" t="str">
        <x:f>IF(E369="","",VLOOKUP(E369,Courses!$A$5:$G$10,3,FALSE))</x:f>
      </x:c>
      <x:c r="H369" s="9"/>
      <x:c r="I369" s="9"/>
      <x:c r="J369" s="51" t="str">
        <x:f>IF(I369="","",VLOOKUP(E369,Courses!$A$5:$G$10,6,FALSE))</x:f>
      </x:c>
      <x:c r="K369" s="47" t="n">
        <x:f>IF(AND(H369="Paid",I369&lt;&gt;""),G369*J369,0)</x:f>
        <x:v>0</x:v>
      </x:c>
      <x:c r="L369" s="9"/>
      <x:c r="M369" s="9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9"/>
      <x:c r="B370" s="9"/>
      <x:c r="C370" s="43"/>
      <x:c r="D370" s="9"/>
      <x:c r="E370" s="9"/>
      <x:c r="F370" s="6" t="str">
        <x:f>IF(E370="","",VLOOKUP(E370,Courses!$A$5:$G$10,2,FALSE))</x:f>
      </x:c>
      <x:c r="G370" s="47" t="str">
        <x:f>IF(E370="","",VLOOKUP(E370,Courses!$A$5:$G$10,3,FALSE))</x:f>
      </x:c>
      <x:c r="H370" s="9"/>
      <x:c r="I370" s="9"/>
      <x:c r="J370" s="51" t="str">
        <x:f>IF(I370="","",VLOOKUP(E370,Courses!$A$5:$G$10,6,FALSE))</x:f>
      </x:c>
      <x:c r="K370" s="47" t="n">
        <x:f>IF(AND(H370="Paid",I370&lt;&gt;""),G370*J370,0)</x:f>
        <x:v>0</x:v>
      </x:c>
      <x:c r="L370" s="9"/>
      <x:c r="M370" s="9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9"/>
      <x:c r="B371" s="9"/>
      <x:c r="C371" s="43"/>
      <x:c r="D371" s="9"/>
      <x:c r="E371" s="9"/>
      <x:c r="F371" s="6" t="str">
        <x:f>IF(E371="","",VLOOKUP(E371,Courses!$A$5:$G$10,2,FALSE))</x:f>
      </x:c>
      <x:c r="G371" s="47" t="str">
        <x:f>IF(E371="","",VLOOKUP(E371,Courses!$A$5:$G$10,3,FALSE))</x:f>
      </x:c>
      <x:c r="H371" s="9"/>
      <x:c r="I371" s="9"/>
      <x:c r="J371" s="51" t="str">
        <x:f>IF(I371="","",VLOOKUP(E371,Courses!$A$5:$G$10,6,FALSE))</x:f>
      </x:c>
      <x:c r="K371" s="47" t="n">
        <x:f>IF(AND(H371="Paid",I371&lt;&gt;""),G371*J371,0)</x:f>
        <x:v>0</x:v>
      </x:c>
      <x:c r="L371" s="9"/>
      <x:c r="M371" s="9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9"/>
      <x:c r="B372" s="9"/>
      <x:c r="C372" s="43"/>
      <x:c r="D372" s="9"/>
      <x:c r="E372" s="9"/>
      <x:c r="F372" s="6" t="str">
        <x:f>IF(E372="","",VLOOKUP(E372,Courses!$A$5:$G$10,2,FALSE))</x:f>
      </x:c>
      <x:c r="G372" s="47" t="str">
        <x:f>IF(E372="","",VLOOKUP(E372,Courses!$A$5:$G$10,3,FALSE))</x:f>
      </x:c>
      <x:c r="H372" s="9"/>
      <x:c r="I372" s="9"/>
      <x:c r="J372" s="51" t="str">
        <x:f>IF(I372="","",VLOOKUP(E372,Courses!$A$5:$G$10,6,FALSE))</x:f>
      </x:c>
      <x:c r="K372" s="47" t="n">
        <x:f>IF(AND(H372="Paid",I372&lt;&gt;""),G372*J372,0)</x:f>
        <x:v>0</x:v>
      </x:c>
      <x:c r="L372" s="9"/>
      <x:c r="M372" s="9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9"/>
      <x:c r="B373" s="9"/>
      <x:c r="C373" s="43"/>
      <x:c r="D373" s="9"/>
      <x:c r="E373" s="9"/>
      <x:c r="F373" s="6" t="str">
        <x:f>IF(E373="","",VLOOKUP(E373,Courses!$A$5:$G$10,2,FALSE))</x:f>
      </x:c>
      <x:c r="G373" s="47" t="str">
        <x:f>IF(E373="","",VLOOKUP(E373,Courses!$A$5:$G$10,3,FALSE))</x:f>
      </x:c>
      <x:c r="H373" s="9"/>
      <x:c r="I373" s="9"/>
      <x:c r="J373" s="51" t="str">
        <x:f>IF(I373="","",VLOOKUP(E373,Courses!$A$5:$G$10,6,FALSE))</x:f>
      </x:c>
      <x:c r="K373" s="47" t="n">
        <x:f>IF(AND(H373="Paid",I373&lt;&gt;""),G373*J373,0)</x:f>
        <x:v>0</x:v>
      </x:c>
      <x:c r="L373" s="9"/>
      <x:c r="M373" s="9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9"/>
      <x:c r="B374" s="9"/>
      <x:c r="C374" s="43"/>
      <x:c r="D374" s="9"/>
      <x:c r="E374" s="9"/>
      <x:c r="F374" s="6" t="str">
        <x:f>IF(E374="","",VLOOKUP(E374,Courses!$A$5:$G$10,2,FALSE))</x:f>
      </x:c>
      <x:c r="G374" s="47" t="str">
        <x:f>IF(E374="","",VLOOKUP(E374,Courses!$A$5:$G$10,3,FALSE))</x:f>
      </x:c>
      <x:c r="H374" s="9"/>
      <x:c r="I374" s="9"/>
      <x:c r="J374" s="51" t="str">
        <x:f>IF(I374="","",VLOOKUP(E374,Courses!$A$5:$G$10,6,FALSE))</x:f>
      </x:c>
      <x:c r="K374" s="47" t="n">
        <x:f>IF(AND(H374="Paid",I374&lt;&gt;""),G374*J374,0)</x:f>
        <x:v>0</x:v>
      </x:c>
      <x:c r="L374" s="9"/>
      <x:c r="M374" s="9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9"/>
      <x:c r="B375" s="9"/>
      <x:c r="C375" s="43"/>
      <x:c r="D375" s="9"/>
      <x:c r="E375" s="9"/>
      <x:c r="F375" s="6" t="str">
        <x:f>IF(E375="","",VLOOKUP(E375,Courses!$A$5:$G$10,2,FALSE))</x:f>
      </x:c>
      <x:c r="G375" s="47" t="str">
        <x:f>IF(E375="","",VLOOKUP(E375,Courses!$A$5:$G$10,3,FALSE))</x:f>
      </x:c>
      <x:c r="H375" s="9"/>
      <x:c r="I375" s="9"/>
      <x:c r="J375" s="51" t="str">
        <x:f>IF(I375="","",VLOOKUP(E375,Courses!$A$5:$G$10,6,FALSE))</x:f>
      </x:c>
      <x:c r="K375" s="47" t="n">
        <x:f>IF(AND(H375="Paid",I375&lt;&gt;""),G375*J375,0)</x:f>
        <x:v>0</x:v>
      </x:c>
      <x:c r="L375" s="9"/>
      <x:c r="M375" s="9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9"/>
      <x:c r="B376" s="9"/>
      <x:c r="C376" s="43"/>
      <x:c r="D376" s="9"/>
      <x:c r="E376" s="9"/>
      <x:c r="F376" s="6" t="str">
        <x:f>IF(E376="","",VLOOKUP(E376,Courses!$A$5:$G$10,2,FALSE))</x:f>
      </x:c>
      <x:c r="G376" s="47" t="str">
        <x:f>IF(E376="","",VLOOKUP(E376,Courses!$A$5:$G$10,3,FALSE))</x:f>
      </x:c>
      <x:c r="H376" s="9"/>
      <x:c r="I376" s="9"/>
      <x:c r="J376" s="51" t="str">
        <x:f>IF(I376="","",VLOOKUP(E376,Courses!$A$5:$G$10,6,FALSE))</x:f>
      </x:c>
      <x:c r="K376" s="47" t="n">
        <x:f>IF(AND(H376="Paid",I376&lt;&gt;""),G376*J376,0)</x:f>
        <x:v>0</x:v>
      </x:c>
      <x:c r="L376" s="9"/>
      <x:c r="M376" s="9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9"/>
      <x:c r="B377" s="9"/>
      <x:c r="C377" s="43"/>
      <x:c r="D377" s="9"/>
      <x:c r="E377" s="9"/>
      <x:c r="F377" s="6" t="str">
        <x:f>IF(E377="","",VLOOKUP(E377,Courses!$A$5:$G$10,2,FALSE))</x:f>
      </x:c>
      <x:c r="G377" s="47" t="str">
        <x:f>IF(E377="","",VLOOKUP(E377,Courses!$A$5:$G$10,3,FALSE))</x:f>
      </x:c>
      <x:c r="H377" s="9"/>
      <x:c r="I377" s="9"/>
      <x:c r="J377" s="51" t="str">
        <x:f>IF(I377="","",VLOOKUP(E377,Courses!$A$5:$G$10,6,FALSE))</x:f>
      </x:c>
      <x:c r="K377" s="47" t="n">
        <x:f>IF(AND(H377="Paid",I377&lt;&gt;""),G377*J377,0)</x:f>
        <x:v>0</x:v>
      </x:c>
      <x:c r="L377" s="9"/>
      <x:c r="M377" s="9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9"/>
      <x:c r="B378" s="9"/>
      <x:c r="C378" s="43"/>
      <x:c r="D378" s="9"/>
      <x:c r="E378" s="9"/>
      <x:c r="F378" s="6" t="str">
        <x:f>IF(E378="","",VLOOKUP(E378,Courses!$A$5:$G$10,2,FALSE))</x:f>
      </x:c>
      <x:c r="G378" s="47" t="str">
        <x:f>IF(E378="","",VLOOKUP(E378,Courses!$A$5:$G$10,3,FALSE))</x:f>
      </x:c>
      <x:c r="H378" s="9"/>
      <x:c r="I378" s="9"/>
      <x:c r="J378" s="51" t="str">
        <x:f>IF(I378="","",VLOOKUP(E378,Courses!$A$5:$G$10,6,FALSE))</x:f>
      </x:c>
      <x:c r="K378" s="47" t="n">
        <x:f>IF(AND(H378="Paid",I378&lt;&gt;""),G378*J378,0)</x:f>
        <x:v>0</x:v>
      </x:c>
      <x:c r="L378" s="9"/>
      <x:c r="M378" s="9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9"/>
      <x:c r="B379" s="9"/>
      <x:c r="C379" s="43"/>
      <x:c r="D379" s="9"/>
      <x:c r="E379" s="9"/>
      <x:c r="F379" s="6" t="str">
        <x:f>IF(E379="","",VLOOKUP(E379,Courses!$A$5:$G$10,2,FALSE))</x:f>
      </x:c>
      <x:c r="G379" s="47" t="str">
        <x:f>IF(E379="","",VLOOKUP(E379,Courses!$A$5:$G$10,3,FALSE))</x:f>
      </x:c>
      <x:c r="H379" s="9"/>
      <x:c r="I379" s="9"/>
      <x:c r="J379" s="51" t="str">
        <x:f>IF(I379="","",VLOOKUP(E379,Courses!$A$5:$G$10,6,FALSE))</x:f>
      </x:c>
      <x:c r="K379" s="47" t="n">
        <x:f>IF(AND(H379="Paid",I379&lt;&gt;""),G379*J379,0)</x:f>
        <x:v>0</x:v>
      </x:c>
      <x:c r="L379" s="9"/>
      <x:c r="M379" s="9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9"/>
      <x:c r="B380" s="9"/>
      <x:c r="C380" s="43"/>
      <x:c r="D380" s="9"/>
      <x:c r="E380" s="9"/>
      <x:c r="F380" s="6" t="str">
        <x:f>IF(E380="","",VLOOKUP(E380,Courses!$A$5:$G$10,2,FALSE))</x:f>
      </x:c>
      <x:c r="G380" s="47" t="str">
        <x:f>IF(E380="","",VLOOKUP(E380,Courses!$A$5:$G$10,3,FALSE))</x:f>
      </x:c>
      <x:c r="H380" s="9"/>
      <x:c r="I380" s="9"/>
      <x:c r="J380" s="51" t="str">
        <x:f>IF(I380="","",VLOOKUP(E380,Courses!$A$5:$G$10,6,FALSE))</x:f>
      </x:c>
      <x:c r="K380" s="47" t="n">
        <x:f>IF(AND(H380="Paid",I380&lt;&gt;""),G380*J380,0)</x:f>
        <x:v>0</x:v>
      </x:c>
      <x:c r="L380" s="9"/>
      <x:c r="M380" s="9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9"/>
      <x:c r="B381" s="9"/>
      <x:c r="C381" s="43"/>
      <x:c r="D381" s="9"/>
      <x:c r="E381" s="9"/>
      <x:c r="F381" s="6" t="str">
        <x:f>IF(E381="","",VLOOKUP(E381,Courses!$A$5:$G$10,2,FALSE))</x:f>
      </x:c>
      <x:c r="G381" s="47" t="str">
        <x:f>IF(E381="","",VLOOKUP(E381,Courses!$A$5:$G$10,3,FALSE))</x:f>
      </x:c>
      <x:c r="H381" s="9"/>
      <x:c r="I381" s="9"/>
      <x:c r="J381" s="51" t="str">
        <x:f>IF(I381="","",VLOOKUP(E381,Courses!$A$5:$G$10,6,FALSE))</x:f>
      </x:c>
      <x:c r="K381" s="47" t="n">
        <x:f>IF(AND(H381="Paid",I381&lt;&gt;""),G381*J381,0)</x:f>
        <x:v>0</x:v>
      </x:c>
      <x:c r="L381" s="9"/>
      <x:c r="M381" s="9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9"/>
      <x:c r="B382" s="9"/>
      <x:c r="C382" s="43"/>
      <x:c r="D382" s="9"/>
      <x:c r="E382" s="9"/>
      <x:c r="F382" s="6" t="str">
        <x:f>IF(E382="","",VLOOKUP(E382,Courses!$A$5:$G$10,2,FALSE))</x:f>
      </x:c>
      <x:c r="G382" s="47" t="str">
        <x:f>IF(E382="","",VLOOKUP(E382,Courses!$A$5:$G$10,3,FALSE))</x:f>
      </x:c>
      <x:c r="H382" s="9"/>
      <x:c r="I382" s="9"/>
      <x:c r="J382" s="51" t="str">
        <x:f>IF(I382="","",VLOOKUP(E382,Courses!$A$5:$G$10,6,FALSE))</x:f>
      </x:c>
      <x:c r="K382" s="47" t="n">
        <x:f>IF(AND(H382="Paid",I382&lt;&gt;""),G382*J382,0)</x:f>
        <x:v>0</x:v>
      </x:c>
      <x:c r="L382" s="9"/>
      <x:c r="M382" s="9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9"/>
      <x:c r="B383" s="9"/>
      <x:c r="C383" s="43"/>
      <x:c r="D383" s="9"/>
      <x:c r="E383" s="9"/>
      <x:c r="F383" s="6" t="str">
        <x:f>IF(E383="","",VLOOKUP(E383,Courses!$A$5:$G$10,2,FALSE))</x:f>
      </x:c>
      <x:c r="G383" s="47" t="str">
        <x:f>IF(E383="","",VLOOKUP(E383,Courses!$A$5:$G$10,3,FALSE))</x:f>
      </x:c>
      <x:c r="H383" s="9"/>
      <x:c r="I383" s="9"/>
      <x:c r="J383" s="51" t="str">
        <x:f>IF(I383="","",VLOOKUP(E383,Courses!$A$5:$G$10,6,FALSE))</x:f>
      </x:c>
      <x:c r="K383" s="47" t="n">
        <x:f>IF(AND(H383="Paid",I383&lt;&gt;""),G383*J383,0)</x:f>
        <x:v>0</x:v>
      </x:c>
      <x:c r="L383" s="9"/>
      <x:c r="M383" s="9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9"/>
      <x:c r="B384" s="9"/>
      <x:c r="C384" s="43"/>
      <x:c r="D384" s="9"/>
      <x:c r="E384" s="9"/>
      <x:c r="F384" s="6" t="str">
        <x:f>IF(E384="","",VLOOKUP(E384,Courses!$A$5:$G$10,2,FALSE))</x:f>
      </x:c>
      <x:c r="G384" s="47" t="str">
        <x:f>IF(E384="","",VLOOKUP(E384,Courses!$A$5:$G$10,3,FALSE))</x:f>
      </x:c>
      <x:c r="H384" s="9"/>
      <x:c r="I384" s="9"/>
      <x:c r="J384" s="51" t="str">
        <x:f>IF(I384="","",VLOOKUP(E384,Courses!$A$5:$G$10,6,FALSE))</x:f>
      </x:c>
      <x:c r="K384" s="47" t="n">
        <x:f>IF(AND(H384="Paid",I384&lt;&gt;""),G384*J384,0)</x:f>
        <x:v>0</x:v>
      </x:c>
      <x:c r="L384" s="9"/>
      <x:c r="M384" s="9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9"/>
      <x:c r="B385" s="9"/>
      <x:c r="C385" s="43"/>
      <x:c r="D385" s="9"/>
      <x:c r="E385" s="9"/>
      <x:c r="F385" s="6" t="str">
        <x:f>IF(E385="","",VLOOKUP(E385,Courses!$A$5:$G$10,2,FALSE))</x:f>
      </x:c>
      <x:c r="G385" s="47" t="str">
        <x:f>IF(E385="","",VLOOKUP(E385,Courses!$A$5:$G$10,3,FALSE))</x:f>
      </x:c>
      <x:c r="H385" s="9"/>
      <x:c r="I385" s="9"/>
      <x:c r="J385" s="51" t="str">
        <x:f>IF(I385="","",VLOOKUP(E385,Courses!$A$5:$G$10,6,FALSE))</x:f>
      </x:c>
      <x:c r="K385" s="47" t="n">
        <x:f>IF(AND(H385="Paid",I385&lt;&gt;""),G385*J385,0)</x:f>
        <x:v>0</x:v>
      </x:c>
      <x:c r="L385" s="9"/>
      <x:c r="M385" s="9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9"/>
      <x:c r="B386" s="9"/>
      <x:c r="C386" s="43"/>
      <x:c r="D386" s="9"/>
      <x:c r="E386" s="9"/>
      <x:c r="F386" s="6" t="str">
        <x:f>IF(E386="","",VLOOKUP(E386,Courses!$A$5:$G$10,2,FALSE))</x:f>
      </x:c>
      <x:c r="G386" s="47" t="str">
        <x:f>IF(E386="","",VLOOKUP(E386,Courses!$A$5:$G$10,3,FALSE))</x:f>
      </x:c>
      <x:c r="H386" s="9"/>
      <x:c r="I386" s="9"/>
      <x:c r="J386" s="51" t="str">
        <x:f>IF(I386="","",VLOOKUP(E386,Courses!$A$5:$G$10,6,FALSE))</x:f>
      </x:c>
      <x:c r="K386" s="47" t="n">
        <x:f>IF(AND(H386="Paid",I386&lt;&gt;""),G386*J386,0)</x:f>
        <x:v>0</x:v>
      </x:c>
      <x:c r="L386" s="9"/>
      <x:c r="M386" s="9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9"/>
      <x:c r="B387" s="9"/>
      <x:c r="C387" s="43"/>
      <x:c r="D387" s="9"/>
      <x:c r="E387" s="9"/>
      <x:c r="F387" s="6" t="str">
        <x:f>IF(E387="","",VLOOKUP(E387,Courses!$A$5:$G$10,2,FALSE))</x:f>
      </x:c>
      <x:c r="G387" s="47" t="str">
        <x:f>IF(E387="","",VLOOKUP(E387,Courses!$A$5:$G$10,3,FALSE))</x:f>
      </x:c>
      <x:c r="H387" s="9"/>
      <x:c r="I387" s="9"/>
      <x:c r="J387" s="51" t="str">
        <x:f>IF(I387="","",VLOOKUP(E387,Courses!$A$5:$G$10,6,FALSE))</x:f>
      </x:c>
      <x:c r="K387" s="47" t="n">
        <x:f>IF(AND(H387="Paid",I387&lt;&gt;""),G387*J387,0)</x:f>
        <x:v>0</x:v>
      </x:c>
      <x:c r="L387" s="9"/>
      <x:c r="M387" s="9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9"/>
      <x:c r="B388" s="9"/>
      <x:c r="C388" s="43"/>
      <x:c r="D388" s="9"/>
      <x:c r="E388" s="9"/>
      <x:c r="F388" s="6" t="str">
        <x:f>IF(E388="","",VLOOKUP(E388,Courses!$A$5:$G$10,2,FALSE))</x:f>
      </x:c>
      <x:c r="G388" s="47" t="str">
        <x:f>IF(E388="","",VLOOKUP(E388,Courses!$A$5:$G$10,3,FALSE))</x:f>
      </x:c>
      <x:c r="H388" s="9"/>
      <x:c r="I388" s="9"/>
      <x:c r="J388" s="51" t="str">
        <x:f>IF(I388="","",VLOOKUP(E388,Courses!$A$5:$G$10,6,FALSE))</x:f>
      </x:c>
      <x:c r="K388" s="47" t="n">
        <x:f>IF(AND(H388="Paid",I388&lt;&gt;""),G388*J388,0)</x:f>
        <x:v>0</x:v>
      </x:c>
      <x:c r="L388" s="9"/>
      <x:c r="M388" s="9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9"/>
      <x:c r="B389" s="9"/>
      <x:c r="C389" s="43"/>
      <x:c r="D389" s="9"/>
      <x:c r="E389" s="9"/>
      <x:c r="F389" s="6" t="str">
        <x:f>IF(E389="","",VLOOKUP(E389,Courses!$A$5:$G$10,2,FALSE))</x:f>
      </x:c>
      <x:c r="G389" s="47" t="str">
        <x:f>IF(E389="","",VLOOKUP(E389,Courses!$A$5:$G$10,3,FALSE))</x:f>
      </x:c>
      <x:c r="H389" s="9"/>
      <x:c r="I389" s="9"/>
      <x:c r="J389" s="51" t="str">
        <x:f>IF(I389="","",VLOOKUP(E389,Courses!$A$5:$G$10,6,FALSE))</x:f>
      </x:c>
      <x:c r="K389" s="47" t="n">
        <x:f>IF(AND(H389="Paid",I389&lt;&gt;""),G389*J389,0)</x:f>
        <x:v>0</x:v>
      </x:c>
      <x:c r="L389" s="9"/>
      <x:c r="M389" s="9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9"/>
      <x:c r="B390" s="9"/>
      <x:c r="C390" s="43"/>
      <x:c r="D390" s="9"/>
      <x:c r="E390" s="9"/>
      <x:c r="F390" s="6" t="str">
        <x:f>IF(E390="","",VLOOKUP(E390,Courses!$A$5:$G$10,2,FALSE))</x:f>
      </x:c>
      <x:c r="G390" s="47" t="str">
        <x:f>IF(E390="","",VLOOKUP(E390,Courses!$A$5:$G$10,3,FALSE))</x:f>
      </x:c>
      <x:c r="H390" s="9"/>
      <x:c r="I390" s="9"/>
      <x:c r="J390" s="51" t="str">
        <x:f>IF(I390="","",VLOOKUP(E390,Courses!$A$5:$G$10,6,FALSE))</x:f>
      </x:c>
      <x:c r="K390" s="47" t="n">
        <x:f>IF(AND(H390="Paid",I390&lt;&gt;""),G390*J390,0)</x:f>
        <x:v>0</x:v>
      </x:c>
      <x:c r="L390" s="9"/>
      <x:c r="M390" s="9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9"/>
      <x:c r="B391" s="9"/>
      <x:c r="C391" s="43"/>
      <x:c r="D391" s="9"/>
      <x:c r="E391" s="9"/>
      <x:c r="F391" s="6" t="str">
        <x:f>IF(E391="","",VLOOKUP(E391,Courses!$A$5:$G$10,2,FALSE))</x:f>
      </x:c>
      <x:c r="G391" s="47" t="str">
        <x:f>IF(E391="","",VLOOKUP(E391,Courses!$A$5:$G$10,3,FALSE))</x:f>
      </x:c>
      <x:c r="H391" s="9"/>
      <x:c r="I391" s="9"/>
      <x:c r="J391" s="51" t="str">
        <x:f>IF(I391="","",VLOOKUP(E391,Courses!$A$5:$G$10,6,FALSE))</x:f>
      </x:c>
      <x:c r="K391" s="47" t="n">
        <x:f>IF(AND(H391="Paid",I391&lt;&gt;""),G391*J391,0)</x:f>
        <x:v>0</x:v>
      </x:c>
      <x:c r="L391" s="9"/>
      <x:c r="M391" s="9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9"/>
      <x:c r="B392" s="9"/>
      <x:c r="C392" s="43"/>
      <x:c r="D392" s="9"/>
      <x:c r="E392" s="9"/>
      <x:c r="F392" s="6" t="str">
        <x:f>IF(E392="","",VLOOKUP(E392,Courses!$A$5:$G$10,2,FALSE))</x:f>
      </x:c>
      <x:c r="G392" s="47" t="str">
        <x:f>IF(E392="","",VLOOKUP(E392,Courses!$A$5:$G$10,3,FALSE))</x:f>
      </x:c>
      <x:c r="H392" s="9"/>
      <x:c r="I392" s="9"/>
      <x:c r="J392" s="51" t="str">
        <x:f>IF(I392="","",VLOOKUP(E392,Courses!$A$5:$G$10,6,FALSE))</x:f>
      </x:c>
      <x:c r="K392" s="47" t="n">
        <x:f>IF(AND(H392="Paid",I392&lt;&gt;""),G392*J392,0)</x:f>
        <x:v>0</x:v>
      </x:c>
      <x:c r="L392" s="9"/>
      <x:c r="M392" s="9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9"/>
      <x:c r="B393" s="9"/>
      <x:c r="C393" s="43"/>
      <x:c r="D393" s="9"/>
      <x:c r="E393" s="9"/>
      <x:c r="F393" s="6" t="str">
        <x:f>IF(E393="","",VLOOKUP(E393,Courses!$A$5:$G$10,2,FALSE))</x:f>
      </x:c>
      <x:c r="G393" s="47" t="str">
        <x:f>IF(E393="","",VLOOKUP(E393,Courses!$A$5:$G$10,3,FALSE))</x:f>
      </x:c>
      <x:c r="H393" s="9"/>
      <x:c r="I393" s="9"/>
      <x:c r="J393" s="51" t="str">
        <x:f>IF(I393="","",VLOOKUP(E393,Courses!$A$5:$G$10,6,FALSE))</x:f>
      </x:c>
      <x:c r="K393" s="47" t="n">
        <x:f>IF(AND(H393="Paid",I393&lt;&gt;""),G393*J393,0)</x:f>
        <x:v>0</x:v>
      </x:c>
      <x:c r="L393" s="9"/>
      <x:c r="M393" s="9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9"/>
      <x:c r="B394" s="9"/>
      <x:c r="C394" s="43"/>
      <x:c r="D394" s="9"/>
      <x:c r="E394" s="9"/>
      <x:c r="F394" s="6" t="str">
        <x:f>IF(E394="","",VLOOKUP(E394,Courses!$A$5:$G$10,2,FALSE))</x:f>
      </x:c>
      <x:c r="G394" s="47" t="str">
        <x:f>IF(E394="","",VLOOKUP(E394,Courses!$A$5:$G$10,3,FALSE))</x:f>
      </x:c>
      <x:c r="H394" s="9"/>
      <x:c r="I394" s="9"/>
      <x:c r="J394" s="51" t="str">
        <x:f>IF(I394="","",VLOOKUP(E394,Courses!$A$5:$G$10,6,FALSE))</x:f>
      </x:c>
      <x:c r="K394" s="47" t="n">
        <x:f>IF(AND(H394="Paid",I394&lt;&gt;""),G394*J394,0)</x:f>
        <x:v>0</x:v>
      </x:c>
      <x:c r="L394" s="9"/>
      <x:c r="M394" s="9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9"/>
      <x:c r="B395" s="9"/>
      <x:c r="C395" s="43"/>
      <x:c r="D395" s="9"/>
      <x:c r="E395" s="9"/>
      <x:c r="F395" s="6" t="str">
        <x:f>IF(E395="","",VLOOKUP(E395,Courses!$A$5:$G$10,2,FALSE))</x:f>
      </x:c>
      <x:c r="G395" s="47" t="str">
        <x:f>IF(E395="","",VLOOKUP(E395,Courses!$A$5:$G$10,3,FALSE))</x:f>
      </x:c>
      <x:c r="H395" s="9"/>
      <x:c r="I395" s="9"/>
      <x:c r="J395" s="51" t="str">
        <x:f>IF(I395="","",VLOOKUP(E395,Courses!$A$5:$G$10,6,FALSE))</x:f>
      </x:c>
      <x:c r="K395" s="47" t="n">
        <x:f>IF(AND(H395="Paid",I395&lt;&gt;""),G395*J395,0)</x:f>
        <x:v>0</x:v>
      </x:c>
      <x:c r="L395" s="9"/>
      <x:c r="M395" s="9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9"/>
      <x:c r="B396" s="9"/>
      <x:c r="C396" s="43"/>
      <x:c r="D396" s="9"/>
      <x:c r="E396" s="9"/>
      <x:c r="F396" s="6" t="str">
        <x:f>IF(E396="","",VLOOKUP(E396,Courses!$A$5:$G$10,2,FALSE))</x:f>
      </x:c>
      <x:c r="G396" s="47" t="str">
        <x:f>IF(E396="","",VLOOKUP(E396,Courses!$A$5:$G$10,3,FALSE))</x:f>
      </x:c>
      <x:c r="H396" s="9"/>
      <x:c r="I396" s="9"/>
      <x:c r="J396" s="51" t="str">
        <x:f>IF(I396="","",VLOOKUP(E396,Courses!$A$5:$G$10,6,FALSE))</x:f>
      </x:c>
      <x:c r="K396" s="47" t="n">
        <x:f>IF(AND(H396="Paid",I396&lt;&gt;""),G396*J396,0)</x:f>
        <x:v>0</x:v>
      </x:c>
      <x:c r="L396" s="9"/>
      <x:c r="M396" s="9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9"/>
      <x:c r="B397" s="9"/>
      <x:c r="C397" s="43"/>
      <x:c r="D397" s="9"/>
      <x:c r="E397" s="9"/>
      <x:c r="F397" s="6" t="str">
        <x:f>IF(E397="","",VLOOKUP(E397,Courses!$A$5:$G$10,2,FALSE))</x:f>
      </x:c>
      <x:c r="G397" s="47" t="str">
        <x:f>IF(E397="","",VLOOKUP(E397,Courses!$A$5:$G$10,3,FALSE))</x:f>
      </x:c>
      <x:c r="H397" s="9"/>
      <x:c r="I397" s="9"/>
      <x:c r="J397" s="51" t="str">
        <x:f>IF(I397="","",VLOOKUP(E397,Courses!$A$5:$G$10,6,FALSE))</x:f>
      </x:c>
      <x:c r="K397" s="47" t="n">
        <x:f>IF(AND(H397="Paid",I397&lt;&gt;""),G397*J397,0)</x:f>
        <x:v>0</x:v>
      </x:c>
      <x:c r="L397" s="9"/>
      <x:c r="M397" s="9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9"/>
      <x:c r="B398" s="9"/>
      <x:c r="C398" s="43"/>
      <x:c r="D398" s="9"/>
      <x:c r="E398" s="9"/>
      <x:c r="F398" s="6" t="str">
        <x:f>IF(E398="","",VLOOKUP(E398,Courses!$A$5:$G$10,2,FALSE))</x:f>
      </x:c>
      <x:c r="G398" s="47" t="str">
        <x:f>IF(E398="","",VLOOKUP(E398,Courses!$A$5:$G$10,3,FALSE))</x:f>
      </x:c>
      <x:c r="H398" s="9"/>
      <x:c r="I398" s="9"/>
      <x:c r="J398" s="51" t="str">
        <x:f>IF(I398="","",VLOOKUP(E398,Courses!$A$5:$G$10,6,FALSE))</x:f>
      </x:c>
      <x:c r="K398" s="47" t="n">
        <x:f>IF(AND(H398="Paid",I398&lt;&gt;""),G398*J398,0)</x:f>
        <x:v>0</x:v>
      </x:c>
      <x:c r="L398" s="9"/>
      <x:c r="M398" s="9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9"/>
      <x:c r="B399" s="9"/>
      <x:c r="C399" s="43"/>
      <x:c r="D399" s="9"/>
      <x:c r="E399" s="9"/>
      <x:c r="F399" s="6" t="str">
        <x:f>IF(E399="","",VLOOKUP(E399,Courses!$A$5:$G$10,2,FALSE))</x:f>
      </x:c>
      <x:c r="G399" s="47" t="str">
        <x:f>IF(E399="","",VLOOKUP(E399,Courses!$A$5:$G$10,3,FALSE))</x:f>
      </x:c>
      <x:c r="H399" s="9"/>
      <x:c r="I399" s="9"/>
      <x:c r="J399" s="51" t="str">
        <x:f>IF(I399="","",VLOOKUP(E399,Courses!$A$5:$G$10,6,FALSE))</x:f>
      </x:c>
      <x:c r="K399" s="47" t="n">
        <x:f>IF(AND(H399="Paid",I399&lt;&gt;""),G399*J399,0)</x:f>
        <x:v>0</x:v>
      </x:c>
      <x:c r="L399" s="9"/>
      <x:c r="M399" s="9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9"/>
      <x:c r="B400" s="9"/>
      <x:c r="C400" s="43"/>
      <x:c r="D400" s="9"/>
      <x:c r="E400" s="9"/>
      <x:c r="F400" s="6" t="str">
        <x:f>IF(E400="","",VLOOKUP(E400,Courses!$A$5:$G$10,2,FALSE))</x:f>
      </x:c>
      <x:c r="G400" s="47" t="str">
        <x:f>IF(E400="","",VLOOKUP(E400,Courses!$A$5:$G$10,3,FALSE))</x:f>
      </x:c>
      <x:c r="H400" s="9"/>
      <x:c r="I400" s="9"/>
      <x:c r="J400" s="51" t="str">
        <x:f>IF(I400="","",VLOOKUP(E400,Courses!$A$5:$G$10,6,FALSE))</x:f>
      </x:c>
      <x:c r="K400" s="47" t="n">
        <x:f>IF(AND(H400="Paid",I400&lt;&gt;""),G400*J400,0)</x:f>
        <x:v>0</x:v>
      </x:c>
      <x:c r="L400" s="9"/>
      <x:c r="M400" s="9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9"/>
      <x:c r="B401" s="9"/>
      <x:c r="C401" s="43"/>
      <x:c r="D401" s="9"/>
      <x:c r="E401" s="9"/>
      <x:c r="F401" s="6" t="str">
        <x:f>IF(E401="","",VLOOKUP(E401,Courses!$A$5:$G$10,2,FALSE))</x:f>
      </x:c>
      <x:c r="G401" s="47" t="str">
        <x:f>IF(E401="","",VLOOKUP(E401,Courses!$A$5:$G$10,3,FALSE))</x:f>
      </x:c>
      <x:c r="H401" s="9"/>
      <x:c r="I401" s="9"/>
      <x:c r="J401" s="51" t="str">
        <x:f>IF(I401="","",VLOOKUP(E401,Courses!$A$5:$G$10,6,FALSE))</x:f>
      </x:c>
      <x:c r="K401" s="47" t="n">
        <x:f>IF(AND(H401="Paid",I401&lt;&gt;""),G401*J401,0)</x:f>
        <x:v>0</x:v>
      </x:c>
      <x:c r="L401" s="9"/>
      <x:c r="M401" s="9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9"/>
      <x:c r="B402" s="9"/>
      <x:c r="C402" s="43"/>
      <x:c r="D402" s="9"/>
      <x:c r="E402" s="9"/>
      <x:c r="F402" s="6" t="str">
        <x:f>IF(E402="","",VLOOKUP(E402,Courses!$A$5:$G$10,2,FALSE))</x:f>
      </x:c>
      <x:c r="G402" s="47" t="str">
        <x:f>IF(E402="","",VLOOKUP(E402,Courses!$A$5:$G$10,3,FALSE))</x:f>
      </x:c>
      <x:c r="H402" s="9"/>
      <x:c r="I402" s="9"/>
      <x:c r="J402" s="51" t="str">
        <x:f>IF(I402="","",VLOOKUP(E402,Courses!$A$5:$G$10,6,FALSE))</x:f>
      </x:c>
      <x:c r="K402" s="47" t="n">
        <x:f>IF(AND(H402="Paid",I402&lt;&gt;""),G402*J402,0)</x:f>
        <x:v>0</x:v>
      </x:c>
      <x:c r="L402" s="9"/>
      <x:c r="M402" s="9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9"/>
      <x:c r="B403" s="9"/>
      <x:c r="C403" s="43"/>
      <x:c r="D403" s="9"/>
      <x:c r="E403" s="9"/>
      <x:c r="F403" s="6" t="str">
        <x:f>IF(E403="","",VLOOKUP(E403,Courses!$A$5:$G$10,2,FALSE))</x:f>
      </x:c>
      <x:c r="G403" s="47" t="str">
        <x:f>IF(E403="","",VLOOKUP(E403,Courses!$A$5:$G$10,3,FALSE))</x:f>
      </x:c>
      <x:c r="H403" s="9"/>
      <x:c r="I403" s="9"/>
      <x:c r="J403" s="51" t="str">
        <x:f>IF(I403="","",VLOOKUP(E403,Courses!$A$5:$G$10,6,FALSE))</x:f>
      </x:c>
      <x:c r="K403" s="47" t="n">
        <x:f>IF(AND(H403="Paid",I403&lt;&gt;""),G403*J403,0)</x:f>
        <x:v>0</x:v>
      </x:c>
      <x:c r="L403" s="9"/>
      <x:c r="M403" s="9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9"/>
      <x:c r="B404" s="9"/>
      <x:c r="C404" s="43"/>
      <x:c r="D404" s="9"/>
      <x:c r="E404" s="9"/>
      <x:c r="F404" s="6" t="str">
        <x:f>IF(E404="","",VLOOKUP(E404,Courses!$A$5:$G$10,2,FALSE))</x:f>
      </x:c>
      <x:c r="G404" s="47" t="str">
        <x:f>IF(E404="","",VLOOKUP(E404,Courses!$A$5:$G$10,3,FALSE))</x:f>
      </x:c>
      <x:c r="H404" s="9"/>
      <x:c r="I404" s="9"/>
      <x:c r="J404" s="51" t="str">
        <x:f>IF(I404="","",VLOOKUP(E404,Courses!$A$5:$G$10,6,FALSE))</x:f>
      </x:c>
      <x:c r="K404" s="47" t="n">
        <x:f>IF(AND(H404="Paid",I404&lt;&gt;""),G404*J404,0)</x:f>
        <x:v>0</x:v>
      </x:c>
      <x:c r="L404" s="9"/>
      <x:c r="M404" s="9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9"/>
      <x:c r="B405" s="9"/>
      <x:c r="C405" s="43"/>
      <x:c r="D405" s="9"/>
      <x:c r="E405" s="9"/>
      <x:c r="F405" s="6" t="str">
        <x:f>IF(E405="","",VLOOKUP(E405,Courses!$A$5:$G$10,2,FALSE))</x:f>
      </x:c>
      <x:c r="G405" s="47" t="str">
        <x:f>IF(E405="","",VLOOKUP(E405,Courses!$A$5:$G$10,3,FALSE))</x:f>
      </x:c>
      <x:c r="H405" s="9"/>
      <x:c r="I405" s="9"/>
      <x:c r="J405" s="51" t="str">
        <x:f>IF(I405="","",VLOOKUP(E405,Courses!$A$5:$G$10,6,FALSE))</x:f>
      </x:c>
      <x:c r="K405" s="47" t="n">
        <x:f>IF(AND(H405="Paid",I405&lt;&gt;""),G405*J405,0)</x:f>
        <x:v>0</x:v>
      </x:c>
      <x:c r="L405" s="9"/>
      <x:c r="M405" s="9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9"/>
      <x:c r="B406" s="9"/>
      <x:c r="C406" s="43"/>
      <x:c r="D406" s="9"/>
      <x:c r="E406" s="9"/>
      <x:c r="F406" s="6" t="str">
        <x:f>IF(E406="","",VLOOKUP(E406,Courses!$A$5:$G$10,2,FALSE))</x:f>
      </x:c>
      <x:c r="G406" s="47" t="str">
        <x:f>IF(E406="","",VLOOKUP(E406,Courses!$A$5:$G$10,3,FALSE))</x:f>
      </x:c>
      <x:c r="H406" s="9"/>
      <x:c r="I406" s="9"/>
      <x:c r="J406" s="51" t="str">
        <x:f>IF(I406="","",VLOOKUP(E406,Courses!$A$5:$G$10,6,FALSE))</x:f>
      </x:c>
      <x:c r="K406" s="47" t="n">
        <x:f>IF(AND(H406="Paid",I406&lt;&gt;""),G406*J406,0)</x:f>
        <x:v>0</x:v>
      </x:c>
      <x:c r="L406" s="9"/>
      <x:c r="M406" s="9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9"/>
      <x:c r="B407" s="9"/>
      <x:c r="C407" s="43"/>
      <x:c r="D407" s="9"/>
      <x:c r="E407" s="9"/>
      <x:c r="F407" s="6" t="str">
        <x:f>IF(E407="","",VLOOKUP(E407,Courses!$A$5:$G$10,2,FALSE))</x:f>
      </x:c>
      <x:c r="G407" s="47" t="str">
        <x:f>IF(E407="","",VLOOKUP(E407,Courses!$A$5:$G$10,3,FALSE))</x:f>
      </x:c>
      <x:c r="H407" s="9"/>
      <x:c r="I407" s="9"/>
      <x:c r="J407" s="51" t="str">
        <x:f>IF(I407="","",VLOOKUP(E407,Courses!$A$5:$G$10,6,FALSE))</x:f>
      </x:c>
      <x:c r="K407" s="47" t="n">
        <x:f>IF(AND(H407="Paid",I407&lt;&gt;""),G407*J407,0)</x:f>
        <x:v>0</x:v>
      </x:c>
      <x:c r="L407" s="9"/>
      <x:c r="M407" s="9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9"/>
      <x:c r="B408" s="9"/>
      <x:c r="C408" s="43"/>
      <x:c r="D408" s="9"/>
      <x:c r="E408" s="9"/>
      <x:c r="F408" s="6" t="str">
        <x:f>IF(E408="","",VLOOKUP(E408,Courses!$A$5:$G$10,2,FALSE))</x:f>
      </x:c>
      <x:c r="G408" s="47" t="str">
        <x:f>IF(E408="","",VLOOKUP(E408,Courses!$A$5:$G$10,3,FALSE))</x:f>
      </x:c>
      <x:c r="H408" s="9"/>
      <x:c r="I408" s="9"/>
      <x:c r="J408" s="51" t="str">
        <x:f>IF(I408="","",VLOOKUP(E408,Courses!$A$5:$G$10,6,FALSE))</x:f>
      </x:c>
      <x:c r="K408" s="47" t="n">
        <x:f>IF(AND(H408="Paid",I408&lt;&gt;""),G408*J408,0)</x:f>
        <x:v>0</x:v>
      </x:c>
      <x:c r="L408" s="9"/>
      <x:c r="M408" s="9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9"/>
      <x:c r="B409" s="9"/>
      <x:c r="C409" s="43"/>
      <x:c r="D409" s="9"/>
      <x:c r="E409" s="9"/>
      <x:c r="F409" s="6" t="str">
        <x:f>IF(E409="","",VLOOKUP(E409,Courses!$A$5:$G$10,2,FALSE))</x:f>
      </x:c>
      <x:c r="G409" s="47" t="str">
        <x:f>IF(E409="","",VLOOKUP(E409,Courses!$A$5:$G$10,3,FALSE))</x:f>
      </x:c>
      <x:c r="H409" s="9"/>
      <x:c r="I409" s="9"/>
      <x:c r="J409" s="51" t="str">
        <x:f>IF(I409="","",VLOOKUP(E409,Courses!$A$5:$G$10,6,FALSE))</x:f>
      </x:c>
      <x:c r="K409" s="47" t="n">
        <x:f>IF(AND(H409="Paid",I409&lt;&gt;""),G409*J409,0)</x:f>
        <x:v>0</x:v>
      </x:c>
      <x:c r="L409" s="9"/>
      <x:c r="M409" s="9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9"/>
      <x:c r="B410" s="9"/>
      <x:c r="C410" s="43"/>
      <x:c r="D410" s="9"/>
      <x:c r="E410" s="9"/>
      <x:c r="F410" s="6" t="str">
        <x:f>IF(E410="","",VLOOKUP(E410,Courses!$A$5:$G$10,2,FALSE))</x:f>
      </x:c>
      <x:c r="G410" s="47" t="str">
        <x:f>IF(E410="","",VLOOKUP(E410,Courses!$A$5:$G$10,3,FALSE))</x:f>
      </x:c>
      <x:c r="H410" s="9"/>
      <x:c r="I410" s="9"/>
      <x:c r="J410" s="51" t="str">
        <x:f>IF(I410="","",VLOOKUP(E410,Courses!$A$5:$G$10,6,FALSE))</x:f>
      </x:c>
      <x:c r="K410" s="47" t="n">
        <x:f>IF(AND(H410="Paid",I410&lt;&gt;""),G410*J410,0)</x:f>
        <x:v>0</x:v>
      </x:c>
      <x:c r="L410" s="9"/>
      <x:c r="M410" s="9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9"/>
      <x:c r="B411" s="9"/>
      <x:c r="C411" s="43"/>
      <x:c r="D411" s="9"/>
      <x:c r="E411" s="9"/>
      <x:c r="F411" s="6" t="str">
        <x:f>IF(E411="","",VLOOKUP(E411,Courses!$A$5:$G$10,2,FALSE))</x:f>
      </x:c>
      <x:c r="G411" s="47" t="str">
        <x:f>IF(E411="","",VLOOKUP(E411,Courses!$A$5:$G$10,3,FALSE))</x:f>
      </x:c>
      <x:c r="H411" s="9"/>
      <x:c r="I411" s="9"/>
      <x:c r="J411" s="51" t="str">
        <x:f>IF(I411="","",VLOOKUP(E411,Courses!$A$5:$G$10,6,FALSE))</x:f>
      </x:c>
      <x:c r="K411" s="47" t="n">
        <x:f>IF(AND(H411="Paid",I411&lt;&gt;""),G411*J411,0)</x:f>
        <x:v>0</x:v>
      </x:c>
      <x:c r="L411" s="9"/>
      <x:c r="M411" s="9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9"/>
      <x:c r="B412" s="9"/>
      <x:c r="C412" s="43"/>
      <x:c r="D412" s="9"/>
      <x:c r="E412" s="9"/>
      <x:c r="F412" s="6" t="str">
        <x:f>IF(E412="","",VLOOKUP(E412,Courses!$A$5:$G$10,2,FALSE))</x:f>
      </x:c>
      <x:c r="G412" s="47" t="str">
        <x:f>IF(E412="","",VLOOKUP(E412,Courses!$A$5:$G$10,3,FALSE))</x:f>
      </x:c>
      <x:c r="H412" s="9"/>
      <x:c r="I412" s="9"/>
      <x:c r="J412" s="51" t="str">
        <x:f>IF(I412="","",VLOOKUP(E412,Courses!$A$5:$G$10,6,FALSE))</x:f>
      </x:c>
      <x:c r="K412" s="47" t="n">
        <x:f>IF(AND(H412="Paid",I412&lt;&gt;""),G412*J412,0)</x:f>
        <x:v>0</x:v>
      </x:c>
      <x:c r="L412" s="9"/>
      <x:c r="M412" s="9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9"/>
      <x:c r="B413" s="9"/>
      <x:c r="C413" s="43"/>
      <x:c r="D413" s="9"/>
      <x:c r="E413" s="9"/>
      <x:c r="F413" s="6" t="str">
        <x:f>IF(E413="","",VLOOKUP(E413,Courses!$A$5:$G$10,2,FALSE))</x:f>
      </x:c>
      <x:c r="G413" s="47" t="str">
        <x:f>IF(E413="","",VLOOKUP(E413,Courses!$A$5:$G$10,3,FALSE))</x:f>
      </x:c>
      <x:c r="H413" s="9"/>
      <x:c r="I413" s="9"/>
      <x:c r="J413" s="51" t="str">
        <x:f>IF(I413="","",VLOOKUP(E413,Courses!$A$5:$G$10,6,FALSE))</x:f>
      </x:c>
      <x:c r="K413" s="47" t="n">
        <x:f>IF(AND(H413="Paid",I413&lt;&gt;""),G413*J413,0)</x:f>
        <x:v>0</x:v>
      </x:c>
      <x:c r="L413" s="9"/>
      <x:c r="M413" s="9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9"/>
      <x:c r="B414" s="9"/>
      <x:c r="C414" s="43"/>
      <x:c r="D414" s="9"/>
      <x:c r="E414" s="9"/>
      <x:c r="F414" s="6" t="str">
        <x:f>IF(E414="","",VLOOKUP(E414,Courses!$A$5:$G$10,2,FALSE))</x:f>
      </x:c>
      <x:c r="G414" s="47" t="str">
        <x:f>IF(E414="","",VLOOKUP(E414,Courses!$A$5:$G$10,3,FALSE))</x:f>
      </x:c>
      <x:c r="H414" s="9"/>
      <x:c r="I414" s="9"/>
      <x:c r="J414" s="51" t="str">
        <x:f>IF(I414="","",VLOOKUP(E414,Courses!$A$5:$G$10,6,FALSE))</x:f>
      </x:c>
      <x:c r="K414" s="47" t="n">
        <x:f>IF(AND(H414="Paid",I414&lt;&gt;""),G414*J414,0)</x:f>
        <x:v>0</x:v>
      </x:c>
      <x:c r="L414" s="9"/>
      <x:c r="M414" s="9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9"/>
      <x:c r="B415" s="9"/>
      <x:c r="C415" s="43"/>
      <x:c r="D415" s="9"/>
      <x:c r="E415" s="9"/>
      <x:c r="F415" s="6" t="str">
        <x:f>IF(E415="","",VLOOKUP(E415,Courses!$A$5:$G$10,2,FALSE))</x:f>
      </x:c>
      <x:c r="G415" s="47" t="str">
        <x:f>IF(E415="","",VLOOKUP(E415,Courses!$A$5:$G$10,3,FALSE))</x:f>
      </x:c>
      <x:c r="H415" s="9"/>
      <x:c r="I415" s="9"/>
      <x:c r="J415" s="51" t="str">
        <x:f>IF(I415="","",VLOOKUP(E415,Courses!$A$5:$G$10,6,FALSE))</x:f>
      </x:c>
      <x:c r="K415" s="47" t="n">
        <x:f>IF(AND(H415="Paid",I415&lt;&gt;""),G415*J415,0)</x:f>
        <x:v>0</x:v>
      </x:c>
      <x:c r="L415" s="9"/>
      <x:c r="M415" s="9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9"/>
      <x:c r="B416" s="9"/>
      <x:c r="C416" s="43"/>
      <x:c r="D416" s="9"/>
      <x:c r="E416" s="9"/>
      <x:c r="F416" s="6" t="str">
        <x:f>IF(E416="","",VLOOKUP(E416,Courses!$A$5:$G$10,2,FALSE))</x:f>
      </x:c>
      <x:c r="G416" s="47" t="str">
        <x:f>IF(E416="","",VLOOKUP(E416,Courses!$A$5:$G$10,3,FALSE))</x:f>
      </x:c>
      <x:c r="H416" s="9"/>
      <x:c r="I416" s="9"/>
      <x:c r="J416" s="51" t="str">
        <x:f>IF(I416="","",VLOOKUP(E416,Courses!$A$5:$G$10,6,FALSE))</x:f>
      </x:c>
      <x:c r="K416" s="47" t="n">
        <x:f>IF(AND(H416="Paid",I416&lt;&gt;""),G416*J416,0)</x:f>
        <x:v>0</x:v>
      </x:c>
      <x:c r="L416" s="9"/>
      <x:c r="M416" s="9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9"/>
      <x:c r="B417" s="9"/>
      <x:c r="C417" s="43"/>
      <x:c r="D417" s="9"/>
      <x:c r="E417" s="9"/>
      <x:c r="F417" s="6" t="str">
        <x:f>IF(E417="","",VLOOKUP(E417,Courses!$A$5:$G$10,2,FALSE))</x:f>
      </x:c>
      <x:c r="G417" s="47" t="str">
        <x:f>IF(E417="","",VLOOKUP(E417,Courses!$A$5:$G$10,3,FALSE))</x:f>
      </x:c>
      <x:c r="H417" s="9"/>
      <x:c r="I417" s="9"/>
      <x:c r="J417" s="51" t="str">
        <x:f>IF(I417="","",VLOOKUP(E417,Courses!$A$5:$G$10,6,FALSE))</x:f>
      </x:c>
      <x:c r="K417" s="47" t="n">
        <x:f>IF(AND(H417="Paid",I417&lt;&gt;""),G417*J417,0)</x:f>
        <x:v>0</x:v>
      </x:c>
      <x:c r="L417" s="9"/>
      <x:c r="M417" s="9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9"/>
      <x:c r="B418" s="9"/>
      <x:c r="C418" s="43"/>
      <x:c r="D418" s="9"/>
      <x:c r="E418" s="9"/>
      <x:c r="F418" s="6" t="str">
        <x:f>IF(E418="","",VLOOKUP(E418,Courses!$A$5:$G$10,2,FALSE))</x:f>
      </x:c>
      <x:c r="G418" s="47" t="str">
        <x:f>IF(E418="","",VLOOKUP(E418,Courses!$A$5:$G$10,3,FALSE))</x:f>
      </x:c>
      <x:c r="H418" s="9"/>
      <x:c r="I418" s="9"/>
      <x:c r="J418" s="51" t="str">
        <x:f>IF(I418="","",VLOOKUP(E418,Courses!$A$5:$G$10,6,FALSE))</x:f>
      </x:c>
      <x:c r="K418" s="47" t="n">
        <x:f>IF(AND(H418="Paid",I418&lt;&gt;""),G418*J418,0)</x:f>
        <x:v>0</x:v>
      </x:c>
      <x:c r="L418" s="9"/>
      <x:c r="M418" s="9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9"/>
      <x:c r="B419" s="9"/>
      <x:c r="C419" s="43"/>
      <x:c r="D419" s="9"/>
      <x:c r="E419" s="9"/>
      <x:c r="F419" s="6" t="str">
        <x:f>IF(E419="","",VLOOKUP(E419,Courses!$A$5:$G$10,2,FALSE))</x:f>
      </x:c>
      <x:c r="G419" s="47" t="str">
        <x:f>IF(E419="","",VLOOKUP(E419,Courses!$A$5:$G$10,3,FALSE))</x:f>
      </x:c>
      <x:c r="H419" s="9"/>
      <x:c r="I419" s="9"/>
      <x:c r="J419" s="51" t="str">
        <x:f>IF(I419="","",VLOOKUP(E419,Courses!$A$5:$G$10,6,FALSE))</x:f>
      </x:c>
      <x:c r="K419" s="47" t="n">
        <x:f>IF(AND(H419="Paid",I419&lt;&gt;""),G419*J419,0)</x:f>
        <x:v>0</x:v>
      </x:c>
      <x:c r="L419" s="9"/>
      <x:c r="M419" s="9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9"/>
      <x:c r="B420" s="9"/>
      <x:c r="C420" s="43"/>
      <x:c r="D420" s="9"/>
      <x:c r="E420" s="9"/>
      <x:c r="F420" s="6" t="str">
        <x:f>IF(E420="","",VLOOKUP(E420,Courses!$A$5:$G$10,2,FALSE))</x:f>
      </x:c>
      <x:c r="G420" s="47" t="str">
        <x:f>IF(E420="","",VLOOKUP(E420,Courses!$A$5:$G$10,3,FALSE))</x:f>
      </x:c>
      <x:c r="H420" s="9"/>
      <x:c r="I420" s="9"/>
      <x:c r="J420" s="51" t="str">
        <x:f>IF(I420="","",VLOOKUP(E420,Courses!$A$5:$G$10,6,FALSE))</x:f>
      </x:c>
      <x:c r="K420" s="47" t="n">
        <x:f>IF(AND(H420="Paid",I420&lt;&gt;""),G420*J420,0)</x:f>
        <x:v>0</x:v>
      </x:c>
      <x:c r="L420" s="9"/>
      <x:c r="M420" s="9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9"/>
      <x:c r="B421" s="9"/>
      <x:c r="C421" s="43"/>
      <x:c r="D421" s="9"/>
      <x:c r="E421" s="9"/>
      <x:c r="F421" s="6" t="str">
        <x:f>IF(E421="","",VLOOKUP(E421,Courses!$A$5:$G$10,2,FALSE))</x:f>
      </x:c>
      <x:c r="G421" s="47" t="str">
        <x:f>IF(E421="","",VLOOKUP(E421,Courses!$A$5:$G$10,3,FALSE))</x:f>
      </x:c>
      <x:c r="H421" s="9"/>
      <x:c r="I421" s="9"/>
      <x:c r="J421" s="51" t="str">
        <x:f>IF(I421="","",VLOOKUP(E421,Courses!$A$5:$G$10,6,FALSE))</x:f>
      </x:c>
      <x:c r="K421" s="47" t="n">
        <x:f>IF(AND(H421="Paid",I421&lt;&gt;""),G421*J421,0)</x:f>
        <x:v>0</x:v>
      </x:c>
      <x:c r="L421" s="9"/>
      <x:c r="M421" s="9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9"/>
      <x:c r="B422" s="9"/>
      <x:c r="C422" s="43"/>
      <x:c r="D422" s="9"/>
      <x:c r="E422" s="9"/>
      <x:c r="F422" s="6" t="str">
        <x:f>IF(E422="","",VLOOKUP(E422,Courses!$A$5:$G$10,2,FALSE))</x:f>
      </x:c>
      <x:c r="G422" s="47" t="str">
        <x:f>IF(E422="","",VLOOKUP(E422,Courses!$A$5:$G$10,3,FALSE))</x:f>
      </x:c>
      <x:c r="H422" s="9"/>
      <x:c r="I422" s="9"/>
      <x:c r="J422" s="51" t="str">
        <x:f>IF(I422="","",VLOOKUP(E422,Courses!$A$5:$G$10,6,FALSE))</x:f>
      </x:c>
      <x:c r="K422" s="47" t="n">
        <x:f>IF(AND(H422="Paid",I422&lt;&gt;""),G422*J422,0)</x:f>
        <x:v>0</x:v>
      </x:c>
      <x:c r="L422" s="9"/>
      <x:c r="M422" s="9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9"/>
      <x:c r="B423" s="9"/>
      <x:c r="C423" s="43"/>
      <x:c r="D423" s="9"/>
      <x:c r="E423" s="9"/>
      <x:c r="F423" s="6" t="str">
        <x:f>IF(E423="","",VLOOKUP(E423,Courses!$A$5:$G$10,2,FALSE))</x:f>
      </x:c>
      <x:c r="G423" s="47" t="str">
        <x:f>IF(E423="","",VLOOKUP(E423,Courses!$A$5:$G$10,3,FALSE))</x:f>
      </x:c>
      <x:c r="H423" s="9"/>
      <x:c r="I423" s="9"/>
      <x:c r="J423" s="51" t="str">
        <x:f>IF(I423="","",VLOOKUP(E423,Courses!$A$5:$G$10,6,FALSE))</x:f>
      </x:c>
      <x:c r="K423" s="47" t="n">
        <x:f>IF(AND(H423="Paid",I423&lt;&gt;""),G423*J423,0)</x:f>
        <x:v>0</x:v>
      </x:c>
      <x:c r="L423" s="9"/>
      <x:c r="M423" s="9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9"/>
      <x:c r="B424" s="9"/>
      <x:c r="C424" s="43"/>
      <x:c r="D424" s="9"/>
      <x:c r="E424" s="9"/>
      <x:c r="F424" s="6" t="str">
        <x:f>IF(E424="","",VLOOKUP(E424,Courses!$A$5:$G$10,2,FALSE))</x:f>
      </x:c>
      <x:c r="G424" s="47" t="str">
        <x:f>IF(E424="","",VLOOKUP(E424,Courses!$A$5:$G$10,3,FALSE))</x:f>
      </x:c>
      <x:c r="H424" s="9"/>
      <x:c r="I424" s="9"/>
      <x:c r="J424" s="51" t="str">
        <x:f>IF(I424="","",VLOOKUP(E424,Courses!$A$5:$G$10,6,FALSE))</x:f>
      </x:c>
      <x:c r="K424" s="47" t="n">
        <x:f>IF(AND(H424="Paid",I424&lt;&gt;""),G424*J424,0)</x:f>
        <x:v>0</x:v>
      </x:c>
      <x:c r="L424" s="9"/>
      <x:c r="M424" s="9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9"/>
      <x:c r="B425" s="9"/>
      <x:c r="C425" s="43"/>
      <x:c r="D425" s="9"/>
      <x:c r="E425" s="9"/>
      <x:c r="F425" s="6" t="str">
        <x:f>IF(E425="","",VLOOKUP(E425,Courses!$A$5:$G$10,2,FALSE))</x:f>
      </x:c>
      <x:c r="G425" s="47" t="str">
        <x:f>IF(E425="","",VLOOKUP(E425,Courses!$A$5:$G$10,3,FALSE))</x:f>
      </x:c>
      <x:c r="H425" s="9"/>
      <x:c r="I425" s="9"/>
      <x:c r="J425" s="51" t="str">
        <x:f>IF(I425="","",VLOOKUP(E425,Courses!$A$5:$G$10,6,FALSE))</x:f>
      </x:c>
      <x:c r="K425" s="47" t="n">
        <x:f>IF(AND(H425="Paid",I425&lt;&gt;""),G425*J425,0)</x:f>
        <x:v>0</x:v>
      </x:c>
      <x:c r="L425" s="9"/>
      <x:c r="M425" s="9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9"/>
      <x:c r="B426" s="9"/>
      <x:c r="C426" s="43"/>
      <x:c r="D426" s="9"/>
      <x:c r="E426" s="9"/>
      <x:c r="F426" s="6" t="str">
        <x:f>IF(E426="","",VLOOKUP(E426,Courses!$A$5:$G$10,2,FALSE))</x:f>
      </x:c>
      <x:c r="G426" s="47" t="str">
        <x:f>IF(E426="","",VLOOKUP(E426,Courses!$A$5:$G$10,3,FALSE))</x:f>
      </x:c>
      <x:c r="H426" s="9"/>
      <x:c r="I426" s="9"/>
      <x:c r="J426" s="51" t="str">
        <x:f>IF(I426="","",VLOOKUP(E426,Courses!$A$5:$G$10,6,FALSE))</x:f>
      </x:c>
      <x:c r="K426" s="47" t="n">
        <x:f>IF(AND(H426="Paid",I426&lt;&gt;""),G426*J426,0)</x:f>
        <x:v>0</x:v>
      </x:c>
      <x:c r="L426" s="9"/>
      <x:c r="M426" s="9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9"/>
      <x:c r="B427" s="9"/>
      <x:c r="C427" s="43"/>
      <x:c r="D427" s="9"/>
      <x:c r="E427" s="9"/>
      <x:c r="F427" s="6" t="str">
        <x:f>IF(E427="","",VLOOKUP(E427,Courses!$A$5:$G$10,2,FALSE))</x:f>
      </x:c>
      <x:c r="G427" s="47" t="str">
        <x:f>IF(E427="","",VLOOKUP(E427,Courses!$A$5:$G$10,3,FALSE))</x:f>
      </x:c>
      <x:c r="H427" s="9"/>
      <x:c r="I427" s="9"/>
      <x:c r="J427" s="51" t="str">
        <x:f>IF(I427="","",VLOOKUP(E427,Courses!$A$5:$G$10,6,FALSE))</x:f>
      </x:c>
      <x:c r="K427" s="47" t="n">
        <x:f>IF(AND(H427="Paid",I427&lt;&gt;""),G427*J427,0)</x:f>
        <x:v>0</x:v>
      </x:c>
      <x:c r="L427" s="9"/>
      <x:c r="M427" s="9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9"/>
      <x:c r="B428" s="9"/>
      <x:c r="C428" s="43"/>
      <x:c r="D428" s="9"/>
      <x:c r="E428" s="9"/>
      <x:c r="F428" s="6" t="str">
        <x:f>IF(E428="","",VLOOKUP(E428,Courses!$A$5:$G$10,2,FALSE))</x:f>
      </x:c>
      <x:c r="G428" s="47" t="str">
        <x:f>IF(E428="","",VLOOKUP(E428,Courses!$A$5:$G$10,3,FALSE))</x:f>
      </x:c>
      <x:c r="H428" s="9"/>
      <x:c r="I428" s="9"/>
      <x:c r="J428" s="51" t="str">
        <x:f>IF(I428="","",VLOOKUP(E428,Courses!$A$5:$G$10,6,FALSE))</x:f>
      </x:c>
      <x:c r="K428" s="47" t="n">
        <x:f>IF(AND(H428="Paid",I428&lt;&gt;""),G428*J428,0)</x:f>
        <x:v>0</x:v>
      </x:c>
      <x:c r="L428" s="9"/>
      <x:c r="M428" s="9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9"/>
      <x:c r="B429" s="9"/>
      <x:c r="C429" s="43"/>
      <x:c r="D429" s="9"/>
      <x:c r="E429" s="9"/>
      <x:c r="F429" s="6" t="str">
        <x:f>IF(E429="","",VLOOKUP(E429,Courses!$A$5:$G$10,2,FALSE))</x:f>
      </x:c>
      <x:c r="G429" s="47" t="str">
        <x:f>IF(E429="","",VLOOKUP(E429,Courses!$A$5:$G$10,3,FALSE))</x:f>
      </x:c>
      <x:c r="H429" s="9"/>
      <x:c r="I429" s="9"/>
      <x:c r="J429" s="51" t="str">
        <x:f>IF(I429="","",VLOOKUP(E429,Courses!$A$5:$G$10,6,FALSE))</x:f>
      </x:c>
      <x:c r="K429" s="47" t="n">
        <x:f>IF(AND(H429="Paid",I429&lt;&gt;""),G429*J429,0)</x:f>
        <x:v>0</x:v>
      </x:c>
      <x:c r="L429" s="9"/>
      <x:c r="M429" s="9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9"/>
      <x:c r="B430" s="9"/>
      <x:c r="C430" s="43"/>
      <x:c r="D430" s="9"/>
      <x:c r="E430" s="9"/>
      <x:c r="F430" s="6" t="str">
        <x:f>IF(E430="","",VLOOKUP(E430,Courses!$A$5:$G$10,2,FALSE))</x:f>
      </x:c>
      <x:c r="G430" s="47" t="str">
        <x:f>IF(E430="","",VLOOKUP(E430,Courses!$A$5:$G$10,3,FALSE))</x:f>
      </x:c>
      <x:c r="H430" s="9"/>
      <x:c r="I430" s="9"/>
      <x:c r="J430" s="51" t="str">
        <x:f>IF(I430="","",VLOOKUP(E430,Courses!$A$5:$G$10,6,FALSE))</x:f>
      </x:c>
      <x:c r="K430" s="47" t="n">
        <x:f>IF(AND(H430="Paid",I430&lt;&gt;""),G430*J430,0)</x:f>
        <x:v>0</x:v>
      </x:c>
      <x:c r="L430" s="9"/>
      <x:c r="M430" s="9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9"/>
      <x:c r="B431" s="9"/>
      <x:c r="C431" s="43"/>
      <x:c r="D431" s="9"/>
      <x:c r="E431" s="9"/>
      <x:c r="F431" s="6" t="str">
        <x:f>IF(E431="","",VLOOKUP(E431,Courses!$A$5:$G$10,2,FALSE))</x:f>
      </x:c>
      <x:c r="G431" s="47" t="str">
        <x:f>IF(E431="","",VLOOKUP(E431,Courses!$A$5:$G$10,3,FALSE))</x:f>
      </x:c>
      <x:c r="H431" s="9"/>
      <x:c r="I431" s="9"/>
      <x:c r="J431" s="51" t="str">
        <x:f>IF(I431="","",VLOOKUP(E431,Courses!$A$5:$G$10,6,FALSE))</x:f>
      </x:c>
      <x:c r="K431" s="47" t="n">
        <x:f>IF(AND(H431="Paid",I431&lt;&gt;""),G431*J431,0)</x:f>
        <x:v>0</x:v>
      </x:c>
      <x:c r="L431" s="9"/>
      <x:c r="M431" s="9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9"/>
      <x:c r="B432" s="9"/>
      <x:c r="C432" s="43"/>
      <x:c r="D432" s="9"/>
      <x:c r="E432" s="9"/>
      <x:c r="F432" s="6" t="str">
        <x:f>IF(E432="","",VLOOKUP(E432,Courses!$A$5:$G$10,2,FALSE))</x:f>
      </x:c>
      <x:c r="G432" s="47" t="str">
        <x:f>IF(E432="","",VLOOKUP(E432,Courses!$A$5:$G$10,3,FALSE))</x:f>
      </x:c>
      <x:c r="H432" s="9"/>
      <x:c r="I432" s="9"/>
      <x:c r="J432" s="51" t="str">
        <x:f>IF(I432="","",VLOOKUP(E432,Courses!$A$5:$G$10,6,FALSE))</x:f>
      </x:c>
      <x:c r="K432" s="47" t="n">
        <x:f>IF(AND(H432="Paid",I432&lt;&gt;""),G432*J432,0)</x:f>
        <x:v>0</x:v>
      </x:c>
      <x:c r="L432" s="9"/>
      <x:c r="M432" s="9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9"/>
      <x:c r="B433" s="9"/>
      <x:c r="C433" s="43"/>
      <x:c r="D433" s="9"/>
      <x:c r="E433" s="9"/>
      <x:c r="F433" s="6" t="str">
        <x:f>IF(E433="","",VLOOKUP(E433,Courses!$A$5:$G$10,2,FALSE))</x:f>
      </x:c>
      <x:c r="G433" s="47" t="str">
        <x:f>IF(E433="","",VLOOKUP(E433,Courses!$A$5:$G$10,3,FALSE))</x:f>
      </x:c>
      <x:c r="H433" s="9"/>
      <x:c r="I433" s="9"/>
      <x:c r="J433" s="51" t="str">
        <x:f>IF(I433="","",VLOOKUP(E433,Courses!$A$5:$G$10,6,FALSE))</x:f>
      </x:c>
      <x:c r="K433" s="47" t="n">
        <x:f>IF(AND(H433="Paid",I433&lt;&gt;""),G433*J433,0)</x:f>
        <x:v>0</x:v>
      </x:c>
      <x:c r="L433" s="9"/>
      <x:c r="M433" s="9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9"/>
      <x:c r="B434" s="9"/>
      <x:c r="C434" s="43"/>
      <x:c r="D434" s="9"/>
      <x:c r="E434" s="9"/>
      <x:c r="F434" s="6" t="str">
        <x:f>IF(E434="","",VLOOKUP(E434,Courses!$A$5:$G$10,2,FALSE))</x:f>
      </x:c>
      <x:c r="G434" s="47" t="str">
        <x:f>IF(E434="","",VLOOKUP(E434,Courses!$A$5:$G$10,3,FALSE))</x:f>
      </x:c>
      <x:c r="H434" s="9"/>
      <x:c r="I434" s="9"/>
      <x:c r="J434" s="51" t="str">
        <x:f>IF(I434="","",VLOOKUP(E434,Courses!$A$5:$G$10,6,FALSE))</x:f>
      </x:c>
      <x:c r="K434" s="47" t="n">
        <x:f>IF(AND(H434="Paid",I434&lt;&gt;""),G434*J434,0)</x:f>
        <x:v>0</x:v>
      </x:c>
      <x:c r="L434" s="9"/>
      <x:c r="M434" s="9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9"/>
      <x:c r="B435" s="9"/>
      <x:c r="C435" s="43"/>
      <x:c r="D435" s="9"/>
      <x:c r="E435" s="9"/>
      <x:c r="F435" s="6" t="str">
        <x:f>IF(E435="","",VLOOKUP(E435,Courses!$A$5:$G$10,2,FALSE))</x:f>
      </x:c>
      <x:c r="G435" s="47" t="str">
        <x:f>IF(E435="","",VLOOKUP(E435,Courses!$A$5:$G$10,3,FALSE))</x:f>
      </x:c>
      <x:c r="H435" s="9"/>
      <x:c r="I435" s="9"/>
      <x:c r="J435" s="51" t="str">
        <x:f>IF(I435="","",VLOOKUP(E435,Courses!$A$5:$G$10,6,FALSE))</x:f>
      </x:c>
      <x:c r="K435" s="47" t="n">
        <x:f>IF(AND(H435="Paid",I435&lt;&gt;""),G435*J435,0)</x:f>
        <x:v>0</x:v>
      </x:c>
      <x:c r="L435" s="9"/>
      <x:c r="M435" s="9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9"/>
      <x:c r="B436" s="9"/>
      <x:c r="C436" s="43"/>
      <x:c r="D436" s="9"/>
      <x:c r="E436" s="9"/>
      <x:c r="F436" s="6" t="str">
        <x:f>IF(E436="","",VLOOKUP(E436,Courses!$A$5:$G$10,2,FALSE))</x:f>
      </x:c>
      <x:c r="G436" s="47" t="str">
        <x:f>IF(E436="","",VLOOKUP(E436,Courses!$A$5:$G$10,3,FALSE))</x:f>
      </x:c>
      <x:c r="H436" s="9"/>
      <x:c r="I436" s="9"/>
      <x:c r="J436" s="51" t="str">
        <x:f>IF(I436="","",VLOOKUP(E436,Courses!$A$5:$G$10,6,FALSE))</x:f>
      </x:c>
      <x:c r="K436" s="47" t="n">
        <x:f>IF(AND(H436="Paid",I436&lt;&gt;""),G436*J436,0)</x:f>
        <x:v>0</x:v>
      </x:c>
      <x:c r="L436" s="9"/>
      <x:c r="M436" s="9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9"/>
      <x:c r="B437" s="9"/>
      <x:c r="C437" s="43"/>
      <x:c r="D437" s="9"/>
      <x:c r="E437" s="9"/>
      <x:c r="F437" s="6" t="str">
        <x:f>IF(E437="","",VLOOKUP(E437,Courses!$A$5:$G$10,2,FALSE))</x:f>
      </x:c>
      <x:c r="G437" s="47" t="str">
        <x:f>IF(E437="","",VLOOKUP(E437,Courses!$A$5:$G$10,3,FALSE))</x:f>
      </x:c>
      <x:c r="H437" s="9"/>
      <x:c r="I437" s="9"/>
      <x:c r="J437" s="51" t="str">
        <x:f>IF(I437="","",VLOOKUP(E437,Courses!$A$5:$G$10,6,FALSE))</x:f>
      </x:c>
      <x:c r="K437" s="47" t="n">
        <x:f>IF(AND(H437="Paid",I437&lt;&gt;""),G437*J437,0)</x:f>
        <x:v>0</x:v>
      </x:c>
      <x:c r="L437" s="9"/>
      <x:c r="M437" s="9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9"/>
      <x:c r="B438" s="9"/>
      <x:c r="C438" s="43"/>
      <x:c r="D438" s="9"/>
      <x:c r="E438" s="9"/>
      <x:c r="F438" s="6" t="str">
        <x:f>IF(E438="","",VLOOKUP(E438,Courses!$A$5:$G$10,2,FALSE))</x:f>
      </x:c>
      <x:c r="G438" s="47" t="str">
        <x:f>IF(E438="","",VLOOKUP(E438,Courses!$A$5:$G$10,3,FALSE))</x:f>
      </x:c>
      <x:c r="H438" s="9"/>
      <x:c r="I438" s="9"/>
      <x:c r="J438" s="51" t="str">
        <x:f>IF(I438="","",VLOOKUP(E438,Courses!$A$5:$G$10,6,FALSE))</x:f>
      </x:c>
      <x:c r="K438" s="47" t="n">
        <x:f>IF(AND(H438="Paid",I438&lt;&gt;""),G438*J438,0)</x:f>
        <x:v>0</x:v>
      </x:c>
      <x:c r="L438" s="9"/>
      <x:c r="M438" s="9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9"/>
      <x:c r="B439" s="9"/>
      <x:c r="C439" s="43"/>
      <x:c r="D439" s="9"/>
      <x:c r="E439" s="9"/>
      <x:c r="F439" s="6" t="str">
        <x:f>IF(E439="","",VLOOKUP(E439,Courses!$A$5:$G$10,2,FALSE))</x:f>
      </x:c>
      <x:c r="G439" s="47" t="str">
        <x:f>IF(E439="","",VLOOKUP(E439,Courses!$A$5:$G$10,3,FALSE))</x:f>
      </x:c>
      <x:c r="H439" s="9"/>
      <x:c r="I439" s="9"/>
      <x:c r="J439" s="51" t="str">
        <x:f>IF(I439="","",VLOOKUP(E439,Courses!$A$5:$G$10,6,FALSE))</x:f>
      </x:c>
      <x:c r="K439" s="47" t="n">
        <x:f>IF(AND(H439="Paid",I439&lt;&gt;""),G439*J439,0)</x:f>
        <x:v>0</x:v>
      </x:c>
      <x:c r="L439" s="9"/>
      <x:c r="M439" s="9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9"/>
      <x:c r="B440" s="9"/>
      <x:c r="C440" s="43"/>
      <x:c r="D440" s="9"/>
      <x:c r="E440" s="9"/>
      <x:c r="F440" s="6" t="str">
        <x:f>IF(E440="","",VLOOKUP(E440,Courses!$A$5:$G$10,2,FALSE))</x:f>
      </x:c>
      <x:c r="G440" s="47" t="str">
        <x:f>IF(E440="","",VLOOKUP(E440,Courses!$A$5:$G$10,3,FALSE))</x:f>
      </x:c>
      <x:c r="H440" s="9"/>
      <x:c r="I440" s="9"/>
      <x:c r="J440" s="51" t="str">
        <x:f>IF(I440="","",VLOOKUP(E440,Courses!$A$5:$G$10,6,FALSE))</x:f>
      </x:c>
      <x:c r="K440" s="47" t="n">
        <x:f>IF(AND(H440="Paid",I440&lt;&gt;""),G440*J440,0)</x:f>
        <x:v>0</x:v>
      </x:c>
      <x:c r="L440" s="9"/>
      <x:c r="M440" s="9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9"/>
      <x:c r="B441" s="9"/>
      <x:c r="C441" s="43"/>
      <x:c r="D441" s="9"/>
      <x:c r="E441" s="9"/>
      <x:c r="F441" s="6" t="str">
        <x:f>IF(E441="","",VLOOKUP(E441,Courses!$A$5:$G$10,2,FALSE))</x:f>
      </x:c>
      <x:c r="G441" s="47" t="str">
        <x:f>IF(E441="","",VLOOKUP(E441,Courses!$A$5:$G$10,3,FALSE))</x:f>
      </x:c>
      <x:c r="H441" s="9"/>
      <x:c r="I441" s="9"/>
      <x:c r="J441" s="51" t="str">
        <x:f>IF(I441="","",VLOOKUP(E441,Courses!$A$5:$G$10,6,FALSE))</x:f>
      </x:c>
      <x:c r="K441" s="47" t="n">
        <x:f>IF(AND(H441="Paid",I441&lt;&gt;""),G441*J441,0)</x:f>
        <x:v>0</x:v>
      </x:c>
      <x:c r="L441" s="9"/>
      <x:c r="M441" s="9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9"/>
      <x:c r="B442" s="9"/>
      <x:c r="C442" s="43"/>
      <x:c r="D442" s="9"/>
      <x:c r="E442" s="9"/>
      <x:c r="F442" s="6" t="str">
        <x:f>IF(E442="","",VLOOKUP(E442,Courses!$A$5:$G$10,2,FALSE))</x:f>
      </x:c>
      <x:c r="G442" s="47" t="str">
        <x:f>IF(E442="","",VLOOKUP(E442,Courses!$A$5:$G$10,3,FALSE))</x:f>
      </x:c>
      <x:c r="H442" s="9"/>
      <x:c r="I442" s="9"/>
      <x:c r="J442" s="51" t="str">
        <x:f>IF(I442="","",VLOOKUP(E442,Courses!$A$5:$G$10,6,FALSE))</x:f>
      </x:c>
      <x:c r="K442" s="47" t="n">
        <x:f>IF(AND(H442="Paid",I442&lt;&gt;""),G442*J442,0)</x:f>
        <x:v>0</x:v>
      </x:c>
      <x:c r="L442" s="9"/>
      <x:c r="M442" s="9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9"/>
      <x:c r="B443" s="9"/>
      <x:c r="C443" s="43"/>
      <x:c r="D443" s="9"/>
      <x:c r="E443" s="9"/>
      <x:c r="F443" s="6" t="str">
        <x:f>IF(E443="","",VLOOKUP(E443,Courses!$A$5:$G$10,2,FALSE))</x:f>
      </x:c>
      <x:c r="G443" s="47" t="str">
        <x:f>IF(E443="","",VLOOKUP(E443,Courses!$A$5:$G$10,3,FALSE))</x:f>
      </x:c>
      <x:c r="H443" s="9"/>
      <x:c r="I443" s="9"/>
      <x:c r="J443" s="51" t="str">
        <x:f>IF(I443="","",VLOOKUP(E443,Courses!$A$5:$G$10,6,FALSE))</x:f>
      </x:c>
      <x:c r="K443" s="47" t="n">
        <x:f>IF(AND(H443="Paid",I443&lt;&gt;""),G443*J443,0)</x:f>
        <x:v>0</x:v>
      </x:c>
      <x:c r="L443" s="9"/>
      <x:c r="M443" s="9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9"/>
      <x:c r="B444" s="9"/>
      <x:c r="C444" s="43"/>
      <x:c r="D444" s="9"/>
      <x:c r="E444" s="9"/>
      <x:c r="F444" s="6" t="str">
        <x:f>IF(E444="","",VLOOKUP(E444,Courses!$A$5:$G$10,2,FALSE))</x:f>
      </x:c>
      <x:c r="G444" s="47" t="str">
        <x:f>IF(E444="","",VLOOKUP(E444,Courses!$A$5:$G$10,3,FALSE))</x:f>
      </x:c>
      <x:c r="H444" s="9"/>
      <x:c r="I444" s="9"/>
      <x:c r="J444" s="51" t="str">
        <x:f>IF(I444="","",VLOOKUP(E444,Courses!$A$5:$G$10,6,FALSE))</x:f>
      </x:c>
      <x:c r="K444" s="47" t="n">
        <x:f>IF(AND(H444="Paid",I444&lt;&gt;""),G444*J444,0)</x:f>
        <x:v>0</x:v>
      </x:c>
      <x:c r="L444" s="9"/>
      <x:c r="M444" s="9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9"/>
      <x:c r="B445" s="9"/>
      <x:c r="C445" s="43"/>
      <x:c r="D445" s="9"/>
      <x:c r="E445" s="9"/>
      <x:c r="F445" s="6" t="str">
        <x:f>IF(E445="","",VLOOKUP(E445,Courses!$A$5:$G$10,2,FALSE))</x:f>
      </x:c>
      <x:c r="G445" s="47" t="str">
        <x:f>IF(E445="","",VLOOKUP(E445,Courses!$A$5:$G$10,3,FALSE))</x:f>
      </x:c>
      <x:c r="H445" s="9"/>
      <x:c r="I445" s="9"/>
      <x:c r="J445" s="51" t="str">
        <x:f>IF(I445="","",VLOOKUP(E445,Courses!$A$5:$G$10,6,FALSE))</x:f>
      </x:c>
      <x:c r="K445" s="47" t="n">
        <x:f>IF(AND(H445="Paid",I445&lt;&gt;""),G445*J445,0)</x:f>
        <x:v>0</x:v>
      </x:c>
      <x:c r="L445" s="9"/>
      <x:c r="M445" s="9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9"/>
      <x:c r="B446" s="9"/>
      <x:c r="C446" s="43"/>
      <x:c r="D446" s="9"/>
      <x:c r="E446" s="9"/>
      <x:c r="F446" s="6" t="str">
        <x:f>IF(E446="","",VLOOKUP(E446,Courses!$A$5:$G$10,2,FALSE))</x:f>
      </x:c>
      <x:c r="G446" s="47" t="str">
        <x:f>IF(E446="","",VLOOKUP(E446,Courses!$A$5:$G$10,3,FALSE))</x:f>
      </x:c>
      <x:c r="H446" s="9"/>
      <x:c r="I446" s="9"/>
      <x:c r="J446" s="51" t="str">
        <x:f>IF(I446="","",VLOOKUP(E446,Courses!$A$5:$G$10,6,FALSE))</x:f>
      </x:c>
      <x:c r="K446" s="47" t="n">
        <x:f>IF(AND(H446="Paid",I446&lt;&gt;""),G446*J446,0)</x:f>
        <x:v>0</x:v>
      </x:c>
      <x:c r="L446" s="9"/>
      <x:c r="M446" s="9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9"/>
      <x:c r="B447" s="9"/>
      <x:c r="C447" s="43"/>
      <x:c r="D447" s="9"/>
      <x:c r="E447" s="9"/>
      <x:c r="F447" s="6" t="str">
        <x:f>IF(E447="","",VLOOKUP(E447,Courses!$A$5:$G$10,2,FALSE))</x:f>
      </x:c>
      <x:c r="G447" s="47" t="str">
        <x:f>IF(E447="","",VLOOKUP(E447,Courses!$A$5:$G$10,3,FALSE))</x:f>
      </x:c>
      <x:c r="H447" s="9"/>
      <x:c r="I447" s="9"/>
      <x:c r="J447" s="51" t="str">
        <x:f>IF(I447="","",VLOOKUP(E447,Courses!$A$5:$G$10,6,FALSE))</x:f>
      </x:c>
      <x:c r="K447" s="47" t="n">
        <x:f>IF(AND(H447="Paid",I447&lt;&gt;""),G447*J447,0)</x:f>
        <x:v>0</x:v>
      </x:c>
      <x:c r="L447" s="9"/>
      <x:c r="M447" s="9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9"/>
      <x:c r="B448" s="9"/>
      <x:c r="C448" s="43"/>
      <x:c r="D448" s="9"/>
      <x:c r="E448" s="9"/>
      <x:c r="F448" s="6" t="str">
        <x:f>IF(E448="","",VLOOKUP(E448,Courses!$A$5:$G$10,2,FALSE))</x:f>
      </x:c>
      <x:c r="G448" s="47" t="str">
        <x:f>IF(E448="","",VLOOKUP(E448,Courses!$A$5:$G$10,3,FALSE))</x:f>
      </x:c>
      <x:c r="H448" s="9"/>
      <x:c r="I448" s="9"/>
      <x:c r="J448" s="51" t="str">
        <x:f>IF(I448="","",VLOOKUP(E448,Courses!$A$5:$G$10,6,FALSE))</x:f>
      </x:c>
      <x:c r="K448" s="47" t="n">
        <x:f>IF(AND(H448="Paid",I448&lt;&gt;""),G448*J448,0)</x:f>
        <x:v>0</x:v>
      </x:c>
      <x:c r="L448" s="9"/>
      <x:c r="M448" s="9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9"/>
      <x:c r="B449" s="9"/>
      <x:c r="C449" s="43"/>
      <x:c r="D449" s="9"/>
      <x:c r="E449" s="9"/>
      <x:c r="F449" s="6" t="str">
        <x:f>IF(E449="","",VLOOKUP(E449,Courses!$A$5:$G$10,2,FALSE))</x:f>
      </x:c>
      <x:c r="G449" s="47" t="str">
        <x:f>IF(E449="","",VLOOKUP(E449,Courses!$A$5:$G$10,3,FALSE))</x:f>
      </x:c>
      <x:c r="H449" s="9"/>
      <x:c r="I449" s="9"/>
      <x:c r="J449" s="51" t="str">
        <x:f>IF(I449="","",VLOOKUP(E449,Courses!$A$5:$G$10,6,FALSE))</x:f>
      </x:c>
      <x:c r="K449" s="47" t="n">
        <x:f>IF(AND(H449="Paid",I449&lt;&gt;""),G449*J449,0)</x:f>
        <x:v>0</x:v>
      </x:c>
      <x:c r="L449" s="9"/>
      <x:c r="M449" s="9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9"/>
      <x:c r="B450" s="9"/>
      <x:c r="C450" s="43"/>
      <x:c r="D450" s="9"/>
      <x:c r="E450" s="9"/>
      <x:c r="F450" s="6" t="str">
        <x:f>IF(E450="","",VLOOKUP(E450,Courses!$A$5:$G$10,2,FALSE))</x:f>
      </x:c>
      <x:c r="G450" s="47" t="str">
        <x:f>IF(E450="","",VLOOKUP(E450,Courses!$A$5:$G$10,3,FALSE))</x:f>
      </x:c>
      <x:c r="H450" s="9"/>
      <x:c r="I450" s="9"/>
      <x:c r="J450" s="51" t="str">
        <x:f>IF(I450="","",VLOOKUP(E450,Courses!$A$5:$G$10,6,FALSE))</x:f>
      </x:c>
      <x:c r="K450" s="47" t="n">
        <x:f>IF(AND(H450="Paid",I450&lt;&gt;""),G450*J450,0)</x:f>
        <x:v>0</x:v>
      </x:c>
      <x:c r="L450" s="9"/>
      <x:c r="M450" s="9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9"/>
      <x:c r="B451" s="9"/>
      <x:c r="C451" s="43"/>
      <x:c r="D451" s="9"/>
      <x:c r="E451" s="9"/>
      <x:c r="F451" s="6" t="str">
        <x:f>IF(E451="","",VLOOKUP(E451,Courses!$A$5:$G$10,2,FALSE))</x:f>
      </x:c>
      <x:c r="G451" s="47" t="str">
        <x:f>IF(E451="","",VLOOKUP(E451,Courses!$A$5:$G$10,3,FALSE))</x:f>
      </x:c>
      <x:c r="H451" s="9"/>
      <x:c r="I451" s="9"/>
      <x:c r="J451" s="51" t="str">
        <x:f>IF(I451="","",VLOOKUP(E451,Courses!$A$5:$G$10,6,FALSE))</x:f>
      </x:c>
      <x:c r="K451" s="47" t="n">
        <x:f>IF(AND(H451="Paid",I451&lt;&gt;""),G451*J451,0)</x:f>
        <x:v>0</x:v>
      </x:c>
      <x:c r="L451" s="9"/>
      <x:c r="M451" s="9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9"/>
      <x:c r="B452" s="9"/>
      <x:c r="C452" s="43"/>
      <x:c r="D452" s="9"/>
      <x:c r="E452" s="9"/>
      <x:c r="F452" s="6" t="str">
        <x:f>IF(E452="","",VLOOKUP(E452,Courses!$A$5:$G$10,2,FALSE))</x:f>
      </x:c>
      <x:c r="G452" s="47" t="str">
        <x:f>IF(E452="","",VLOOKUP(E452,Courses!$A$5:$G$10,3,FALSE))</x:f>
      </x:c>
      <x:c r="H452" s="9"/>
      <x:c r="I452" s="9"/>
      <x:c r="J452" s="51" t="str">
        <x:f>IF(I452="","",VLOOKUP(E452,Courses!$A$5:$G$10,6,FALSE))</x:f>
      </x:c>
      <x:c r="K452" s="47" t="n">
        <x:f>IF(AND(H452="Paid",I452&lt;&gt;""),G452*J452,0)</x:f>
        <x:v>0</x:v>
      </x:c>
      <x:c r="L452" s="9"/>
      <x:c r="M452" s="9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9"/>
      <x:c r="B453" s="9"/>
      <x:c r="C453" s="43"/>
      <x:c r="D453" s="9"/>
      <x:c r="E453" s="9"/>
      <x:c r="F453" s="6" t="str">
        <x:f>IF(E453="","",VLOOKUP(E453,Courses!$A$5:$G$10,2,FALSE))</x:f>
      </x:c>
      <x:c r="G453" s="47" t="str">
        <x:f>IF(E453="","",VLOOKUP(E453,Courses!$A$5:$G$10,3,FALSE))</x:f>
      </x:c>
      <x:c r="H453" s="9"/>
      <x:c r="I453" s="9"/>
      <x:c r="J453" s="51" t="str">
        <x:f>IF(I453="","",VLOOKUP(E453,Courses!$A$5:$G$10,6,FALSE))</x:f>
      </x:c>
      <x:c r="K453" s="47" t="n">
        <x:f>IF(AND(H453="Paid",I453&lt;&gt;""),G453*J453,0)</x:f>
        <x:v>0</x:v>
      </x:c>
      <x:c r="L453" s="9"/>
      <x:c r="M453" s="9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9"/>
      <x:c r="B454" s="9"/>
      <x:c r="C454" s="43"/>
      <x:c r="D454" s="9"/>
      <x:c r="E454" s="9"/>
      <x:c r="F454" s="6" t="str">
        <x:f>IF(E454="","",VLOOKUP(E454,Courses!$A$5:$G$10,2,FALSE))</x:f>
      </x:c>
      <x:c r="G454" s="47" t="str">
        <x:f>IF(E454="","",VLOOKUP(E454,Courses!$A$5:$G$10,3,FALSE))</x:f>
      </x:c>
      <x:c r="H454" s="9"/>
      <x:c r="I454" s="9"/>
      <x:c r="J454" s="51" t="str">
        <x:f>IF(I454="","",VLOOKUP(E454,Courses!$A$5:$G$10,6,FALSE))</x:f>
      </x:c>
      <x:c r="K454" s="47" t="n">
        <x:f>IF(AND(H454="Paid",I454&lt;&gt;""),G454*J454,0)</x:f>
        <x:v>0</x:v>
      </x:c>
      <x:c r="L454" s="9"/>
      <x:c r="M454" s="9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9"/>
      <x:c r="B455" s="9"/>
      <x:c r="C455" s="43"/>
      <x:c r="D455" s="9"/>
      <x:c r="E455" s="9"/>
      <x:c r="F455" s="6" t="str">
        <x:f>IF(E455="","",VLOOKUP(E455,Courses!$A$5:$G$10,2,FALSE))</x:f>
      </x:c>
      <x:c r="G455" s="47" t="str">
        <x:f>IF(E455="","",VLOOKUP(E455,Courses!$A$5:$G$10,3,FALSE))</x:f>
      </x:c>
      <x:c r="H455" s="9"/>
      <x:c r="I455" s="9"/>
      <x:c r="J455" s="51" t="str">
        <x:f>IF(I455="","",VLOOKUP(E455,Courses!$A$5:$G$10,6,FALSE))</x:f>
      </x:c>
      <x:c r="K455" s="47" t="n">
        <x:f>IF(AND(H455="Paid",I455&lt;&gt;""),G455*J455,0)</x:f>
        <x:v>0</x:v>
      </x:c>
      <x:c r="L455" s="9"/>
      <x:c r="M455" s="9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9"/>
      <x:c r="B456" s="9"/>
      <x:c r="C456" s="43"/>
      <x:c r="D456" s="9"/>
      <x:c r="E456" s="9"/>
      <x:c r="F456" s="6" t="str">
        <x:f>IF(E456="","",VLOOKUP(E456,Courses!$A$5:$G$10,2,FALSE))</x:f>
      </x:c>
      <x:c r="G456" s="47" t="str">
        <x:f>IF(E456="","",VLOOKUP(E456,Courses!$A$5:$G$10,3,FALSE))</x:f>
      </x:c>
      <x:c r="H456" s="9"/>
      <x:c r="I456" s="9"/>
      <x:c r="J456" s="51" t="str">
        <x:f>IF(I456="","",VLOOKUP(E456,Courses!$A$5:$G$10,6,FALSE))</x:f>
      </x:c>
      <x:c r="K456" s="47" t="n">
        <x:f>IF(AND(H456="Paid",I456&lt;&gt;""),G456*J456,0)</x:f>
        <x:v>0</x:v>
      </x:c>
      <x:c r="L456" s="9"/>
      <x:c r="M456" s="9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9"/>
      <x:c r="B457" s="9"/>
      <x:c r="C457" s="43"/>
      <x:c r="D457" s="9"/>
      <x:c r="E457" s="9"/>
      <x:c r="F457" s="6" t="str">
        <x:f>IF(E457="","",VLOOKUP(E457,Courses!$A$5:$G$10,2,FALSE))</x:f>
      </x:c>
      <x:c r="G457" s="47" t="str">
        <x:f>IF(E457="","",VLOOKUP(E457,Courses!$A$5:$G$10,3,FALSE))</x:f>
      </x:c>
      <x:c r="H457" s="9"/>
      <x:c r="I457" s="9"/>
      <x:c r="J457" s="51" t="str">
        <x:f>IF(I457="","",VLOOKUP(E457,Courses!$A$5:$G$10,6,FALSE))</x:f>
      </x:c>
      <x:c r="K457" s="47" t="n">
        <x:f>IF(AND(H457="Paid",I457&lt;&gt;""),G457*J457,0)</x:f>
        <x:v>0</x:v>
      </x:c>
      <x:c r="L457" s="9"/>
      <x:c r="M457" s="9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9"/>
      <x:c r="B458" s="9"/>
      <x:c r="C458" s="43"/>
      <x:c r="D458" s="9"/>
      <x:c r="E458" s="9"/>
      <x:c r="F458" s="6" t="str">
        <x:f>IF(E458="","",VLOOKUP(E458,Courses!$A$5:$G$10,2,FALSE))</x:f>
      </x:c>
      <x:c r="G458" s="47" t="str">
        <x:f>IF(E458="","",VLOOKUP(E458,Courses!$A$5:$G$10,3,FALSE))</x:f>
      </x:c>
      <x:c r="H458" s="9"/>
      <x:c r="I458" s="9"/>
      <x:c r="J458" s="51" t="str">
        <x:f>IF(I458="","",VLOOKUP(E458,Courses!$A$5:$G$10,6,FALSE))</x:f>
      </x:c>
      <x:c r="K458" s="47" t="n">
        <x:f>IF(AND(H458="Paid",I458&lt;&gt;""),G458*J458,0)</x:f>
        <x:v>0</x:v>
      </x:c>
      <x:c r="L458" s="9"/>
      <x:c r="M458" s="9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9"/>
      <x:c r="B459" s="9"/>
      <x:c r="C459" s="43"/>
      <x:c r="D459" s="9"/>
      <x:c r="E459" s="9"/>
      <x:c r="F459" s="6" t="str">
        <x:f>IF(E459="","",VLOOKUP(E459,Courses!$A$5:$G$10,2,FALSE))</x:f>
      </x:c>
      <x:c r="G459" s="47" t="str">
        <x:f>IF(E459="","",VLOOKUP(E459,Courses!$A$5:$G$10,3,FALSE))</x:f>
      </x:c>
      <x:c r="H459" s="9"/>
      <x:c r="I459" s="9"/>
      <x:c r="J459" s="51" t="str">
        <x:f>IF(I459="","",VLOOKUP(E459,Courses!$A$5:$G$10,6,FALSE))</x:f>
      </x:c>
      <x:c r="K459" s="47" t="n">
        <x:f>IF(AND(H459="Paid",I459&lt;&gt;""),G459*J459,0)</x:f>
        <x:v>0</x:v>
      </x:c>
      <x:c r="L459" s="9"/>
      <x:c r="M459" s="9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9"/>
      <x:c r="B460" s="9"/>
      <x:c r="C460" s="43"/>
      <x:c r="D460" s="9"/>
      <x:c r="E460" s="9"/>
      <x:c r="F460" s="6" t="str">
        <x:f>IF(E460="","",VLOOKUP(E460,Courses!$A$5:$G$10,2,FALSE))</x:f>
      </x:c>
      <x:c r="G460" s="47" t="str">
        <x:f>IF(E460="","",VLOOKUP(E460,Courses!$A$5:$G$10,3,FALSE))</x:f>
      </x:c>
      <x:c r="H460" s="9"/>
      <x:c r="I460" s="9"/>
      <x:c r="J460" s="51" t="str">
        <x:f>IF(I460="","",VLOOKUP(E460,Courses!$A$5:$G$10,6,FALSE))</x:f>
      </x:c>
      <x:c r="K460" s="47" t="n">
        <x:f>IF(AND(H460="Paid",I460&lt;&gt;""),G460*J460,0)</x:f>
        <x:v>0</x:v>
      </x:c>
      <x:c r="L460" s="9"/>
      <x:c r="M460" s="9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9"/>
      <x:c r="B461" s="9"/>
      <x:c r="C461" s="43"/>
      <x:c r="D461" s="9"/>
      <x:c r="E461" s="9"/>
      <x:c r="F461" s="6" t="str">
        <x:f>IF(E461="","",VLOOKUP(E461,Courses!$A$5:$G$10,2,FALSE))</x:f>
      </x:c>
      <x:c r="G461" s="47" t="str">
        <x:f>IF(E461="","",VLOOKUP(E461,Courses!$A$5:$G$10,3,FALSE))</x:f>
      </x:c>
      <x:c r="H461" s="9"/>
      <x:c r="I461" s="9"/>
      <x:c r="J461" s="51" t="str">
        <x:f>IF(I461="","",VLOOKUP(E461,Courses!$A$5:$G$10,6,FALSE))</x:f>
      </x:c>
      <x:c r="K461" s="47" t="n">
        <x:f>IF(AND(H461="Paid",I461&lt;&gt;""),G461*J461,0)</x:f>
        <x:v>0</x:v>
      </x:c>
      <x:c r="L461" s="9"/>
      <x:c r="M461" s="9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9"/>
      <x:c r="B462" s="9"/>
      <x:c r="C462" s="43"/>
      <x:c r="D462" s="9"/>
      <x:c r="E462" s="9"/>
      <x:c r="F462" s="6" t="str">
        <x:f>IF(E462="","",VLOOKUP(E462,Courses!$A$5:$G$10,2,FALSE))</x:f>
      </x:c>
      <x:c r="G462" s="47" t="str">
        <x:f>IF(E462="","",VLOOKUP(E462,Courses!$A$5:$G$10,3,FALSE))</x:f>
      </x:c>
      <x:c r="H462" s="9"/>
      <x:c r="I462" s="9"/>
      <x:c r="J462" s="51" t="str">
        <x:f>IF(I462="","",VLOOKUP(E462,Courses!$A$5:$G$10,6,FALSE))</x:f>
      </x:c>
      <x:c r="K462" s="47" t="n">
        <x:f>IF(AND(H462="Paid",I462&lt;&gt;""),G462*J462,0)</x:f>
        <x:v>0</x:v>
      </x:c>
      <x:c r="L462" s="9"/>
      <x:c r="M462" s="9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9"/>
      <x:c r="B463" s="9"/>
      <x:c r="C463" s="43"/>
      <x:c r="D463" s="9"/>
      <x:c r="E463" s="9"/>
      <x:c r="F463" s="6" t="str">
        <x:f>IF(E463="","",VLOOKUP(E463,Courses!$A$5:$G$10,2,FALSE))</x:f>
      </x:c>
      <x:c r="G463" s="47" t="str">
        <x:f>IF(E463="","",VLOOKUP(E463,Courses!$A$5:$G$10,3,FALSE))</x:f>
      </x:c>
      <x:c r="H463" s="9"/>
      <x:c r="I463" s="9"/>
      <x:c r="J463" s="51" t="str">
        <x:f>IF(I463="","",VLOOKUP(E463,Courses!$A$5:$G$10,6,FALSE))</x:f>
      </x:c>
      <x:c r="K463" s="47" t="n">
        <x:f>IF(AND(H463="Paid",I463&lt;&gt;""),G463*J463,0)</x:f>
        <x:v>0</x:v>
      </x:c>
      <x:c r="L463" s="9"/>
      <x:c r="M463" s="9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9"/>
      <x:c r="B464" s="9"/>
      <x:c r="C464" s="43"/>
      <x:c r="D464" s="9"/>
      <x:c r="E464" s="9"/>
      <x:c r="F464" s="6" t="str">
        <x:f>IF(E464="","",VLOOKUP(E464,Courses!$A$5:$G$10,2,FALSE))</x:f>
      </x:c>
      <x:c r="G464" s="47" t="str">
        <x:f>IF(E464="","",VLOOKUP(E464,Courses!$A$5:$G$10,3,FALSE))</x:f>
      </x:c>
      <x:c r="H464" s="9"/>
      <x:c r="I464" s="9"/>
      <x:c r="J464" s="51" t="str">
        <x:f>IF(I464="","",VLOOKUP(E464,Courses!$A$5:$G$10,6,FALSE))</x:f>
      </x:c>
      <x:c r="K464" s="47" t="n">
        <x:f>IF(AND(H464="Paid",I464&lt;&gt;""),G464*J464,0)</x:f>
        <x:v>0</x:v>
      </x:c>
      <x:c r="L464" s="9"/>
      <x:c r="M464" s="9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9"/>
      <x:c r="B465" s="9"/>
      <x:c r="C465" s="43"/>
      <x:c r="D465" s="9"/>
      <x:c r="E465" s="9"/>
      <x:c r="F465" s="6" t="str">
        <x:f>IF(E465="","",VLOOKUP(E465,Courses!$A$5:$G$10,2,FALSE))</x:f>
      </x:c>
      <x:c r="G465" s="47" t="str">
        <x:f>IF(E465="","",VLOOKUP(E465,Courses!$A$5:$G$10,3,FALSE))</x:f>
      </x:c>
      <x:c r="H465" s="9"/>
      <x:c r="I465" s="9"/>
      <x:c r="J465" s="51" t="str">
        <x:f>IF(I465="","",VLOOKUP(E465,Courses!$A$5:$G$10,6,FALSE))</x:f>
      </x:c>
      <x:c r="K465" s="47" t="n">
        <x:f>IF(AND(H465="Paid",I465&lt;&gt;""),G465*J465,0)</x:f>
        <x:v>0</x:v>
      </x:c>
      <x:c r="L465" s="9"/>
      <x:c r="M465" s="9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9"/>
      <x:c r="B466" s="9"/>
      <x:c r="C466" s="43"/>
      <x:c r="D466" s="9"/>
      <x:c r="E466" s="9"/>
      <x:c r="F466" s="6" t="str">
        <x:f>IF(E466="","",VLOOKUP(E466,Courses!$A$5:$G$10,2,FALSE))</x:f>
      </x:c>
      <x:c r="G466" s="47" t="str">
        <x:f>IF(E466="","",VLOOKUP(E466,Courses!$A$5:$G$10,3,FALSE))</x:f>
      </x:c>
      <x:c r="H466" s="9"/>
      <x:c r="I466" s="9"/>
      <x:c r="J466" s="51" t="str">
        <x:f>IF(I466="","",VLOOKUP(E466,Courses!$A$5:$G$10,6,FALSE))</x:f>
      </x:c>
      <x:c r="K466" s="47" t="n">
        <x:f>IF(AND(H466="Paid",I466&lt;&gt;""),G466*J466,0)</x:f>
        <x:v>0</x:v>
      </x:c>
      <x:c r="L466" s="9"/>
      <x:c r="M466" s="9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9"/>
      <x:c r="B467" s="9"/>
      <x:c r="C467" s="43"/>
      <x:c r="D467" s="9"/>
      <x:c r="E467" s="9"/>
      <x:c r="F467" s="6" t="str">
        <x:f>IF(E467="","",VLOOKUP(E467,Courses!$A$5:$G$10,2,FALSE))</x:f>
      </x:c>
      <x:c r="G467" s="47" t="str">
        <x:f>IF(E467="","",VLOOKUP(E467,Courses!$A$5:$G$10,3,FALSE))</x:f>
      </x:c>
      <x:c r="H467" s="9"/>
      <x:c r="I467" s="9"/>
      <x:c r="J467" s="51" t="str">
        <x:f>IF(I467="","",VLOOKUP(E467,Courses!$A$5:$G$10,6,FALSE))</x:f>
      </x:c>
      <x:c r="K467" s="47" t="n">
        <x:f>IF(AND(H467="Paid",I467&lt;&gt;""),G467*J467,0)</x:f>
        <x:v>0</x:v>
      </x:c>
      <x:c r="L467" s="9"/>
      <x:c r="M467" s="9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9"/>
      <x:c r="B468" s="9"/>
      <x:c r="C468" s="43"/>
      <x:c r="D468" s="9"/>
      <x:c r="E468" s="9"/>
      <x:c r="F468" s="6" t="str">
        <x:f>IF(E468="","",VLOOKUP(E468,Courses!$A$5:$G$10,2,FALSE))</x:f>
      </x:c>
      <x:c r="G468" s="47" t="str">
        <x:f>IF(E468="","",VLOOKUP(E468,Courses!$A$5:$G$10,3,FALSE))</x:f>
      </x:c>
      <x:c r="H468" s="9"/>
      <x:c r="I468" s="9"/>
      <x:c r="J468" s="51" t="str">
        <x:f>IF(I468="","",VLOOKUP(E468,Courses!$A$5:$G$10,6,FALSE))</x:f>
      </x:c>
      <x:c r="K468" s="47" t="n">
        <x:f>IF(AND(H468="Paid",I468&lt;&gt;""),G468*J468,0)</x:f>
        <x:v>0</x:v>
      </x:c>
      <x:c r="L468" s="9"/>
      <x:c r="M468" s="9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9"/>
      <x:c r="B469" s="9"/>
      <x:c r="C469" s="43"/>
      <x:c r="D469" s="9"/>
      <x:c r="E469" s="9"/>
      <x:c r="F469" s="6" t="str">
        <x:f>IF(E469="","",VLOOKUP(E469,Courses!$A$5:$G$10,2,FALSE))</x:f>
      </x:c>
      <x:c r="G469" s="47" t="str">
        <x:f>IF(E469="","",VLOOKUP(E469,Courses!$A$5:$G$10,3,FALSE))</x:f>
      </x:c>
      <x:c r="H469" s="9"/>
      <x:c r="I469" s="9"/>
      <x:c r="J469" s="51" t="str">
        <x:f>IF(I469="","",VLOOKUP(E469,Courses!$A$5:$G$10,6,FALSE))</x:f>
      </x:c>
      <x:c r="K469" s="47" t="n">
        <x:f>IF(AND(H469="Paid",I469&lt;&gt;""),G469*J469,0)</x:f>
        <x:v>0</x:v>
      </x:c>
      <x:c r="L469" s="9"/>
      <x:c r="M469" s="9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9"/>
      <x:c r="B470" s="9"/>
      <x:c r="C470" s="43"/>
      <x:c r="D470" s="9"/>
      <x:c r="E470" s="9"/>
      <x:c r="F470" s="6" t="str">
        <x:f>IF(E470="","",VLOOKUP(E470,Courses!$A$5:$G$10,2,FALSE))</x:f>
      </x:c>
      <x:c r="G470" s="47" t="str">
        <x:f>IF(E470="","",VLOOKUP(E470,Courses!$A$5:$G$10,3,FALSE))</x:f>
      </x:c>
      <x:c r="H470" s="9"/>
      <x:c r="I470" s="9"/>
      <x:c r="J470" s="51" t="str">
        <x:f>IF(I470="","",VLOOKUP(E470,Courses!$A$5:$G$10,6,FALSE))</x:f>
      </x:c>
      <x:c r="K470" s="47" t="n">
        <x:f>IF(AND(H470="Paid",I470&lt;&gt;""),G470*J470,0)</x:f>
        <x:v>0</x:v>
      </x:c>
      <x:c r="L470" s="9"/>
      <x:c r="M470" s="9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9"/>
      <x:c r="B471" s="9"/>
      <x:c r="C471" s="43"/>
      <x:c r="D471" s="9"/>
      <x:c r="E471" s="9"/>
      <x:c r="F471" s="6" t="str">
        <x:f>IF(E471="","",VLOOKUP(E471,Courses!$A$5:$G$10,2,FALSE))</x:f>
      </x:c>
      <x:c r="G471" s="47" t="str">
        <x:f>IF(E471="","",VLOOKUP(E471,Courses!$A$5:$G$10,3,FALSE))</x:f>
      </x:c>
      <x:c r="H471" s="9"/>
      <x:c r="I471" s="9"/>
      <x:c r="J471" s="51" t="str">
        <x:f>IF(I471="","",VLOOKUP(E471,Courses!$A$5:$G$10,6,FALSE))</x:f>
      </x:c>
      <x:c r="K471" s="47" t="n">
        <x:f>IF(AND(H471="Paid",I471&lt;&gt;""),G471*J471,0)</x:f>
        <x:v>0</x:v>
      </x:c>
      <x:c r="L471" s="9"/>
      <x:c r="M471" s="9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9"/>
      <x:c r="B472" s="9"/>
      <x:c r="C472" s="43"/>
      <x:c r="D472" s="9"/>
      <x:c r="E472" s="9"/>
      <x:c r="F472" s="6" t="str">
        <x:f>IF(E472="","",VLOOKUP(E472,Courses!$A$5:$G$10,2,FALSE))</x:f>
      </x:c>
      <x:c r="G472" s="47" t="str">
        <x:f>IF(E472="","",VLOOKUP(E472,Courses!$A$5:$G$10,3,FALSE))</x:f>
      </x:c>
      <x:c r="H472" s="9"/>
      <x:c r="I472" s="9"/>
      <x:c r="J472" s="51" t="str">
        <x:f>IF(I472="","",VLOOKUP(E472,Courses!$A$5:$G$10,6,FALSE))</x:f>
      </x:c>
      <x:c r="K472" s="47" t="n">
        <x:f>IF(AND(H472="Paid",I472&lt;&gt;""),G472*J472,0)</x:f>
        <x:v>0</x:v>
      </x:c>
      <x:c r="L472" s="9"/>
      <x:c r="M472" s="9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9"/>
      <x:c r="B473" s="9"/>
      <x:c r="C473" s="43"/>
      <x:c r="D473" s="9"/>
      <x:c r="E473" s="9"/>
      <x:c r="F473" s="6" t="str">
        <x:f>IF(E473="","",VLOOKUP(E473,Courses!$A$5:$G$10,2,FALSE))</x:f>
      </x:c>
      <x:c r="G473" s="47" t="str">
        <x:f>IF(E473="","",VLOOKUP(E473,Courses!$A$5:$G$10,3,FALSE))</x:f>
      </x:c>
      <x:c r="H473" s="9"/>
      <x:c r="I473" s="9"/>
      <x:c r="J473" s="51" t="str">
        <x:f>IF(I473="","",VLOOKUP(E473,Courses!$A$5:$G$10,6,FALSE))</x:f>
      </x:c>
      <x:c r="K473" s="47" t="n">
        <x:f>IF(AND(H473="Paid",I473&lt;&gt;""),G473*J473,0)</x:f>
        <x:v>0</x:v>
      </x:c>
      <x:c r="L473" s="9"/>
      <x:c r="M473" s="9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9"/>
      <x:c r="B474" s="9"/>
      <x:c r="C474" s="43"/>
      <x:c r="D474" s="9"/>
      <x:c r="E474" s="9"/>
      <x:c r="F474" s="6" t="str">
        <x:f>IF(E474="","",VLOOKUP(E474,Courses!$A$5:$G$10,2,FALSE))</x:f>
      </x:c>
      <x:c r="G474" s="47" t="str">
        <x:f>IF(E474="","",VLOOKUP(E474,Courses!$A$5:$G$10,3,FALSE))</x:f>
      </x:c>
      <x:c r="H474" s="9"/>
      <x:c r="I474" s="9"/>
      <x:c r="J474" s="51" t="str">
        <x:f>IF(I474="","",VLOOKUP(E474,Courses!$A$5:$G$10,6,FALSE))</x:f>
      </x:c>
      <x:c r="K474" s="47" t="n">
        <x:f>IF(AND(H474="Paid",I474&lt;&gt;""),G474*J474,0)</x:f>
        <x:v>0</x:v>
      </x:c>
      <x:c r="L474" s="9"/>
      <x:c r="M474" s="9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9"/>
      <x:c r="B475" s="9"/>
      <x:c r="C475" s="43"/>
      <x:c r="D475" s="9"/>
      <x:c r="E475" s="9"/>
      <x:c r="F475" s="6" t="str">
        <x:f>IF(E475="","",VLOOKUP(E475,Courses!$A$5:$G$10,2,FALSE))</x:f>
      </x:c>
      <x:c r="G475" s="47" t="str">
        <x:f>IF(E475="","",VLOOKUP(E475,Courses!$A$5:$G$10,3,FALSE))</x:f>
      </x:c>
      <x:c r="H475" s="9"/>
      <x:c r="I475" s="9"/>
      <x:c r="J475" s="51" t="str">
        <x:f>IF(I475="","",VLOOKUP(E475,Courses!$A$5:$G$10,6,FALSE))</x:f>
      </x:c>
      <x:c r="K475" s="47" t="n">
        <x:f>IF(AND(H475="Paid",I475&lt;&gt;""),G475*J475,0)</x:f>
        <x:v>0</x:v>
      </x:c>
      <x:c r="L475" s="9"/>
      <x:c r="M475" s="9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9"/>
      <x:c r="B476" s="9"/>
      <x:c r="C476" s="43"/>
      <x:c r="D476" s="9"/>
      <x:c r="E476" s="9"/>
      <x:c r="F476" s="6" t="str">
        <x:f>IF(E476="","",VLOOKUP(E476,Courses!$A$5:$G$10,2,FALSE))</x:f>
      </x:c>
      <x:c r="G476" s="47" t="str">
        <x:f>IF(E476="","",VLOOKUP(E476,Courses!$A$5:$G$10,3,FALSE))</x:f>
      </x:c>
      <x:c r="H476" s="9"/>
      <x:c r="I476" s="9"/>
      <x:c r="J476" s="51" t="str">
        <x:f>IF(I476="","",VLOOKUP(E476,Courses!$A$5:$G$10,6,FALSE))</x:f>
      </x:c>
      <x:c r="K476" s="47" t="n">
        <x:f>IF(AND(H476="Paid",I476&lt;&gt;""),G476*J476,0)</x:f>
        <x:v>0</x:v>
      </x:c>
      <x:c r="L476" s="9"/>
      <x:c r="M476" s="9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9"/>
      <x:c r="B477" s="9"/>
      <x:c r="C477" s="43"/>
      <x:c r="D477" s="9"/>
      <x:c r="E477" s="9"/>
      <x:c r="F477" s="6" t="str">
        <x:f>IF(E477="","",VLOOKUP(E477,Courses!$A$5:$G$10,2,FALSE))</x:f>
      </x:c>
      <x:c r="G477" s="47" t="str">
        <x:f>IF(E477="","",VLOOKUP(E477,Courses!$A$5:$G$10,3,FALSE))</x:f>
      </x:c>
      <x:c r="H477" s="9"/>
      <x:c r="I477" s="9"/>
      <x:c r="J477" s="51" t="str">
        <x:f>IF(I477="","",VLOOKUP(E477,Courses!$A$5:$G$10,6,FALSE))</x:f>
      </x:c>
      <x:c r="K477" s="47" t="n">
        <x:f>IF(AND(H477="Paid",I477&lt;&gt;""),G477*J477,0)</x:f>
        <x:v>0</x:v>
      </x:c>
      <x:c r="L477" s="9"/>
      <x:c r="M477" s="9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9"/>
      <x:c r="B478" s="9"/>
      <x:c r="C478" s="43"/>
      <x:c r="D478" s="9"/>
      <x:c r="E478" s="9"/>
      <x:c r="F478" s="6" t="str">
        <x:f>IF(E478="","",VLOOKUP(E478,Courses!$A$5:$G$10,2,FALSE))</x:f>
      </x:c>
      <x:c r="G478" s="47" t="str">
        <x:f>IF(E478="","",VLOOKUP(E478,Courses!$A$5:$G$10,3,FALSE))</x:f>
      </x:c>
      <x:c r="H478" s="9"/>
      <x:c r="I478" s="9"/>
      <x:c r="J478" s="51" t="str">
        <x:f>IF(I478="","",VLOOKUP(E478,Courses!$A$5:$G$10,6,FALSE))</x:f>
      </x:c>
      <x:c r="K478" s="47" t="n">
        <x:f>IF(AND(H478="Paid",I478&lt;&gt;""),G478*J478,0)</x:f>
        <x:v>0</x:v>
      </x:c>
      <x:c r="L478" s="9"/>
      <x:c r="M478" s="9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9"/>
      <x:c r="B479" s="9"/>
      <x:c r="C479" s="43"/>
      <x:c r="D479" s="9"/>
      <x:c r="E479" s="9"/>
      <x:c r="F479" s="6" t="str">
        <x:f>IF(E479="","",VLOOKUP(E479,Courses!$A$5:$G$10,2,FALSE))</x:f>
      </x:c>
      <x:c r="G479" s="47" t="str">
        <x:f>IF(E479="","",VLOOKUP(E479,Courses!$A$5:$G$10,3,FALSE))</x:f>
      </x:c>
      <x:c r="H479" s="9"/>
      <x:c r="I479" s="9"/>
      <x:c r="J479" s="51" t="str">
        <x:f>IF(I479="","",VLOOKUP(E479,Courses!$A$5:$G$10,6,FALSE))</x:f>
      </x:c>
      <x:c r="K479" s="47" t="n">
        <x:f>IF(AND(H479="Paid",I479&lt;&gt;""),G479*J479,0)</x:f>
        <x:v>0</x:v>
      </x:c>
      <x:c r="L479" s="9"/>
      <x:c r="M479" s="9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9"/>
      <x:c r="B480" s="9"/>
      <x:c r="C480" s="43"/>
      <x:c r="D480" s="9"/>
      <x:c r="E480" s="9"/>
      <x:c r="F480" s="6" t="str">
        <x:f>IF(E480="","",VLOOKUP(E480,Courses!$A$5:$G$10,2,FALSE))</x:f>
      </x:c>
      <x:c r="G480" s="47" t="str">
        <x:f>IF(E480="","",VLOOKUP(E480,Courses!$A$5:$G$10,3,FALSE))</x:f>
      </x:c>
      <x:c r="H480" s="9"/>
      <x:c r="I480" s="9"/>
      <x:c r="J480" s="51" t="str">
        <x:f>IF(I480="","",VLOOKUP(E480,Courses!$A$5:$G$10,6,FALSE))</x:f>
      </x:c>
      <x:c r="K480" s="47" t="n">
        <x:f>IF(AND(H480="Paid",I480&lt;&gt;""),G480*J480,0)</x:f>
        <x:v>0</x:v>
      </x:c>
      <x:c r="L480" s="9"/>
      <x:c r="M480" s="9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9"/>
      <x:c r="B481" s="9"/>
      <x:c r="C481" s="43"/>
      <x:c r="D481" s="9"/>
      <x:c r="E481" s="9"/>
      <x:c r="F481" s="6" t="str">
        <x:f>IF(E481="","",VLOOKUP(E481,Courses!$A$5:$G$10,2,FALSE))</x:f>
      </x:c>
      <x:c r="G481" s="47" t="str">
        <x:f>IF(E481="","",VLOOKUP(E481,Courses!$A$5:$G$10,3,FALSE))</x:f>
      </x:c>
      <x:c r="H481" s="9"/>
      <x:c r="I481" s="9"/>
      <x:c r="J481" s="51" t="str">
        <x:f>IF(I481="","",VLOOKUP(E481,Courses!$A$5:$G$10,6,FALSE))</x:f>
      </x:c>
      <x:c r="K481" s="47" t="n">
        <x:f>IF(AND(H481="Paid",I481&lt;&gt;""),G481*J481,0)</x:f>
        <x:v>0</x:v>
      </x:c>
      <x:c r="L481" s="9"/>
      <x:c r="M481" s="9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9"/>
      <x:c r="B482" s="9"/>
      <x:c r="C482" s="43"/>
      <x:c r="D482" s="9"/>
      <x:c r="E482" s="9"/>
      <x:c r="F482" s="6" t="str">
        <x:f>IF(E482="","",VLOOKUP(E482,Courses!$A$5:$G$10,2,FALSE))</x:f>
      </x:c>
      <x:c r="G482" s="47" t="str">
        <x:f>IF(E482="","",VLOOKUP(E482,Courses!$A$5:$G$10,3,FALSE))</x:f>
      </x:c>
      <x:c r="H482" s="9"/>
      <x:c r="I482" s="9"/>
      <x:c r="J482" s="51" t="str">
        <x:f>IF(I482="","",VLOOKUP(E482,Courses!$A$5:$G$10,6,FALSE))</x:f>
      </x:c>
      <x:c r="K482" s="47" t="n">
        <x:f>IF(AND(H482="Paid",I482&lt;&gt;""),G482*J482,0)</x:f>
        <x:v>0</x:v>
      </x:c>
      <x:c r="L482" s="9"/>
      <x:c r="M482" s="9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9"/>
      <x:c r="B483" s="9"/>
      <x:c r="C483" s="43"/>
      <x:c r="D483" s="9"/>
      <x:c r="E483" s="9"/>
      <x:c r="F483" s="6" t="str">
        <x:f>IF(E483="","",VLOOKUP(E483,Courses!$A$5:$G$10,2,FALSE))</x:f>
      </x:c>
      <x:c r="G483" s="47" t="str">
        <x:f>IF(E483="","",VLOOKUP(E483,Courses!$A$5:$G$10,3,FALSE))</x:f>
      </x:c>
      <x:c r="H483" s="9"/>
      <x:c r="I483" s="9"/>
      <x:c r="J483" s="51" t="str">
        <x:f>IF(I483="","",VLOOKUP(E483,Courses!$A$5:$G$10,6,FALSE))</x:f>
      </x:c>
      <x:c r="K483" s="47" t="n">
        <x:f>IF(AND(H483="Paid",I483&lt;&gt;""),G483*J483,0)</x:f>
        <x:v>0</x:v>
      </x:c>
      <x:c r="L483" s="9"/>
      <x:c r="M483" s="9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9"/>
      <x:c r="B484" s="9"/>
      <x:c r="C484" s="43"/>
      <x:c r="D484" s="9"/>
      <x:c r="E484" s="9"/>
      <x:c r="F484" s="6" t="str">
        <x:f>IF(E484="","",VLOOKUP(E484,Courses!$A$5:$G$10,2,FALSE))</x:f>
      </x:c>
      <x:c r="G484" s="47" t="str">
        <x:f>IF(E484="","",VLOOKUP(E484,Courses!$A$5:$G$10,3,FALSE))</x:f>
      </x:c>
      <x:c r="H484" s="9"/>
      <x:c r="I484" s="9"/>
      <x:c r="J484" s="51" t="str">
        <x:f>IF(I484="","",VLOOKUP(E484,Courses!$A$5:$G$10,6,FALSE))</x:f>
      </x:c>
      <x:c r="K484" s="47" t="n">
        <x:f>IF(AND(H484="Paid",I484&lt;&gt;""),G484*J484,0)</x:f>
        <x:v>0</x:v>
      </x:c>
      <x:c r="L484" s="9"/>
      <x:c r="M484" s="9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9"/>
      <x:c r="B485" s="9"/>
      <x:c r="C485" s="43"/>
      <x:c r="D485" s="9"/>
      <x:c r="E485" s="9"/>
      <x:c r="F485" s="6" t="str">
        <x:f>IF(E485="","",VLOOKUP(E485,Courses!$A$5:$G$10,2,FALSE))</x:f>
      </x:c>
      <x:c r="G485" s="47" t="str">
        <x:f>IF(E485="","",VLOOKUP(E485,Courses!$A$5:$G$10,3,FALSE))</x:f>
      </x:c>
      <x:c r="H485" s="9"/>
      <x:c r="I485" s="9"/>
      <x:c r="J485" s="51" t="str">
        <x:f>IF(I485="","",VLOOKUP(E485,Courses!$A$5:$G$10,6,FALSE))</x:f>
      </x:c>
      <x:c r="K485" s="47" t="n">
        <x:f>IF(AND(H485="Paid",I485&lt;&gt;""),G485*J485,0)</x:f>
        <x:v>0</x:v>
      </x:c>
      <x:c r="L485" s="9"/>
      <x:c r="M485" s="9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9"/>
      <x:c r="B486" s="9"/>
      <x:c r="C486" s="43"/>
      <x:c r="D486" s="9"/>
      <x:c r="E486" s="9"/>
      <x:c r="F486" s="6" t="str">
        <x:f>IF(E486="","",VLOOKUP(E486,Courses!$A$5:$G$10,2,FALSE))</x:f>
      </x:c>
      <x:c r="G486" s="47" t="str">
        <x:f>IF(E486="","",VLOOKUP(E486,Courses!$A$5:$G$10,3,FALSE))</x:f>
      </x:c>
      <x:c r="H486" s="9"/>
      <x:c r="I486" s="9"/>
      <x:c r="J486" s="51" t="str">
        <x:f>IF(I486="","",VLOOKUP(E486,Courses!$A$5:$G$10,6,FALSE))</x:f>
      </x:c>
      <x:c r="K486" s="47" t="n">
        <x:f>IF(AND(H486="Paid",I486&lt;&gt;""),G486*J486,0)</x:f>
        <x:v>0</x:v>
      </x:c>
      <x:c r="L486" s="9"/>
      <x:c r="M486" s="9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9"/>
      <x:c r="B487" s="9"/>
      <x:c r="C487" s="43"/>
      <x:c r="D487" s="9"/>
      <x:c r="E487" s="9"/>
      <x:c r="F487" s="6" t="str">
        <x:f>IF(E487="","",VLOOKUP(E487,Courses!$A$5:$G$10,2,FALSE))</x:f>
      </x:c>
      <x:c r="G487" s="47" t="str">
        <x:f>IF(E487="","",VLOOKUP(E487,Courses!$A$5:$G$10,3,FALSE))</x:f>
      </x:c>
      <x:c r="H487" s="9"/>
      <x:c r="I487" s="9"/>
      <x:c r="J487" s="51" t="str">
        <x:f>IF(I487="","",VLOOKUP(E487,Courses!$A$5:$G$10,6,FALSE))</x:f>
      </x:c>
      <x:c r="K487" s="47" t="n">
        <x:f>IF(AND(H487="Paid",I487&lt;&gt;""),G487*J487,0)</x:f>
        <x:v>0</x:v>
      </x:c>
      <x:c r="L487" s="9"/>
      <x:c r="M487" s="9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9"/>
      <x:c r="B488" s="9"/>
      <x:c r="C488" s="43"/>
      <x:c r="D488" s="9"/>
      <x:c r="E488" s="9"/>
      <x:c r="F488" s="6" t="str">
        <x:f>IF(E488="","",VLOOKUP(E488,Courses!$A$5:$G$10,2,FALSE))</x:f>
      </x:c>
      <x:c r="G488" s="47" t="str">
        <x:f>IF(E488="","",VLOOKUP(E488,Courses!$A$5:$G$10,3,FALSE))</x:f>
      </x:c>
      <x:c r="H488" s="9"/>
      <x:c r="I488" s="9"/>
      <x:c r="J488" s="51" t="str">
        <x:f>IF(I488="","",VLOOKUP(E488,Courses!$A$5:$G$10,6,FALSE))</x:f>
      </x:c>
      <x:c r="K488" s="47" t="n">
        <x:f>IF(AND(H488="Paid",I488&lt;&gt;""),G488*J488,0)</x:f>
        <x:v>0</x:v>
      </x:c>
      <x:c r="L488" s="9"/>
      <x:c r="M488" s="9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9"/>
      <x:c r="B489" s="9"/>
      <x:c r="C489" s="43"/>
      <x:c r="D489" s="9"/>
      <x:c r="E489" s="9"/>
      <x:c r="F489" s="6" t="str">
        <x:f>IF(E489="","",VLOOKUP(E489,Courses!$A$5:$G$10,2,FALSE))</x:f>
      </x:c>
      <x:c r="G489" s="47" t="str">
        <x:f>IF(E489="","",VLOOKUP(E489,Courses!$A$5:$G$10,3,FALSE))</x:f>
      </x:c>
      <x:c r="H489" s="9"/>
      <x:c r="I489" s="9"/>
      <x:c r="J489" s="51" t="str">
        <x:f>IF(I489="","",VLOOKUP(E489,Courses!$A$5:$G$10,6,FALSE))</x:f>
      </x:c>
      <x:c r="K489" s="47" t="n">
        <x:f>IF(AND(H489="Paid",I489&lt;&gt;""),G489*J489,0)</x:f>
        <x:v>0</x:v>
      </x:c>
      <x:c r="L489" s="9"/>
      <x:c r="M489" s="9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9"/>
      <x:c r="B490" s="9"/>
      <x:c r="C490" s="43"/>
      <x:c r="D490" s="9"/>
      <x:c r="E490" s="9"/>
      <x:c r="F490" s="6" t="str">
        <x:f>IF(E490="","",VLOOKUP(E490,Courses!$A$5:$G$10,2,FALSE))</x:f>
      </x:c>
      <x:c r="G490" s="47" t="str">
        <x:f>IF(E490="","",VLOOKUP(E490,Courses!$A$5:$G$10,3,FALSE))</x:f>
      </x:c>
      <x:c r="H490" s="9"/>
      <x:c r="I490" s="9"/>
      <x:c r="J490" s="51" t="str">
        <x:f>IF(I490="","",VLOOKUP(E490,Courses!$A$5:$G$10,6,FALSE))</x:f>
      </x:c>
      <x:c r="K490" s="47" t="n">
        <x:f>IF(AND(H490="Paid",I490&lt;&gt;""),G490*J490,0)</x:f>
        <x:v>0</x:v>
      </x:c>
      <x:c r="L490" s="9"/>
      <x:c r="M490" s="9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9"/>
      <x:c r="B491" s="9"/>
      <x:c r="C491" s="43"/>
      <x:c r="D491" s="9"/>
      <x:c r="E491" s="9"/>
      <x:c r="F491" s="6" t="str">
        <x:f>IF(E491="","",VLOOKUP(E491,Courses!$A$5:$G$10,2,FALSE))</x:f>
      </x:c>
      <x:c r="G491" s="47" t="str">
        <x:f>IF(E491="","",VLOOKUP(E491,Courses!$A$5:$G$10,3,FALSE))</x:f>
      </x:c>
      <x:c r="H491" s="9"/>
      <x:c r="I491" s="9"/>
      <x:c r="J491" s="51" t="str">
        <x:f>IF(I491="","",VLOOKUP(E491,Courses!$A$5:$G$10,6,FALSE))</x:f>
      </x:c>
      <x:c r="K491" s="47" t="n">
        <x:f>IF(AND(H491="Paid",I491&lt;&gt;""),G491*J491,0)</x:f>
        <x:v>0</x:v>
      </x:c>
      <x:c r="L491" s="9"/>
      <x:c r="M491" s="9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9"/>
      <x:c r="B492" s="9"/>
      <x:c r="C492" s="43"/>
      <x:c r="D492" s="9"/>
      <x:c r="E492" s="9"/>
      <x:c r="F492" s="6" t="str">
        <x:f>IF(E492="","",VLOOKUP(E492,Courses!$A$5:$G$10,2,FALSE))</x:f>
      </x:c>
      <x:c r="G492" s="47" t="str">
        <x:f>IF(E492="","",VLOOKUP(E492,Courses!$A$5:$G$10,3,FALSE))</x:f>
      </x:c>
      <x:c r="H492" s="9"/>
      <x:c r="I492" s="9"/>
      <x:c r="J492" s="51" t="str">
        <x:f>IF(I492="","",VLOOKUP(E492,Courses!$A$5:$G$10,6,FALSE))</x:f>
      </x:c>
      <x:c r="K492" s="47" t="n">
        <x:f>IF(AND(H492="Paid",I492&lt;&gt;""),G492*J492,0)</x:f>
        <x:v>0</x:v>
      </x:c>
      <x:c r="L492" s="9"/>
      <x:c r="M492" s="9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9"/>
      <x:c r="B493" s="9"/>
      <x:c r="C493" s="43"/>
      <x:c r="D493" s="9"/>
      <x:c r="E493" s="9"/>
      <x:c r="F493" s="6" t="str">
        <x:f>IF(E493="","",VLOOKUP(E493,Courses!$A$5:$G$10,2,FALSE))</x:f>
      </x:c>
      <x:c r="G493" s="47" t="str">
        <x:f>IF(E493="","",VLOOKUP(E493,Courses!$A$5:$G$10,3,FALSE))</x:f>
      </x:c>
      <x:c r="H493" s="9"/>
      <x:c r="I493" s="9"/>
      <x:c r="J493" s="51" t="str">
        <x:f>IF(I493="","",VLOOKUP(E493,Courses!$A$5:$G$10,6,FALSE))</x:f>
      </x:c>
      <x:c r="K493" s="47" t="n">
        <x:f>IF(AND(H493="Paid",I493&lt;&gt;""),G493*J493,0)</x:f>
        <x:v>0</x:v>
      </x:c>
      <x:c r="L493" s="9"/>
      <x:c r="M493" s="9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9"/>
      <x:c r="B494" s="9"/>
      <x:c r="C494" s="43"/>
      <x:c r="D494" s="9"/>
      <x:c r="E494" s="9"/>
      <x:c r="F494" s="6" t="str">
        <x:f>IF(E494="","",VLOOKUP(E494,Courses!$A$5:$G$10,2,FALSE))</x:f>
      </x:c>
      <x:c r="G494" s="47" t="str">
        <x:f>IF(E494="","",VLOOKUP(E494,Courses!$A$5:$G$10,3,FALSE))</x:f>
      </x:c>
      <x:c r="H494" s="9"/>
      <x:c r="I494" s="9"/>
      <x:c r="J494" s="51" t="str">
        <x:f>IF(I494="","",VLOOKUP(E494,Courses!$A$5:$G$10,6,FALSE))</x:f>
      </x:c>
      <x:c r="K494" s="47" t="n">
        <x:f>IF(AND(H494="Paid",I494&lt;&gt;""),G494*J494,0)</x:f>
        <x:v>0</x:v>
      </x:c>
      <x:c r="L494" s="9"/>
      <x:c r="M494" s="9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9"/>
      <x:c r="B495" s="9"/>
      <x:c r="C495" s="43"/>
      <x:c r="D495" s="9"/>
      <x:c r="E495" s="9"/>
      <x:c r="F495" s="6" t="str">
        <x:f>IF(E495="","",VLOOKUP(E495,Courses!$A$5:$G$10,2,FALSE))</x:f>
      </x:c>
      <x:c r="G495" s="47" t="str">
        <x:f>IF(E495="","",VLOOKUP(E495,Courses!$A$5:$G$10,3,FALSE))</x:f>
      </x:c>
      <x:c r="H495" s="9"/>
      <x:c r="I495" s="9"/>
      <x:c r="J495" s="51" t="str">
        <x:f>IF(I495="","",VLOOKUP(E495,Courses!$A$5:$G$10,6,FALSE))</x:f>
      </x:c>
      <x:c r="K495" s="47" t="n">
        <x:f>IF(AND(H495="Paid",I495&lt;&gt;""),G495*J495,0)</x:f>
        <x:v>0</x:v>
      </x:c>
      <x:c r="L495" s="9"/>
      <x:c r="M495" s="9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9"/>
      <x:c r="B496" s="9"/>
      <x:c r="C496" s="43"/>
      <x:c r="D496" s="9"/>
      <x:c r="E496" s="9"/>
      <x:c r="F496" s="6" t="str">
        <x:f>IF(E496="","",VLOOKUP(E496,Courses!$A$5:$G$10,2,FALSE))</x:f>
      </x:c>
      <x:c r="G496" s="47" t="str">
        <x:f>IF(E496="","",VLOOKUP(E496,Courses!$A$5:$G$10,3,FALSE))</x:f>
      </x:c>
      <x:c r="H496" s="9"/>
      <x:c r="I496" s="9"/>
      <x:c r="J496" s="51" t="str">
        <x:f>IF(I496="","",VLOOKUP(E496,Courses!$A$5:$G$10,6,FALSE))</x:f>
      </x:c>
      <x:c r="K496" s="47" t="n">
        <x:f>IF(AND(H496="Paid",I496&lt;&gt;""),G496*J496,0)</x:f>
        <x:v>0</x:v>
      </x:c>
      <x:c r="L496" s="9"/>
      <x:c r="M496" s="9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9"/>
      <x:c r="B497" s="9"/>
      <x:c r="C497" s="43"/>
      <x:c r="D497" s="9"/>
      <x:c r="E497" s="9"/>
      <x:c r="F497" s="6" t="str">
        <x:f>IF(E497="","",VLOOKUP(E497,Courses!$A$5:$G$10,2,FALSE))</x:f>
      </x:c>
      <x:c r="G497" s="47" t="str">
        <x:f>IF(E497="","",VLOOKUP(E497,Courses!$A$5:$G$10,3,FALSE))</x:f>
      </x:c>
      <x:c r="H497" s="9"/>
      <x:c r="I497" s="9"/>
      <x:c r="J497" s="51" t="str">
        <x:f>IF(I497="","",VLOOKUP(E497,Courses!$A$5:$G$10,6,FALSE))</x:f>
      </x:c>
      <x:c r="K497" s="47" t="n">
        <x:f>IF(AND(H497="Paid",I497&lt;&gt;""),G497*J497,0)</x:f>
        <x:v>0</x:v>
      </x:c>
      <x:c r="L497" s="9"/>
      <x:c r="M497" s="9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9"/>
      <x:c r="B498" s="9"/>
      <x:c r="C498" s="43"/>
      <x:c r="D498" s="9"/>
      <x:c r="E498" s="9"/>
      <x:c r="F498" s="6" t="str">
        <x:f>IF(E498="","",VLOOKUP(E498,Courses!$A$5:$G$10,2,FALSE))</x:f>
      </x:c>
      <x:c r="G498" s="47" t="str">
        <x:f>IF(E498="","",VLOOKUP(E498,Courses!$A$5:$G$10,3,FALSE))</x:f>
      </x:c>
      <x:c r="H498" s="9"/>
      <x:c r="I498" s="9"/>
      <x:c r="J498" s="51" t="str">
        <x:f>IF(I498="","",VLOOKUP(E498,Courses!$A$5:$G$10,6,FALSE))</x:f>
      </x:c>
      <x:c r="K498" s="47" t="n">
        <x:f>IF(AND(H498="Paid",I498&lt;&gt;""),G498*J498,0)</x:f>
        <x:v>0</x:v>
      </x:c>
      <x:c r="L498" s="9"/>
      <x:c r="M498" s="9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9"/>
      <x:c r="B499" s="9"/>
      <x:c r="C499" s="43"/>
      <x:c r="D499" s="9"/>
      <x:c r="E499" s="9"/>
      <x:c r="F499" s="6" t="str">
        <x:f>IF(E499="","",VLOOKUP(E499,Courses!$A$5:$G$10,2,FALSE))</x:f>
      </x:c>
      <x:c r="G499" s="47" t="str">
        <x:f>IF(E499="","",VLOOKUP(E499,Courses!$A$5:$G$10,3,FALSE))</x:f>
      </x:c>
      <x:c r="H499" s="9"/>
      <x:c r="I499" s="9"/>
      <x:c r="J499" s="51" t="str">
        <x:f>IF(I499="","",VLOOKUP(E499,Courses!$A$5:$G$10,6,FALSE))</x:f>
      </x:c>
      <x:c r="K499" s="47" t="n">
        <x:f>IF(AND(H499="Paid",I499&lt;&gt;""),G499*J499,0)</x:f>
        <x:v>0</x:v>
      </x:c>
      <x:c r="L499" s="9"/>
      <x:c r="M499" s="9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9"/>
      <x:c r="B500" s="9"/>
      <x:c r="C500" s="43"/>
      <x:c r="D500" s="9"/>
      <x:c r="E500" s="9"/>
      <x:c r="F500" s="6" t="str">
        <x:f>IF(E500="","",VLOOKUP(E500,Courses!$A$5:$G$10,2,FALSE))</x:f>
      </x:c>
      <x:c r="G500" s="47" t="str">
        <x:f>IF(E500="","",VLOOKUP(E500,Courses!$A$5:$G$10,3,FALSE))</x:f>
      </x:c>
      <x:c r="H500" s="9"/>
      <x:c r="I500" s="9"/>
      <x:c r="J500" s="51" t="str">
        <x:f>IF(I500="","",VLOOKUP(E500,Courses!$A$5:$G$10,6,FALSE))</x:f>
      </x:c>
      <x:c r="K500" s="47" t="n">
        <x:f>IF(AND(H500="Paid",I500&lt;&gt;""),G500*J500,0)</x:f>
        <x:v>0</x:v>
      </x:c>
      <x:c r="L500" s="9"/>
      <x:c r="M500" s="9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9"/>
      <x:c r="B501" s="9"/>
      <x:c r="C501" s="43"/>
      <x:c r="D501" s="9"/>
      <x:c r="E501" s="9"/>
      <x:c r="F501" s="6" t="str">
        <x:f>IF(E501="","",VLOOKUP(E501,Courses!$A$5:$G$10,2,FALSE))</x:f>
      </x:c>
      <x:c r="G501" s="47" t="str">
        <x:f>IF(E501="","",VLOOKUP(E501,Courses!$A$5:$G$10,3,FALSE))</x:f>
      </x:c>
      <x:c r="H501" s="9"/>
      <x:c r="I501" s="9"/>
      <x:c r="J501" s="51" t="str">
        <x:f>IF(I501="","",VLOOKUP(E501,Courses!$A$5:$G$10,6,FALSE))</x:f>
      </x:c>
      <x:c r="K501" s="47" t="n">
        <x:f>IF(AND(H501="Paid",I501&lt;&gt;""),G501*J501,0)</x:f>
        <x:v>0</x:v>
      </x:c>
      <x:c r="L501" s="9"/>
      <x:c r="M501" s="9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9"/>
      <x:c r="B502" s="9"/>
      <x:c r="C502" s="43"/>
      <x:c r="D502" s="9"/>
      <x:c r="E502" s="9"/>
      <x:c r="F502" s="6" t="str">
        <x:f>IF(E502="","",VLOOKUP(E502,Courses!$A$5:$G$10,2,FALSE))</x:f>
      </x:c>
      <x:c r="G502" s="47" t="str">
        <x:f>IF(E502="","",VLOOKUP(E502,Courses!$A$5:$G$10,3,FALSE))</x:f>
      </x:c>
      <x:c r="H502" s="9"/>
      <x:c r="I502" s="9"/>
      <x:c r="J502" s="51" t="str">
        <x:f>IF(I502="","",VLOOKUP(E502,Courses!$A$5:$G$10,6,FALSE))</x:f>
      </x:c>
      <x:c r="K502" s="47" t="n">
        <x:f>IF(AND(H502="Paid",I502&lt;&gt;""),G502*J502,0)</x:f>
        <x:v>0</x:v>
      </x:c>
      <x:c r="L502" s="9"/>
      <x:c r="M502" s="9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9"/>
      <x:c r="B503" s="9"/>
      <x:c r="C503" s="43"/>
      <x:c r="D503" s="9"/>
      <x:c r="E503" s="9"/>
      <x:c r="F503" s="6" t="str">
        <x:f>IF(E503="","",VLOOKUP(E503,Courses!$A$5:$G$10,2,FALSE))</x:f>
      </x:c>
      <x:c r="G503" s="47" t="str">
        <x:f>IF(E503="","",VLOOKUP(E503,Courses!$A$5:$G$10,3,FALSE))</x:f>
      </x:c>
      <x:c r="H503" s="9"/>
      <x:c r="I503" s="9"/>
      <x:c r="J503" s="51" t="str">
        <x:f>IF(I503="","",VLOOKUP(E503,Courses!$A$5:$G$10,6,FALSE))</x:f>
      </x:c>
      <x:c r="K503" s="47" t="n">
        <x:f>IF(AND(H503="Paid",I503&lt;&gt;""),G503*J503,0)</x:f>
        <x:v>0</x:v>
      </x:c>
      <x:c r="L503" s="9"/>
      <x:c r="M503" s="9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1"/>
      <x:c r="B504" s="21"/>
      <x:c r="C504" s="44"/>
      <x:c r="D504" s="21"/>
      <x:c r="E504" s="21"/>
      <x:c r="F504" s="18" t="str">
        <x:f>IF(E504="","",VLOOKUP(E504,Courses!$A$5:$G$10,2,FALSE))</x:f>
      </x:c>
      <x:c r="G504" s="50" t="str">
        <x:f>IF(E504="","",VLOOKUP(E504,Courses!$A$5:$G$10,3,FALSE))</x:f>
      </x:c>
      <x:c r="H504" s="21"/>
      <x:c r="I504" s="21"/>
      <x:c r="J504" s="52" t="str">
        <x:f>IF(I504="","",VLOOKUP(E504,Courses!$A$5:$G$10,6,FALSE))</x:f>
      </x:c>
      <x:c r="K504" s="50" t="n">
        <x:f>IF(AND(H504="Paid",I504&lt;&gt;""),G504*J504,0)</x:f>
        <x:v>0</x:v>
      </x:c>
      <x:c r="L504" s="21"/>
      <x:c r="M504" s="21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</x:sheetData>
  <x:mergeCells>
    <x:mergeCell ref="A1:M1"/>
    <x:mergeCell ref="A2:M2"/>
  </x:mergeCells>
  <x:dataValidations count="3">
    <x:dataValidation type="list" sqref="E5:E504">
      <x:formula1>Courses!$A$5:$A$10</x:formula1>
    </x:dataValidation>
    <x:dataValidation type="list" sqref="H5:H504">
      <x:formula1>Lists!$C$5:$C$8</x:formula1>
    </x:dataValidation>
    <x:dataValidation type="list" sqref="L5:L504">
      <x:formula1>Lists!$E$5:$E$8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30" hidden="0" customWidth="1"/>
    <x:col min="5" max="5" width="17" hidden="0" customWidth="1"/>
    <x:col min="6" max="6" width="15" hidden="0" customWidth="1"/>
    <x:col min="7" max="7" width="16" hidden="0" customWidth="1"/>
    <x:col min="8" max="8" width="20" hidden="0" customWidth="1"/>
    <x:col min="9" max="9" width="15" hidden="0" customWidth="1"/>
    <x:col min="10" max="10" width="19" hidden="0" customWidth="1"/>
    <x:col min="11" max="11" width="18" hidden="0" customWidth="1"/>
    <x:col min="12" max="12" width="30" hidden="0" customWidth="1"/>
  </x:cols>
  <x:sheetData>
    <x:row r="1" ht="25" customHeight="1">
      <x:c r="A1" s="3" t="str">
        <x:v>Affiliates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9" customHeight="1">
      <x:c r="A2" s="4" t="str">
        <x:v>Use the customer e-mail as the dashboard user ID. Do not record plain-text passwords in this workbook.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53" t="str">
        <x:v>Affiliate ID</x:v>
      </x:c>
      <x:c r="B4" s="53" t="str">
        <x:v>Customer ID</x:v>
      </x:c>
      <x:c r="C4" s="53" t="str">
        <x:v>Affiliate name</x:v>
      </x:c>
      <x:c r="D4" s="53" t="str">
        <x:v>User ID / e-mail</x:v>
      </x:c>
      <x:c r="E4" s="53" t="str">
        <x:v>Referral code</x:v>
      </x:c>
      <x:c r="F4" s="53" t="str">
        <x:v>Approved date</x:v>
      </x:c>
      <x:c r="G4" s="53" t="str">
        <x:v>Affiliate status</x:v>
      </x:c>
      <x:c r="H4" s="53" t="str">
        <x:v>Approved commission</x:v>
      </x:c>
      <x:c r="I4" s="53" t="str">
        <x:v>Paid out</x:v>
      </x:c>
      <x:c r="J4" s="53" t="str">
        <x:v>Available payout</x:v>
      </x:c>
      <x:c r="K4" s="53" t="str">
        <x:v>Payout method</x:v>
      </x:c>
      <x:c r="L4" s="53" t="str">
        <x:v>Payout address</x:v>
      </x:c>
      <x:c r="M4" s="54"/>
      <x:c r="N4" s="54"/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</x:row>
    <x:row r="5">
      <x:c r="A5" s="9"/>
      <x:c r="B5" s="9"/>
      <x:c r="C5" s="6" t="str">
        <x:f>IF(B5="","",VLOOKUP(B5,Customers!$A$5:$J$504,3,FALSE))</x:f>
      </x:c>
      <x:c r="D5" s="6" t="str">
        <x:f>IF(B5="","",VLOOKUP(B5,Customers!$A$5:$J$504,4,FALSE))</x:f>
      </x:c>
      <x:c r="E5" s="9"/>
      <x:c r="F5" s="43"/>
      <x:c r="G5" s="9"/>
      <x:c r="H5" s="47" t="str">
        <x:f>IF(A5="","",SUMIFS(Sales!$K$5:$K$504,Sales!$I$5:$I$504,A5,Sales!$L$5:$L$504,"Approved"))</x:f>
      </x:c>
      <x:c r="I5" s="47" t="str">
        <x:f>IF(A5="","",SUMIFS(Payouts!$G$5:$G$504,Payouts!$B$5:$B$504,A5,Payouts!$H$5:$H$504,"Paid"))</x:f>
      </x:c>
      <x:c r="J5" s="47" t="str">
        <x:f>IF(A5="","",H5-I5)</x:f>
      </x:c>
      <x:c r="K5" s="9"/>
      <x:c r="L5" s="9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9"/>
      <x:c r="B6" s="9"/>
      <x:c r="C6" s="6" t="str">
        <x:f>IF(B6="","",VLOOKUP(B6,Customers!$A$5:$J$504,3,FALSE))</x:f>
      </x:c>
      <x:c r="D6" s="6" t="str">
        <x:f>IF(B6="","",VLOOKUP(B6,Customers!$A$5:$J$504,4,FALSE))</x:f>
      </x:c>
      <x:c r="E6" s="9"/>
      <x:c r="F6" s="43"/>
      <x:c r="G6" s="9"/>
      <x:c r="H6" s="47" t="str">
        <x:f>IF(A6="","",SUMIFS(Sales!$K$5:$K$504,Sales!$I$5:$I$504,A6,Sales!$L$5:$L$504,"Approved"))</x:f>
      </x:c>
      <x:c r="I6" s="47" t="str">
        <x:f>IF(A6="","",SUMIFS(Payouts!$G$5:$G$504,Payouts!$B$5:$B$504,A6,Payouts!$H$5:$H$504,"Paid"))</x:f>
      </x:c>
      <x:c r="J6" s="47" t="str">
        <x:f>IF(A6="","",H6-I6)</x:f>
      </x:c>
      <x:c r="K6" s="9"/>
      <x:c r="L6" s="9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9"/>
      <x:c r="B7" s="9"/>
      <x:c r="C7" s="6" t="str">
        <x:f>IF(B7="","",VLOOKUP(B7,Customers!$A$5:$J$504,3,FALSE))</x:f>
      </x:c>
      <x:c r="D7" s="6" t="str">
        <x:f>IF(B7="","",VLOOKUP(B7,Customers!$A$5:$J$504,4,FALSE))</x:f>
      </x:c>
      <x:c r="E7" s="9"/>
      <x:c r="F7" s="43"/>
      <x:c r="G7" s="9"/>
      <x:c r="H7" s="47" t="str">
        <x:f>IF(A7="","",SUMIFS(Sales!$K$5:$K$504,Sales!$I$5:$I$504,A7,Sales!$L$5:$L$504,"Approved"))</x:f>
      </x:c>
      <x:c r="I7" s="47" t="str">
        <x:f>IF(A7="","",SUMIFS(Payouts!$G$5:$G$504,Payouts!$B$5:$B$504,A7,Payouts!$H$5:$H$504,"Paid"))</x:f>
      </x:c>
      <x:c r="J7" s="47" t="str">
        <x:f>IF(A7="","",H7-I7)</x:f>
      </x:c>
      <x:c r="K7" s="9"/>
      <x:c r="L7" s="9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9"/>
      <x:c r="B8" s="9"/>
      <x:c r="C8" s="6" t="str">
        <x:f>IF(B8="","",VLOOKUP(B8,Customers!$A$5:$J$504,3,FALSE))</x:f>
      </x:c>
      <x:c r="D8" s="6" t="str">
        <x:f>IF(B8="","",VLOOKUP(B8,Customers!$A$5:$J$504,4,FALSE))</x:f>
      </x:c>
      <x:c r="E8" s="9"/>
      <x:c r="F8" s="43"/>
      <x:c r="G8" s="9"/>
      <x:c r="H8" s="47" t="str">
        <x:f>IF(A8="","",SUMIFS(Sales!$K$5:$K$504,Sales!$I$5:$I$504,A8,Sales!$L$5:$L$504,"Approved"))</x:f>
      </x:c>
      <x:c r="I8" s="47" t="str">
        <x:f>IF(A8="","",SUMIFS(Payouts!$G$5:$G$504,Payouts!$B$5:$B$504,A8,Payouts!$H$5:$H$504,"Paid"))</x:f>
      </x:c>
      <x:c r="J8" s="47" t="str">
        <x:f>IF(A8="","",H8-I8)</x:f>
      </x:c>
      <x:c r="K8" s="9"/>
      <x:c r="L8" s="9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9"/>
      <x:c r="B9" s="9"/>
      <x:c r="C9" s="6" t="str">
        <x:f>IF(B9="","",VLOOKUP(B9,Customers!$A$5:$J$504,3,FALSE))</x:f>
      </x:c>
      <x:c r="D9" s="6" t="str">
        <x:f>IF(B9="","",VLOOKUP(B9,Customers!$A$5:$J$504,4,FALSE))</x:f>
      </x:c>
      <x:c r="E9" s="9"/>
      <x:c r="F9" s="43"/>
      <x:c r="G9" s="9"/>
      <x:c r="H9" s="47" t="str">
        <x:f>IF(A9="","",SUMIFS(Sales!$K$5:$K$504,Sales!$I$5:$I$504,A9,Sales!$L$5:$L$504,"Approved"))</x:f>
      </x:c>
      <x:c r="I9" s="47" t="str">
        <x:f>IF(A9="","",SUMIFS(Payouts!$G$5:$G$504,Payouts!$B$5:$B$504,A9,Payouts!$H$5:$H$504,"Paid"))</x:f>
      </x:c>
      <x:c r="J9" s="47" t="str">
        <x:f>IF(A9="","",H9-I9)</x:f>
      </x:c>
      <x:c r="K9" s="9"/>
      <x:c r="L9" s="9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9"/>
      <x:c r="B10" s="9"/>
      <x:c r="C10" s="6" t="str">
        <x:f>IF(B10="","",VLOOKUP(B10,Customers!$A$5:$J$504,3,FALSE))</x:f>
      </x:c>
      <x:c r="D10" s="6" t="str">
        <x:f>IF(B10="","",VLOOKUP(B10,Customers!$A$5:$J$504,4,FALSE))</x:f>
      </x:c>
      <x:c r="E10" s="9"/>
      <x:c r="F10" s="43"/>
      <x:c r="G10" s="9"/>
      <x:c r="H10" s="47" t="str">
        <x:f>IF(A10="","",SUMIFS(Sales!$K$5:$K$504,Sales!$I$5:$I$504,A10,Sales!$L$5:$L$504,"Approved"))</x:f>
      </x:c>
      <x:c r="I10" s="47" t="str">
        <x:f>IF(A10="","",SUMIFS(Payouts!$G$5:$G$504,Payouts!$B$5:$B$504,A10,Payouts!$H$5:$H$504,"Paid"))</x:f>
      </x:c>
      <x:c r="J10" s="47" t="str">
        <x:f>IF(A10="","",H10-I10)</x:f>
      </x:c>
      <x:c r="K10" s="9"/>
      <x:c r="L10" s="9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9"/>
      <x:c r="B11" s="9"/>
      <x:c r="C11" s="6" t="str">
        <x:f>IF(B11="","",VLOOKUP(B11,Customers!$A$5:$J$504,3,FALSE))</x:f>
      </x:c>
      <x:c r="D11" s="6" t="str">
        <x:f>IF(B11="","",VLOOKUP(B11,Customers!$A$5:$J$504,4,FALSE))</x:f>
      </x:c>
      <x:c r="E11" s="9"/>
      <x:c r="F11" s="43"/>
      <x:c r="G11" s="9"/>
      <x:c r="H11" s="47" t="str">
        <x:f>IF(A11="","",SUMIFS(Sales!$K$5:$K$504,Sales!$I$5:$I$504,A11,Sales!$L$5:$L$504,"Approved"))</x:f>
      </x:c>
      <x:c r="I11" s="47" t="str">
        <x:f>IF(A11="","",SUMIFS(Payouts!$G$5:$G$504,Payouts!$B$5:$B$504,A11,Payouts!$H$5:$H$504,"Paid"))</x:f>
      </x:c>
      <x:c r="J11" s="47" t="str">
        <x:f>IF(A11="","",H11-I11)</x:f>
      </x:c>
      <x:c r="K11" s="9"/>
      <x:c r="L11" s="9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9"/>
      <x:c r="B12" s="9"/>
      <x:c r="C12" s="6" t="str">
        <x:f>IF(B12="","",VLOOKUP(B12,Customers!$A$5:$J$504,3,FALSE))</x:f>
      </x:c>
      <x:c r="D12" s="6" t="str">
        <x:f>IF(B12="","",VLOOKUP(B12,Customers!$A$5:$J$504,4,FALSE))</x:f>
      </x:c>
      <x:c r="E12" s="9"/>
      <x:c r="F12" s="43"/>
      <x:c r="G12" s="9"/>
      <x:c r="H12" s="47" t="str">
        <x:f>IF(A12="","",SUMIFS(Sales!$K$5:$K$504,Sales!$I$5:$I$504,A12,Sales!$L$5:$L$504,"Approved"))</x:f>
      </x:c>
      <x:c r="I12" s="47" t="str">
        <x:f>IF(A12="","",SUMIFS(Payouts!$G$5:$G$504,Payouts!$B$5:$B$504,A12,Payouts!$H$5:$H$504,"Paid"))</x:f>
      </x:c>
      <x:c r="J12" s="47" t="str">
        <x:f>IF(A12="","",H12-I12)</x:f>
      </x:c>
      <x:c r="K12" s="9"/>
      <x:c r="L12" s="9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9"/>
      <x:c r="B13" s="9"/>
      <x:c r="C13" s="6" t="str">
        <x:f>IF(B13="","",VLOOKUP(B13,Customers!$A$5:$J$504,3,FALSE))</x:f>
      </x:c>
      <x:c r="D13" s="6" t="str">
        <x:f>IF(B13="","",VLOOKUP(B13,Customers!$A$5:$J$504,4,FALSE))</x:f>
      </x:c>
      <x:c r="E13" s="9"/>
      <x:c r="F13" s="43"/>
      <x:c r="G13" s="9"/>
      <x:c r="H13" s="47" t="str">
        <x:f>IF(A13="","",SUMIFS(Sales!$K$5:$K$504,Sales!$I$5:$I$504,A13,Sales!$L$5:$L$504,"Approved"))</x:f>
      </x:c>
      <x:c r="I13" s="47" t="str">
        <x:f>IF(A13="","",SUMIFS(Payouts!$G$5:$G$504,Payouts!$B$5:$B$504,A13,Payouts!$H$5:$H$504,"Paid"))</x:f>
      </x:c>
      <x:c r="J13" s="47" t="str">
        <x:f>IF(A13="","",H13-I13)</x:f>
      </x:c>
      <x:c r="K13" s="9"/>
      <x:c r="L13" s="9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9"/>
      <x:c r="B14" s="9"/>
      <x:c r="C14" s="6" t="str">
        <x:f>IF(B14="","",VLOOKUP(B14,Customers!$A$5:$J$504,3,FALSE))</x:f>
      </x:c>
      <x:c r="D14" s="6" t="str">
        <x:f>IF(B14="","",VLOOKUP(B14,Customers!$A$5:$J$504,4,FALSE))</x:f>
      </x:c>
      <x:c r="E14" s="9"/>
      <x:c r="F14" s="43"/>
      <x:c r="G14" s="9"/>
      <x:c r="H14" s="47" t="str">
        <x:f>IF(A14="","",SUMIFS(Sales!$K$5:$K$504,Sales!$I$5:$I$504,A14,Sales!$L$5:$L$504,"Approved"))</x:f>
      </x:c>
      <x:c r="I14" s="47" t="str">
        <x:f>IF(A14="","",SUMIFS(Payouts!$G$5:$G$504,Payouts!$B$5:$B$504,A14,Payouts!$H$5:$H$504,"Paid"))</x:f>
      </x:c>
      <x:c r="J14" s="47" t="str">
        <x:f>IF(A14="","",H14-I14)</x:f>
      </x:c>
      <x:c r="K14" s="9"/>
      <x:c r="L14" s="9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9"/>
      <x:c r="B15" s="9"/>
      <x:c r="C15" s="6" t="str">
        <x:f>IF(B15="","",VLOOKUP(B15,Customers!$A$5:$J$504,3,FALSE))</x:f>
      </x:c>
      <x:c r="D15" s="6" t="str">
        <x:f>IF(B15="","",VLOOKUP(B15,Customers!$A$5:$J$504,4,FALSE))</x:f>
      </x:c>
      <x:c r="E15" s="9"/>
      <x:c r="F15" s="43"/>
      <x:c r="G15" s="9"/>
      <x:c r="H15" s="47" t="str">
        <x:f>IF(A15="","",SUMIFS(Sales!$K$5:$K$504,Sales!$I$5:$I$504,A15,Sales!$L$5:$L$504,"Approved"))</x:f>
      </x:c>
      <x:c r="I15" s="47" t="str">
        <x:f>IF(A15="","",SUMIFS(Payouts!$G$5:$G$504,Payouts!$B$5:$B$504,A15,Payouts!$H$5:$H$504,"Paid"))</x:f>
      </x:c>
      <x:c r="J15" s="47" t="str">
        <x:f>IF(A15="","",H15-I15)</x:f>
      </x:c>
      <x:c r="K15" s="9"/>
      <x:c r="L15" s="9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9"/>
      <x:c r="B16" s="9"/>
      <x:c r="C16" s="6" t="str">
        <x:f>IF(B16="","",VLOOKUP(B16,Customers!$A$5:$J$504,3,FALSE))</x:f>
      </x:c>
      <x:c r="D16" s="6" t="str">
        <x:f>IF(B16="","",VLOOKUP(B16,Customers!$A$5:$J$504,4,FALSE))</x:f>
      </x:c>
      <x:c r="E16" s="9"/>
      <x:c r="F16" s="43"/>
      <x:c r="G16" s="9"/>
      <x:c r="H16" s="47" t="str">
        <x:f>IF(A16="","",SUMIFS(Sales!$K$5:$K$504,Sales!$I$5:$I$504,A16,Sales!$L$5:$L$504,"Approved"))</x:f>
      </x:c>
      <x:c r="I16" s="47" t="str">
        <x:f>IF(A16="","",SUMIFS(Payouts!$G$5:$G$504,Payouts!$B$5:$B$504,A16,Payouts!$H$5:$H$504,"Paid"))</x:f>
      </x:c>
      <x:c r="J16" s="47" t="str">
        <x:f>IF(A16="","",H16-I16)</x:f>
      </x:c>
      <x:c r="K16" s="9"/>
      <x:c r="L16" s="9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9"/>
      <x:c r="B17" s="9"/>
      <x:c r="C17" s="6" t="str">
        <x:f>IF(B17="","",VLOOKUP(B17,Customers!$A$5:$J$504,3,FALSE))</x:f>
      </x:c>
      <x:c r="D17" s="6" t="str">
        <x:f>IF(B17="","",VLOOKUP(B17,Customers!$A$5:$J$504,4,FALSE))</x:f>
      </x:c>
      <x:c r="E17" s="9"/>
      <x:c r="F17" s="43"/>
      <x:c r="G17" s="9"/>
      <x:c r="H17" s="47" t="str">
        <x:f>IF(A17="","",SUMIFS(Sales!$K$5:$K$504,Sales!$I$5:$I$504,A17,Sales!$L$5:$L$504,"Approved"))</x:f>
      </x:c>
      <x:c r="I17" s="47" t="str">
        <x:f>IF(A17="","",SUMIFS(Payouts!$G$5:$G$504,Payouts!$B$5:$B$504,A17,Payouts!$H$5:$H$504,"Paid"))</x:f>
      </x:c>
      <x:c r="J17" s="47" t="str">
        <x:f>IF(A17="","",H17-I17)</x:f>
      </x:c>
      <x:c r="K17" s="9"/>
      <x:c r="L17" s="9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9"/>
      <x:c r="B18" s="9"/>
      <x:c r="C18" s="6" t="str">
        <x:f>IF(B18="","",VLOOKUP(B18,Customers!$A$5:$J$504,3,FALSE))</x:f>
      </x:c>
      <x:c r="D18" s="6" t="str">
        <x:f>IF(B18="","",VLOOKUP(B18,Customers!$A$5:$J$504,4,FALSE))</x:f>
      </x:c>
      <x:c r="E18" s="9"/>
      <x:c r="F18" s="43"/>
      <x:c r="G18" s="9"/>
      <x:c r="H18" s="47" t="str">
        <x:f>IF(A18="","",SUMIFS(Sales!$K$5:$K$504,Sales!$I$5:$I$504,A18,Sales!$L$5:$L$504,"Approved"))</x:f>
      </x:c>
      <x:c r="I18" s="47" t="str">
        <x:f>IF(A18="","",SUMIFS(Payouts!$G$5:$G$504,Payouts!$B$5:$B$504,A18,Payouts!$H$5:$H$504,"Paid"))</x:f>
      </x:c>
      <x:c r="J18" s="47" t="str">
        <x:f>IF(A18="","",H18-I18)</x:f>
      </x:c>
      <x:c r="K18" s="9"/>
      <x:c r="L18" s="9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9"/>
      <x:c r="B19" s="9"/>
      <x:c r="C19" s="6" t="str">
        <x:f>IF(B19="","",VLOOKUP(B19,Customers!$A$5:$J$504,3,FALSE))</x:f>
      </x:c>
      <x:c r="D19" s="6" t="str">
        <x:f>IF(B19="","",VLOOKUP(B19,Customers!$A$5:$J$504,4,FALSE))</x:f>
      </x:c>
      <x:c r="E19" s="9"/>
      <x:c r="F19" s="43"/>
      <x:c r="G19" s="9"/>
      <x:c r="H19" s="47" t="str">
        <x:f>IF(A19="","",SUMIFS(Sales!$K$5:$K$504,Sales!$I$5:$I$504,A19,Sales!$L$5:$L$504,"Approved"))</x:f>
      </x:c>
      <x:c r="I19" s="47" t="str">
        <x:f>IF(A19="","",SUMIFS(Payouts!$G$5:$G$504,Payouts!$B$5:$B$504,A19,Payouts!$H$5:$H$504,"Paid"))</x:f>
      </x:c>
      <x:c r="J19" s="47" t="str">
        <x:f>IF(A19="","",H19-I19)</x:f>
      </x:c>
      <x:c r="K19" s="9"/>
      <x:c r="L19" s="9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9"/>
      <x:c r="B20" s="9"/>
      <x:c r="C20" s="6" t="str">
        <x:f>IF(B20="","",VLOOKUP(B20,Customers!$A$5:$J$504,3,FALSE))</x:f>
      </x:c>
      <x:c r="D20" s="6" t="str">
        <x:f>IF(B20="","",VLOOKUP(B20,Customers!$A$5:$J$504,4,FALSE))</x:f>
      </x:c>
      <x:c r="E20" s="9"/>
      <x:c r="F20" s="43"/>
      <x:c r="G20" s="9"/>
      <x:c r="H20" s="47" t="str">
        <x:f>IF(A20="","",SUMIFS(Sales!$K$5:$K$504,Sales!$I$5:$I$504,A20,Sales!$L$5:$L$504,"Approved"))</x:f>
      </x:c>
      <x:c r="I20" s="47" t="str">
        <x:f>IF(A20="","",SUMIFS(Payouts!$G$5:$G$504,Payouts!$B$5:$B$504,A20,Payouts!$H$5:$H$504,"Paid"))</x:f>
      </x:c>
      <x:c r="J20" s="47" t="str">
        <x:f>IF(A20="","",H20-I20)</x:f>
      </x:c>
      <x:c r="K20" s="9"/>
      <x:c r="L20" s="9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9"/>
      <x:c r="B21" s="9"/>
      <x:c r="C21" s="6" t="str">
        <x:f>IF(B21="","",VLOOKUP(B21,Customers!$A$5:$J$504,3,FALSE))</x:f>
      </x:c>
      <x:c r="D21" s="6" t="str">
        <x:f>IF(B21="","",VLOOKUP(B21,Customers!$A$5:$J$504,4,FALSE))</x:f>
      </x:c>
      <x:c r="E21" s="9"/>
      <x:c r="F21" s="43"/>
      <x:c r="G21" s="9"/>
      <x:c r="H21" s="47" t="str">
        <x:f>IF(A21="","",SUMIFS(Sales!$K$5:$K$504,Sales!$I$5:$I$504,A21,Sales!$L$5:$L$504,"Approved"))</x:f>
      </x:c>
      <x:c r="I21" s="47" t="str">
        <x:f>IF(A21="","",SUMIFS(Payouts!$G$5:$G$504,Payouts!$B$5:$B$504,A21,Payouts!$H$5:$H$504,"Paid"))</x:f>
      </x:c>
      <x:c r="J21" s="47" t="str">
        <x:f>IF(A21="","",H21-I21)</x:f>
      </x:c>
      <x:c r="K21" s="9"/>
      <x:c r="L21" s="9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9"/>
      <x:c r="B22" s="9"/>
      <x:c r="C22" s="6" t="str">
        <x:f>IF(B22="","",VLOOKUP(B22,Customers!$A$5:$J$504,3,FALSE))</x:f>
      </x:c>
      <x:c r="D22" s="6" t="str">
        <x:f>IF(B22="","",VLOOKUP(B22,Customers!$A$5:$J$504,4,FALSE))</x:f>
      </x:c>
      <x:c r="E22" s="9"/>
      <x:c r="F22" s="43"/>
      <x:c r="G22" s="9"/>
      <x:c r="H22" s="47" t="str">
        <x:f>IF(A22="","",SUMIFS(Sales!$K$5:$K$504,Sales!$I$5:$I$504,A22,Sales!$L$5:$L$504,"Approved"))</x:f>
      </x:c>
      <x:c r="I22" s="47" t="str">
        <x:f>IF(A22="","",SUMIFS(Payouts!$G$5:$G$504,Payouts!$B$5:$B$504,A22,Payouts!$H$5:$H$504,"Paid"))</x:f>
      </x:c>
      <x:c r="J22" s="47" t="str">
        <x:f>IF(A22="","",H22-I22)</x:f>
      </x:c>
      <x:c r="K22" s="9"/>
      <x:c r="L22" s="9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9"/>
      <x:c r="B23" s="9"/>
      <x:c r="C23" s="6" t="str">
        <x:f>IF(B23="","",VLOOKUP(B23,Customers!$A$5:$J$504,3,FALSE))</x:f>
      </x:c>
      <x:c r="D23" s="6" t="str">
        <x:f>IF(B23="","",VLOOKUP(B23,Customers!$A$5:$J$504,4,FALSE))</x:f>
      </x:c>
      <x:c r="E23" s="9"/>
      <x:c r="F23" s="43"/>
      <x:c r="G23" s="9"/>
      <x:c r="H23" s="47" t="str">
        <x:f>IF(A23="","",SUMIFS(Sales!$K$5:$K$504,Sales!$I$5:$I$504,A23,Sales!$L$5:$L$504,"Approved"))</x:f>
      </x:c>
      <x:c r="I23" s="47" t="str">
        <x:f>IF(A23="","",SUMIFS(Payouts!$G$5:$G$504,Payouts!$B$5:$B$504,A23,Payouts!$H$5:$H$504,"Paid"))</x:f>
      </x:c>
      <x:c r="J23" s="47" t="str">
        <x:f>IF(A23="","",H23-I23)</x:f>
      </x:c>
      <x:c r="K23" s="9"/>
      <x:c r="L23" s="9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9"/>
      <x:c r="B24" s="9"/>
      <x:c r="C24" s="6" t="str">
        <x:f>IF(B24="","",VLOOKUP(B24,Customers!$A$5:$J$504,3,FALSE))</x:f>
      </x:c>
      <x:c r="D24" s="6" t="str">
        <x:f>IF(B24="","",VLOOKUP(B24,Customers!$A$5:$J$504,4,FALSE))</x:f>
      </x:c>
      <x:c r="E24" s="9"/>
      <x:c r="F24" s="43"/>
      <x:c r="G24" s="9"/>
      <x:c r="H24" s="47" t="str">
        <x:f>IF(A24="","",SUMIFS(Sales!$K$5:$K$504,Sales!$I$5:$I$504,A24,Sales!$L$5:$L$504,"Approved"))</x:f>
      </x:c>
      <x:c r="I24" s="47" t="str">
        <x:f>IF(A24="","",SUMIFS(Payouts!$G$5:$G$504,Payouts!$B$5:$B$504,A24,Payouts!$H$5:$H$504,"Paid"))</x:f>
      </x:c>
      <x:c r="J24" s="47" t="str">
        <x:f>IF(A24="","",H24-I24)</x:f>
      </x:c>
      <x:c r="K24" s="9"/>
      <x:c r="L24" s="9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9"/>
      <x:c r="B25" s="9"/>
      <x:c r="C25" s="6" t="str">
        <x:f>IF(B25="","",VLOOKUP(B25,Customers!$A$5:$J$504,3,FALSE))</x:f>
      </x:c>
      <x:c r="D25" s="6" t="str">
        <x:f>IF(B25="","",VLOOKUP(B25,Customers!$A$5:$J$504,4,FALSE))</x:f>
      </x:c>
      <x:c r="E25" s="9"/>
      <x:c r="F25" s="43"/>
      <x:c r="G25" s="9"/>
      <x:c r="H25" s="47" t="str">
        <x:f>IF(A25="","",SUMIFS(Sales!$K$5:$K$504,Sales!$I$5:$I$504,A25,Sales!$L$5:$L$504,"Approved"))</x:f>
      </x:c>
      <x:c r="I25" s="47" t="str">
        <x:f>IF(A25="","",SUMIFS(Payouts!$G$5:$G$504,Payouts!$B$5:$B$504,A25,Payouts!$H$5:$H$504,"Paid"))</x:f>
      </x:c>
      <x:c r="J25" s="47" t="str">
        <x:f>IF(A25="","",H25-I25)</x:f>
      </x:c>
      <x:c r="K25" s="9"/>
      <x:c r="L25" s="9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9"/>
      <x:c r="B26" s="9"/>
      <x:c r="C26" s="6" t="str">
        <x:f>IF(B26="","",VLOOKUP(B26,Customers!$A$5:$J$504,3,FALSE))</x:f>
      </x:c>
      <x:c r="D26" s="6" t="str">
        <x:f>IF(B26="","",VLOOKUP(B26,Customers!$A$5:$J$504,4,FALSE))</x:f>
      </x:c>
      <x:c r="E26" s="9"/>
      <x:c r="F26" s="43"/>
      <x:c r="G26" s="9"/>
      <x:c r="H26" s="47" t="str">
        <x:f>IF(A26="","",SUMIFS(Sales!$K$5:$K$504,Sales!$I$5:$I$504,A26,Sales!$L$5:$L$504,"Approved"))</x:f>
      </x:c>
      <x:c r="I26" s="47" t="str">
        <x:f>IF(A26="","",SUMIFS(Payouts!$G$5:$G$504,Payouts!$B$5:$B$504,A26,Payouts!$H$5:$H$504,"Paid"))</x:f>
      </x:c>
      <x:c r="J26" s="47" t="str">
        <x:f>IF(A26="","",H26-I26)</x:f>
      </x:c>
      <x:c r="K26" s="9"/>
      <x:c r="L26" s="9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9"/>
      <x:c r="B27" s="9"/>
      <x:c r="C27" s="6" t="str">
        <x:f>IF(B27="","",VLOOKUP(B27,Customers!$A$5:$J$504,3,FALSE))</x:f>
      </x:c>
      <x:c r="D27" s="6" t="str">
        <x:f>IF(B27="","",VLOOKUP(B27,Customers!$A$5:$J$504,4,FALSE))</x:f>
      </x:c>
      <x:c r="E27" s="9"/>
      <x:c r="F27" s="43"/>
      <x:c r="G27" s="9"/>
      <x:c r="H27" s="47" t="str">
        <x:f>IF(A27="","",SUMIFS(Sales!$K$5:$K$504,Sales!$I$5:$I$504,A27,Sales!$L$5:$L$504,"Approved"))</x:f>
      </x:c>
      <x:c r="I27" s="47" t="str">
        <x:f>IF(A27="","",SUMIFS(Payouts!$G$5:$G$504,Payouts!$B$5:$B$504,A27,Payouts!$H$5:$H$504,"Paid"))</x:f>
      </x:c>
      <x:c r="J27" s="47" t="str">
        <x:f>IF(A27="","",H27-I27)</x:f>
      </x:c>
      <x:c r="K27" s="9"/>
      <x:c r="L27" s="9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9"/>
      <x:c r="B28" s="9"/>
      <x:c r="C28" s="6" t="str">
        <x:f>IF(B28="","",VLOOKUP(B28,Customers!$A$5:$J$504,3,FALSE))</x:f>
      </x:c>
      <x:c r="D28" s="6" t="str">
        <x:f>IF(B28="","",VLOOKUP(B28,Customers!$A$5:$J$504,4,FALSE))</x:f>
      </x:c>
      <x:c r="E28" s="9"/>
      <x:c r="F28" s="43"/>
      <x:c r="G28" s="9"/>
      <x:c r="H28" s="47" t="str">
        <x:f>IF(A28="","",SUMIFS(Sales!$K$5:$K$504,Sales!$I$5:$I$504,A28,Sales!$L$5:$L$504,"Approved"))</x:f>
      </x:c>
      <x:c r="I28" s="47" t="str">
        <x:f>IF(A28="","",SUMIFS(Payouts!$G$5:$G$504,Payouts!$B$5:$B$504,A28,Payouts!$H$5:$H$504,"Paid"))</x:f>
      </x:c>
      <x:c r="J28" s="47" t="str">
        <x:f>IF(A28="","",H28-I28)</x:f>
      </x:c>
      <x:c r="K28" s="9"/>
      <x:c r="L28" s="9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9"/>
      <x:c r="B29" s="9"/>
      <x:c r="C29" s="6" t="str">
        <x:f>IF(B29="","",VLOOKUP(B29,Customers!$A$5:$J$504,3,FALSE))</x:f>
      </x:c>
      <x:c r="D29" s="6" t="str">
        <x:f>IF(B29="","",VLOOKUP(B29,Customers!$A$5:$J$504,4,FALSE))</x:f>
      </x:c>
      <x:c r="E29" s="9"/>
      <x:c r="F29" s="43"/>
      <x:c r="G29" s="9"/>
      <x:c r="H29" s="47" t="str">
        <x:f>IF(A29="","",SUMIFS(Sales!$K$5:$K$504,Sales!$I$5:$I$504,A29,Sales!$L$5:$L$504,"Approved"))</x:f>
      </x:c>
      <x:c r="I29" s="47" t="str">
        <x:f>IF(A29="","",SUMIFS(Payouts!$G$5:$G$504,Payouts!$B$5:$B$504,A29,Payouts!$H$5:$H$504,"Paid"))</x:f>
      </x:c>
      <x:c r="J29" s="47" t="str">
        <x:f>IF(A29="","",H29-I29)</x:f>
      </x:c>
      <x:c r="K29" s="9"/>
      <x:c r="L29" s="9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9"/>
      <x:c r="B30" s="9"/>
      <x:c r="C30" s="6" t="str">
        <x:f>IF(B30="","",VLOOKUP(B30,Customers!$A$5:$J$504,3,FALSE))</x:f>
      </x:c>
      <x:c r="D30" s="6" t="str">
        <x:f>IF(B30="","",VLOOKUP(B30,Customers!$A$5:$J$504,4,FALSE))</x:f>
      </x:c>
      <x:c r="E30" s="9"/>
      <x:c r="F30" s="43"/>
      <x:c r="G30" s="9"/>
      <x:c r="H30" s="47" t="str">
        <x:f>IF(A30="","",SUMIFS(Sales!$K$5:$K$504,Sales!$I$5:$I$504,A30,Sales!$L$5:$L$504,"Approved"))</x:f>
      </x:c>
      <x:c r="I30" s="47" t="str">
        <x:f>IF(A30="","",SUMIFS(Payouts!$G$5:$G$504,Payouts!$B$5:$B$504,A30,Payouts!$H$5:$H$504,"Paid"))</x:f>
      </x:c>
      <x:c r="J30" s="47" t="str">
        <x:f>IF(A30="","",H30-I30)</x:f>
      </x:c>
      <x:c r="K30" s="9"/>
      <x:c r="L30" s="9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9"/>
      <x:c r="B31" s="9"/>
      <x:c r="C31" s="6" t="str">
        <x:f>IF(B31="","",VLOOKUP(B31,Customers!$A$5:$J$504,3,FALSE))</x:f>
      </x:c>
      <x:c r="D31" s="6" t="str">
        <x:f>IF(B31="","",VLOOKUP(B31,Customers!$A$5:$J$504,4,FALSE))</x:f>
      </x:c>
      <x:c r="E31" s="9"/>
      <x:c r="F31" s="43"/>
      <x:c r="G31" s="9"/>
      <x:c r="H31" s="47" t="str">
        <x:f>IF(A31="","",SUMIFS(Sales!$K$5:$K$504,Sales!$I$5:$I$504,A31,Sales!$L$5:$L$504,"Approved"))</x:f>
      </x:c>
      <x:c r="I31" s="47" t="str">
        <x:f>IF(A31="","",SUMIFS(Payouts!$G$5:$G$504,Payouts!$B$5:$B$504,A31,Payouts!$H$5:$H$504,"Paid"))</x:f>
      </x:c>
      <x:c r="J31" s="47" t="str">
        <x:f>IF(A31="","",H31-I31)</x:f>
      </x:c>
      <x:c r="K31" s="9"/>
      <x:c r="L31" s="9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9"/>
      <x:c r="B32" s="9"/>
      <x:c r="C32" s="6" t="str">
        <x:f>IF(B32="","",VLOOKUP(B32,Customers!$A$5:$J$504,3,FALSE))</x:f>
      </x:c>
      <x:c r="D32" s="6" t="str">
        <x:f>IF(B32="","",VLOOKUP(B32,Customers!$A$5:$J$504,4,FALSE))</x:f>
      </x:c>
      <x:c r="E32" s="9"/>
      <x:c r="F32" s="43"/>
      <x:c r="G32" s="9"/>
      <x:c r="H32" s="47" t="str">
        <x:f>IF(A32="","",SUMIFS(Sales!$K$5:$K$504,Sales!$I$5:$I$504,A32,Sales!$L$5:$L$504,"Approved"))</x:f>
      </x:c>
      <x:c r="I32" s="47" t="str">
        <x:f>IF(A32="","",SUMIFS(Payouts!$G$5:$G$504,Payouts!$B$5:$B$504,A32,Payouts!$H$5:$H$504,"Paid"))</x:f>
      </x:c>
      <x:c r="J32" s="47" t="str">
        <x:f>IF(A32="","",H32-I32)</x:f>
      </x:c>
      <x:c r="K32" s="9"/>
      <x:c r="L32" s="9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9"/>
      <x:c r="B33" s="9"/>
      <x:c r="C33" s="6" t="str">
        <x:f>IF(B33="","",VLOOKUP(B33,Customers!$A$5:$J$504,3,FALSE))</x:f>
      </x:c>
      <x:c r="D33" s="6" t="str">
        <x:f>IF(B33="","",VLOOKUP(B33,Customers!$A$5:$J$504,4,FALSE))</x:f>
      </x:c>
      <x:c r="E33" s="9"/>
      <x:c r="F33" s="43"/>
      <x:c r="G33" s="9"/>
      <x:c r="H33" s="47" t="str">
        <x:f>IF(A33="","",SUMIFS(Sales!$K$5:$K$504,Sales!$I$5:$I$504,A33,Sales!$L$5:$L$504,"Approved"))</x:f>
      </x:c>
      <x:c r="I33" s="47" t="str">
        <x:f>IF(A33="","",SUMIFS(Payouts!$G$5:$G$504,Payouts!$B$5:$B$504,A33,Payouts!$H$5:$H$504,"Paid"))</x:f>
      </x:c>
      <x:c r="J33" s="47" t="str">
        <x:f>IF(A33="","",H33-I33)</x:f>
      </x:c>
      <x:c r="K33" s="9"/>
      <x:c r="L33" s="9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9"/>
      <x:c r="B34" s="9"/>
      <x:c r="C34" s="6" t="str">
        <x:f>IF(B34="","",VLOOKUP(B34,Customers!$A$5:$J$504,3,FALSE))</x:f>
      </x:c>
      <x:c r="D34" s="6" t="str">
        <x:f>IF(B34="","",VLOOKUP(B34,Customers!$A$5:$J$504,4,FALSE))</x:f>
      </x:c>
      <x:c r="E34" s="9"/>
      <x:c r="F34" s="43"/>
      <x:c r="G34" s="9"/>
      <x:c r="H34" s="47" t="str">
        <x:f>IF(A34="","",SUMIFS(Sales!$K$5:$K$504,Sales!$I$5:$I$504,A34,Sales!$L$5:$L$504,"Approved"))</x:f>
      </x:c>
      <x:c r="I34" s="47" t="str">
        <x:f>IF(A34="","",SUMIFS(Payouts!$G$5:$G$504,Payouts!$B$5:$B$504,A34,Payouts!$H$5:$H$504,"Paid"))</x:f>
      </x:c>
      <x:c r="J34" s="47" t="str">
        <x:f>IF(A34="","",H34-I34)</x:f>
      </x:c>
      <x:c r="K34" s="9"/>
      <x:c r="L34" s="9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9"/>
      <x:c r="B35" s="9"/>
      <x:c r="C35" s="6" t="str">
        <x:f>IF(B35="","",VLOOKUP(B35,Customers!$A$5:$J$504,3,FALSE))</x:f>
      </x:c>
      <x:c r="D35" s="6" t="str">
        <x:f>IF(B35="","",VLOOKUP(B35,Customers!$A$5:$J$504,4,FALSE))</x:f>
      </x:c>
      <x:c r="E35" s="9"/>
      <x:c r="F35" s="43"/>
      <x:c r="G35" s="9"/>
      <x:c r="H35" s="47" t="str">
        <x:f>IF(A35="","",SUMIFS(Sales!$K$5:$K$504,Sales!$I$5:$I$504,A35,Sales!$L$5:$L$504,"Approved"))</x:f>
      </x:c>
      <x:c r="I35" s="47" t="str">
        <x:f>IF(A35="","",SUMIFS(Payouts!$G$5:$G$504,Payouts!$B$5:$B$504,A35,Payouts!$H$5:$H$504,"Paid"))</x:f>
      </x:c>
      <x:c r="J35" s="47" t="str">
        <x:f>IF(A35="","",H35-I35)</x:f>
      </x:c>
      <x:c r="K35" s="9"/>
      <x:c r="L35" s="9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9"/>
      <x:c r="B36" s="9"/>
      <x:c r="C36" s="6" t="str">
        <x:f>IF(B36="","",VLOOKUP(B36,Customers!$A$5:$J$504,3,FALSE))</x:f>
      </x:c>
      <x:c r="D36" s="6" t="str">
        <x:f>IF(B36="","",VLOOKUP(B36,Customers!$A$5:$J$504,4,FALSE))</x:f>
      </x:c>
      <x:c r="E36" s="9"/>
      <x:c r="F36" s="43"/>
      <x:c r="G36" s="9"/>
      <x:c r="H36" s="47" t="str">
        <x:f>IF(A36="","",SUMIFS(Sales!$K$5:$K$504,Sales!$I$5:$I$504,A36,Sales!$L$5:$L$504,"Approved"))</x:f>
      </x:c>
      <x:c r="I36" s="47" t="str">
        <x:f>IF(A36="","",SUMIFS(Payouts!$G$5:$G$504,Payouts!$B$5:$B$504,A36,Payouts!$H$5:$H$504,"Paid"))</x:f>
      </x:c>
      <x:c r="J36" s="47" t="str">
        <x:f>IF(A36="","",H36-I36)</x:f>
      </x:c>
      <x:c r="K36" s="9"/>
      <x:c r="L36" s="9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9"/>
      <x:c r="B37" s="9"/>
      <x:c r="C37" s="6" t="str">
        <x:f>IF(B37="","",VLOOKUP(B37,Customers!$A$5:$J$504,3,FALSE))</x:f>
      </x:c>
      <x:c r="D37" s="6" t="str">
        <x:f>IF(B37="","",VLOOKUP(B37,Customers!$A$5:$J$504,4,FALSE))</x:f>
      </x:c>
      <x:c r="E37" s="9"/>
      <x:c r="F37" s="43"/>
      <x:c r="G37" s="9"/>
      <x:c r="H37" s="47" t="str">
        <x:f>IF(A37="","",SUMIFS(Sales!$K$5:$K$504,Sales!$I$5:$I$504,A37,Sales!$L$5:$L$504,"Approved"))</x:f>
      </x:c>
      <x:c r="I37" s="47" t="str">
        <x:f>IF(A37="","",SUMIFS(Payouts!$G$5:$G$504,Payouts!$B$5:$B$504,A37,Payouts!$H$5:$H$504,"Paid"))</x:f>
      </x:c>
      <x:c r="J37" s="47" t="str">
        <x:f>IF(A37="","",H37-I37)</x:f>
      </x:c>
      <x:c r="K37" s="9"/>
      <x:c r="L37" s="9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9"/>
      <x:c r="B38" s="9"/>
      <x:c r="C38" s="6" t="str">
        <x:f>IF(B38="","",VLOOKUP(B38,Customers!$A$5:$J$504,3,FALSE))</x:f>
      </x:c>
      <x:c r="D38" s="6" t="str">
        <x:f>IF(B38="","",VLOOKUP(B38,Customers!$A$5:$J$504,4,FALSE))</x:f>
      </x:c>
      <x:c r="E38" s="9"/>
      <x:c r="F38" s="43"/>
      <x:c r="G38" s="9"/>
      <x:c r="H38" s="47" t="str">
        <x:f>IF(A38="","",SUMIFS(Sales!$K$5:$K$504,Sales!$I$5:$I$504,A38,Sales!$L$5:$L$504,"Approved"))</x:f>
      </x:c>
      <x:c r="I38" s="47" t="str">
        <x:f>IF(A38="","",SUMIFS(Payouts!$G$5:$G$504,Payouts!$B$5:$B$504,A38,Payouts!$H$5:$H$504,"Paid"))</x:f>
      </x:c>
      <x:c r="J38" s="47" t="str">
        <x:f>IF(A38="","",H38-I38)</x:f>
      </x:c>
      <x:c r="K38" s="9"/>
      <x:c r="L38" s="9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9"/>
      <x:c r="B39" s="9"/>
      <x:c r="C39" s="6" t="str">
        <x:f>IF(B39="","",VLOOKUP(B39,Customers!$A$5:$J$504,3,FALSE))</x:f>
      </x:c>
      <x:c r="D39" s="6" t="str">
        <x:f>IF(B39="","",VLOOKUP(B39,Customers!$A$5:$J$504,4,FALSE))</x:f>
      </x:c>
      <x:c r="E39" s="9"/>
      <x:c r="F39" s="43"/>
      <x:c r="G39" s="9"/>
      <x:c r="H39" s="47" t="str">
        <x:f>IF(A39="","",SUMIFS(Sales!$K$5:$K$504,Sales!$I$5:$I$504,A39,Sales!$L$5:$L$504,"Approved"))</x:f>
      </x:c>
      <x:c r="I39" s="47" t="str">
        <x:f>IF(A39="","",SUMIFS(Payouts!$G$5:$G$504,Payouts!$B$5:$B$504,A39,Payouts!$H$5:$H$504,"Paid"))</x:f>
      </x:c>
      <x:c r="J39" s="47" t="str">
        <x:f>IF(A39="","",H39-I39)</x:f>
      </x:c>
      <x:c r="K39" s="9"/>
      <x:c r="L39" s="9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9"/>
      <x:c r="B40" s="9"/>
      <x:c r="C40" s="6" t="str">
        <x:f>IF(B40="","",VLOOKUP(B40,Customers!$A$5:$J$504,3,FALSE))</x:f>
      </x:c>
      <x:c r="D40" s="6" t="str">
        <x:f>IF(B40="","",VLOOKUP(B40,Customers!$A$5:$J$504,4,FALSE))</x:f>
      </x:c>
      <x:c r="E40" s="9"/>
      <x:c r="F40" s="43"/>
      <x:c r="G40" s="9"/>
      <x:c r="H40" s="47" t="str">
        <x:f>IF(A40="","",SUMIFS(Sales!$K$5:$K$504,Sales!$I$5:$I$504,A40,Sales!$L$5:$L$504,"Approved"))</x:f>
      </x:c>
      <x:c r="I40" s="47" t="str">
        <x:f>IF(A40="","",SUMIFS(Payouts!$G$5:$G$504,Payouts!$B$5:$B$504,A40,Payouts!$H$5:$H$504,"Paid"))</x:f>
      </x:c>
      <x:c r="J40" s="47" t="str">
        <x:f>IF(A40="","",H40-I40)</x:f>
      </x:c>
      <x:c r="K40" s="9"/>
      <x:c r="L40" s="9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9"/>
      <x:c r="B41" s="9"/>
      <x:c r="C41" s="6" t="str">
        <x:f>IF(B41="","",VLOOKUP(B41,Customers!$A$5:$J$504,3,FALSE))</x:f>
      </x:c>
      <x:c r="D41" s="6" t="str">
        <x:f>IF(B41="","",VLOOKUP(B41,Customers!$A$5:$J$504,4,FALSE))</x:f>
      </x:c>
      <x:c r="E41" s="9"/>
      <x:c r="F41" s="43"/>
      <x:c r="G41" s="9"/>
      <x:c r="H41" s="47" t="str">
        <x:f>IF(A41="","",SUMIFS(Sales!$K$5:$K$504,Sales!$I$5:$I$504,A41,Sales!$L$5:$L$504,"Approved"))</x:f>
      </x:c>
      <x:c r="I41" s="47" t="str">
        <x:f>IF(A41="","",SUMIFS(Payouts!$G$5:$G$504,Payouts!$B$5:$B$504,A41,Payouts!$H$5:$H$504,"Paid"))</x:f>
      </x:c>
      <x:c r="J41" s="47" t="str">
        <x:f>IF(A41="","",H41-I41)</x:f>
      </x:c>
      <x:c r="K41" s="9"/>
      <x:c r="L41" s="9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9"/>
      <x:c r="B42" s="9"/>
      <x:c r="C42" s="6" t="str">
        <x:f>IF(B42="","",VLOOKUP(B42,Customers!$A$5:$J$504,3,FALSE))</x:f>
      </x:c>
      <x:c r="D42" s="6" t="str">
        <x:f>IF(B42="","",VLOOKUP(B42,Customers!$A$5:$J$504,4,FALSE))</x:f>
      </x:c>
      <x:c r="E42" s="9"/>
      <x:c r="F42" s="43"/>
      <x:c r="G42" s="9"/>
      <x:c r="H42" s="47" t="str">
        <x:f>IF(A42="","",SUMIFS(Sales!$K$5:$K$504,Sales!$I$5:$I$504,A42,Sales!$L$5:$L$504,"Approved"))</x:f>
      </x:c>
      <x:c r="I42" s="47" t="str">
        <x:f>IF(A42="","",SUMIFS(Payouts!$G$5:$G$504,Payouts!$B$5:$B$504,A42,Payouts!$H$5:$H$504,"Paid"))</x:f>
      </x:c>
      <x:c r="J42" s="47" t="str">
        <x:f>IF(A42="","",H42-I42)</x:f>
      </x:c>
      <x:c r="K42" s="9"/>
      <x:c r="L42" s="9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9"/>
      <x:c r="B43" s="9"/>
      <x:c r="C43" s="6" t="str">
        <x:f>IF(B43="","",VLOOKUP(B43,Customers!$A$5:$J$504,3,FALSE))</x:f>
      </x:c>
      <x:c r="D43" s="6" t="str">
        <x:f>IF(B43="","",VLOOKUP(B43,Customers!$A$5:$J$504,4,FALSE))</x:f>
      </x:c>
      <x:c r="E43" s="9"/>
      <x:c r="F43" s="43"/>
      <x:c r="G43" s="9"/>
      <x:c r="H43" s="47" t="str">
        <x:f>IF(A43="","",SUMIFS(Sales!$K$5:$K$504,Sales!$I$5:$I$504,A43,Sales!$L$5:$L$504,"Approved"))</x:f>
      </x:c>
      <x:c r="I43" s="47" t="str">
        <x:f>IF(A43="","",SUMIFS(Payouts!$G$5:$G$504,Payouts!$B$5:$B$504,A43,Payouts!$H$5:$H$504,"Paid"))</x:f>
      </x:c>
      <x:c r="J43" s="47" t="str">
        <x:f>IF(A43="","",H43-I43)</x:f>
      </x:c>
      <x:c r="K43" s="9"/>
      <x:c r="L43" s="9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9"/>
      <x:c r="B44" s="9"/>
      <x:c r="C44" s="6" t="str">
        <x:f>IF(B44="","",VLOOKUP(B44,Customers!$A$5:$J$504,3,FALSE))</x:f>
      </x:c>
      <x:c r="D44" s="6" t="str">
        <x:f>IF(B44="","",VLOOKUP(B44,Customers!$A$5:$J$504,4,FALSE))</x:f>
      </x:c>
      <x:c r="E44" s="9"/>
      <x:c r="F44" s="43"/>
      <x:c r="G44" s="9"/>
      <x:c r="H44" s="47" t="str">
        <x:f>IF(A44="","",SUMIFS(Sales!$K$5:$K$504,Sales!$I$5:$I$504,A44,Sales!$L$5:$L$504,"Approved"))</x:f>
      </x:c>
      <x:c r="I44" s="47" t="str">
        <x:f>IF(A44="","",SUMIFS(Payouts!$G$5:$G$504,Payouts!$B$5:$B$504,A44,Payouts!$H$5:$H$504,"Paid"))</x:f>
      </x:c>
      <x:c r="J44" s="47" t="str">
        <x:f>IF(A44="","",H44-I44)</x:f>
      </x:c>
      <x:c r="K44" s="9"/>
      <x:c r="L44" s="9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9"/>
      <x:c r="B45" s="9"/>
      <x:c r="C45" s="6" t="str">
        <x:f>IF(B45="","",VLOOKUP(B45,Customers!$A$5:$J$504,3,FALSE))</x:f>
      </x:c>
      <x:c r="D45" s="6" t="str">
        <x:f>IF(B45="","",VLOOKUP(B45,Customers!$A$5:$J$504,4,FALSE))</x:f>
      </x:c>
      <x:c r="E45" s="9"/>
      <x:c r="F45" s="43"/>
      <x:c r="G45" s="9"/>
      <x:c r="H45" s="47" t="str">
        <x:f>IF(A45="","",SUMIFS(Sales!$K$5:$K$504,Sales!$I$5:$I$504,A45,Sales!$L$5:$L$504,"Approved"))</x:f>
      </x:c>
      <x:c r="I45" s="47" t="str">
        <x:f>IF(A45="","",SUMIFS(Payouts!$G$5:$G$504,Payouts!$B$5:$B$504,A45,Payouts!$H$5:$H$504,"Paid"))</x:f>
      </x:c>
      <x:c r="J45" s="47" t="str">
        <x:f>IF(A45="","",H45-I45)</x:f>
      </x:c>
      <x:c r="K45" s="9"/>
      <x:c r="L45" s="9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9"/>
      <x:c r="B46" s="9"/>
      <x:c r="C46" s="6" t="str">
        <x:f>IF(B46="","",VLOOKUP(B46,Customers!$A$5:$J$504,3,FALSE))</x:f>
      </x:c>
      <x:c r="D46" s="6" t="str">
        <x:f>IF(B46="","",VLOOKUP(B46,Customers!$A$5:$J$504,4,FALSE))</x:f>
      </x:c>
      <x:c r="E46" s="9"/>
      <x:c r="F46" s="43"/>
      <x:c r="G46" s="9"/>
      <x:c r="H46" s="47" t="str">
        <x:f>IF(A46="","",SUMIFS(Sales!$K$5:$K$504,Sales!$I$5:$I$504,A46,Sales!$L$5:$L$504,"Approved"))</x:f>
      </x:c>
      <x:c r="I46" s="47" t="str">
        <x:f>IF(A46="","",SUMIFS(Payouts!$G$5:$G$504,Payouts!$B$5:$B$504,A46,Payouts!$H$5:$H$504,"Paid"))</x:f>
      </x:c>
      <x:c r="J46" s="47" t="str">
        <x:f>IF(A46="","",H46-I46)</x:f>
      </x:c>
      <x:c r="K46" s="9"/>
      <x:c r="L46" s="9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9"/>
      <x:c r="B47" s="9"/>
      <x:c r="C47" s="6" t="str">
        <x:f>IF(B47="","",VLOOKUP(B47,Customers!$A$5:$J$504,3,FALSE))</x:f>
      </x:c>
      <x:c r="D47" s="6" t="str">
        <x:f>IF(B47="","",VLOOKUP(B47,Customers!$A$5:$J$504,4,FALSE))</x:f>
      </x:c>
      <x:c r="E47" s="9"/>
      <x:c r="F47" s="43"/>
      <x:c r="G47" s="9"/>
      <x:c r="H47" s="47" t="str">
        <x:f>IF(A47="","",SUMIFS(Sales!$K$5:$K$504,Sales!$I$5:$I$504,A47,Sales!$L$5:$L$504,"Approved"))</x:f>
      </x:c>
      <x:c r="I47" s="47" t="str">
        <x:f>IF(A47="","",SUMIFS(Payouts!$G$5:$G$504,Payouts!$B$5:$B$504,A47,Payouts!$H$5:$H$504,"Paid"))</x:f>
      </x:c>
      <x:c r="J47" s="47" t="str">
        <x:f>IF(A47="","",H47-I47)</x:f>
      </x:c>
      <x:c r="K47" s="9"/>
      <x:c r="L47" s="9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9"/>
      <x:c r="B48" s="9"/>
      <x:c r="C48" s="6" t="str">
        <x:f>IF(B48="","",VLOOKUP(B48,Customers!$A$5:$J$504,3,FALSE))</x:f>
      </x:c>
      <x:c r="D48" s="6" t="str">
        <x:f>IF(B48="","",VLOOKUP(B48,Customers!$A$5:$J$504,4,FALSE))</x:f>
      </x:c>
      <x:c r="E48" s="9"/>
      <x:c r="F48" s="43"/>
      <x:c r="G48" s="9"/>
      <x:c r="H48" s="47" t="str">
        <x:f>IF(A48="","",SUMIFS(Sales!$K$5:$K$504,Sales!$I$5:$I$504,A48,Sales!$L$5:$L$504,"Approved"))</x:f>
      </x:c>
      <x:c r="I48" s="47" t="str">
        <x:f>IF(A48="","",SUMIFS(Payouts!$G$5:$G$504,Payouts!$B$5:$B$504,A48,Payouts!$H$5:$H$504,"Paid"))</x:f>
      </x:c>
      <x:c r="J48" s="47" t="str">
        <x:f>IF(A48="","",H48-I48)</x:f>
      </x:c>
      <x:c r="K48" s="9"/>
      <x:c r="L48" s="9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9"/>
      <x:c r="B49" s="9"/>
      <x:c r="C49" s="6" t="str">
        <x:f>IF(B49="","",VLOOKUP(B49,Customers!$A$5:$J$504,3,FALSE))</x:f>
      </x:c>
      <x:c r="D49" s="6" t="str">
        <x:f>IF(B49="","",VLOOKUP(B49,Customers!$A$5:$J$504,4,FALSE))</x:f>
      </x:c>
      <x:c r="E49" s="9"/>
      <x:c r="F49" s="43"/>
      <x:c r="G49" s="9"/>
      <x:c r="H49" s="47" t="str">
        <x:f>IF(A49="","",SUMIFS(Sales!$K$5:$K$504,Sales!$I$5:$I$504,A49,Sales!$L$5:$L$504,"Approved"))</x:f>
      </x:c>
      <x:c r="I49" s="47" t="str">
        <x:f>IF(A49="","",SUMIFS(Payouts!$G$5:$G$504,Payouts!$B$5:$B$504,A49,Payouts!$H$5:$H$504,"Paid"))</x:f>
      </x:c>
      <x:c r="J49" s="47" t="str">
        <x:f>IF(A49="","",H49-I49)</x:f>
      </x:c>
      <x:c r="K49" s="9"/>
      <x:c r="L49" s="9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9"/>
      <x:c r="B50" s="9"/>
      <x:c r="C50" s="6" t="str">
        <x:f>IF(B50="","",VLOOKUP(B50,Customers!$A$5:$J$504,3,FALSE))</x:f>
      </x:c>
      <x:c r="D50" s="6" t="str">
        <x:f>IF(B50="","",VLOOKUP(B50,Customers!$A$5:$J$504,4,FALSE))</x:f>
      </x:c>
      <x:c r="E50" s="9"/>
      <x:c r="F50" s="43"/>
      <x:c r="G50" s="9"/>
      <x:c r="H50" s="47" t="str">
        <x:f>IF(A50="","",SUMIFS(Sales!$K$5:$K$504,Sales!$I$5:$I$504,A50,Sales!$L$5:$L$504,"Approved"))</x:f>
      </x:c>
      <x:c r="I50" s="47" t="str">
        <x:f>IF(A50="","",SUMIFS(Payouts!$G$5:$G$504,Payouts!$B$5:$B$504,A50,Payouts!$H$5:$H$504,"Paid"))</x:f>
      </x:c>
      <x:c r="J50" s="47" t="str">
        <x:f>IF(A50="","",H50-I50)</x:f>
      </x:c>
      <x:c r="K50" s="9"/>
      <x:c r="L50" s="9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9"/>
      <x:c r="B51" s="9"/>
      <x:c r="C51" s="6" t="str">
        <x:f>IF(B51="","",VLOOKUP(B51,Customers!$A$5:$J$504,3,FALSE))</x:f>
      </x:c>
      <x:c r="D51" s="6" t="str">
        <x:f>IF(B51="","",VLOOKUP(B51,Customers!$A$5:$J$504,4,FALSE))</x:f>
      </x:c>
      <x:c r="E51" s="9"/>
      <x:c r="F51" s="43"/>
      <x:c r="G51" s="9"/>
      <x:c r="H51" s="47" t="str">
        <x:f>IF(A51="","",SUMIFS(Sales!$K$5:$K$504,Sales!$I$5:$I$504,A51,Sales!$L$5:$L$504,"Approved"))</x:f>
      </x:c>
      <x:c r="I51" s="47" t="str">
        <x:f>IF(A51="","",SUMIFS(Payouts!$G$5:$G$504,Payouts!$B$5:$B$504,A51,Payouts!$H$5:$H$504,"Paid"))</x:f>
      </x:c>
      <x:c r="J51" s="47" t="str">
        <x:f>IF(A51="","",H51-I51)</x:f>
      </x:c>
      <x:c r="K51" s="9"/>
      <x:c r="L51" s="9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9"/>
      <x:c r="B52" s="9"/>
      <x:c r="C52" s="6" t="str">
        <x:f>IF(B52="","",VLOOKUP(B52,Customers!$A$5:$J$504,3,FALSE))</x:f>
      </x:c>
      <x:c r="D52" s="6" t="str">
        <x:f>IF(B52="","",VLOOKUP(B52,Customers!$A$5:$J$504,4,FALSE))</x:f>
      </x:c>
      <x:c r="E52" s="9"/>
      <x:c r="F52" s="43"/>
      <x:c r="G52" s="9"/>
      <x:c r="H52" s="47" t="str">
        <x:f>IF(A52="","",SUMIFS(Sales!$K$5:$K$504,Sales!$I$5:$I$504,A52,Sales!$L$5:$L$504,"Approved"))</x:f>
      </x:c>
      <x:c r="I52" s="47" t="str">
        <x:f>IF(A52="","",SUMIFS(Payouts!$G$5:$G$504,Payouts!$B$5:$B$504,A52,Payouts!$H$5:$H$504,"Paid"))</x:f>
      </x:c>
      <x:c r="J52" s="47" t="str">
        <x:f>IF(A52="","",H52-I52)</x:f>
      </x:c>
      <x:c r="K52" s="9"/>
      <x:c r="L52" s="9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9"/>
      <x:c r="B53" s="9"/>
      <x:c r="C53" s="6" t="str">
        <x:f>IF(B53="","",VLOOKUP(B53,Customers!$A$5:$J$504,3,FALSE))</x:f>
      </x:c>
      <x:c r="D53" s="6" t="str">
        <x:f>IF(B53="","",VLOOKUP(B53,Customers!$A$5:$J$504,4,FALSE))</x:f>
      </x:c>
      <x:c r="E53" s="9"/>
      <x:c r="F53" s="43"/>
      <x:c r="G53" s="9"/>
      <x:c r="H53" s="47" t="str">
        <x:f>IF(A53="","",SUMIFS(Sales!$K$5:$K$504,Sales!$I$5:$I$504,A53,Sales!$L$5:$L$504,"Approved"))</x:f>
      </x:c>
      <x:c r="I53" s="47" t="str">
        <x:f>IF(A53="","",SUMIFS(Payouts!$G$5:$G$504,Payouts!$B$5:$B$504,A53,Payouts!$H$5:$H$504,"Paid"))</x:f>
      </x:c>
      <x:c r="J53" s="47" t="str">
        <x:f>IF(A53="","",H53-I53)</x:f>
      </x:c>
      <x:c r="K53" s="9"/>
      <x:c r="L53" s="9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9"/>
      <x:c r="B54" s="9"/>
      <x:c r="C54" s="6" t="str">
        <x:f>IF(B54="","",VLOOKUP(B54,Customers!$A$5:$J$504,3,FALSE))</x:f>
      </x:c>
      <x:c r="D54" s="6" t="str">
        <x:f>IF(B54="","",VLOOKUP(B54,Customers!$A$5:$J$504,4,FALSE))</x:f>
      </x:c>
      <x:c r="E54" s="9"/>
      <x:c r="F54" s="43"/>
      <x:c r="G54" s="9"/>
      <x:c r="H54" s="47" t="str">
        <x:f>IF(A54="","",SUMIFS(Sales!$K$5:$K$504,Sales!$I$5:$I$504,A54,Sales!$L$5:$L$504,"Approved"))</x:f>
      </x:c>
      <x:c r="I54" s="47" t="str">
        <x:f>IF(A54="","",SUMIFS(Payouts!$G$5:$G$504,Payouts!$B$5:$B$504,A54,Payouts!$H$5:$H$504,"Paid"))</x:f>
      </x:c>
      <x:c r="J54" s="47" t="str">
        <x:f>IF(A54="","",H54-I54)</x:f>
      </x:c>
      <x:c r="K54" s="9"/>
      <x:c r="L54" s="9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9"/>
      <x:c r="B55" s="9"/>
      <x:c r="C55" s="6" t="str">
        <x:f>IF(B55="","",VLOOKUP(B55,Customers!$A$5:$J$504,3,FALSE))</x:f>
      </x:c>
      <x:c r="D55" s="6" t="str">
        <x:f>IF(B55="","",VLOOKUP(B55,Customers!$A$5:$J$504,4,FALSE))</x:f>
      </x:c>
      <x:c r="E55" s="9"/>
      <x:c r="F55" s="43"/>
      <x:c r="G55" s="9"/>
      <x:c r="H55" s="47" t="str">
        <x:f>IF(A55="","",SUMIFS(Sales!$K$5:$K$504,Sales!$I$5:$I$504,A55,Sales!$L$5:$L$504,"Approved"))</x:f>
      </x:c>
      <x:c r="I55" s="47" t="str">
        <x:f>IF(A55="","",SUMIFS(Payouts!$G$5:$G$504,Payouts!$B$5:$B$504,A55,Payouts!$H$5:$H$504,"Paid"))</x:f>
      </x:c>
      <x:c r="J55" s="47" t="str">
        <x:f>IF(A55="","",H55-I55)</x:f>
      </x:c>
      <x:c r="K55" s="9"/>
      <x:c r="L55" s="9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9"/>
      <x:c r="B56" s="9"/>
      <x:c r="C56" s="6" t="str">
        <x:f>IF(B56="","",VLOOKUP(B56,Customers!$A$5:$J$504,3,FALSE))</x:f>
      </x:c>
      <x:c r="D56" s="6" t="str">
        <x:f>IF(B56="","",VLOOKUP(B56,Customers!$A$5:$J$504,4,FALSE))</x:f>
      </x:c>
      <x:c r="E56" s="9"/>
      <x:c r="F56" s="43"/>
      <x:c r="G56" s="9"/>
      <x:c r="H56" s="47" t="str">
        <x:f>IF(A56="","",SUMIFS(Sales!$K$5:$K$504,Sales!$I$5:$I$504,A56,Sales!$L$5:$L$504,"Approved"))</x:f>
      </x:c>
      <x:c r="I56" s="47" t="str">
        <x:f>IF(A56="","",SUMIFS(Payouts!$G$5:$G$504,Payouts!$B$5:$B$504,A56,Payouts!$H$5:$H$504,"Paid"))</x:f>
      </x:c>
      <x:c r="J56" s="47" t="str">
        <x:f>IF(A56="","",H56-I56)</x:f>
      </x:c>
      <x:c r="K56" s="9"/>
      <x:c r="L56" s="9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9"/>
      <x:c r="B57" s="9"/>
      <x:c r="C57" s="6" t="str">
        <x:f>IF(B57="","",VLOOKUP(B57,Customers!$A$5:$J$504,3,FALSE))</x:f>
      </x:c>
      <x:c r="D57" s="6" t="str">
        <x:f>IF(B57="","",VLOOKUP(B57,Customers!$A$5:$J$504,4,FALSE))</x:f>
      </x:c>
      <x:c r="E57" s="9"/>
      <x:c r="F57" s="43"/>
      <x:c r="G57" s="9"/>
      <x:c r="H57" s="47" t="str">
        <x:f>IF(A57="","",SUMIFS(Sales!$K$5:$K$504,Sales!$I$5:$I$504,A57,Sales!$L$5:$L$504,"Approved"))</x:f>
      </x:c>
      <x:c r="I57" s="47" t="str">
        <x:f>IF(A57="","",SUMIFS(Payouts!$G$5:$G$504,Payouts!$B$5:$B$504,A57,Payouts!$H$5:$H$504,"Paid"))</x:f>
      </x:c>
      <x:c r="J57" s="47" t="str">
        <x:f>IF(A57="","",H57-I57)</x:f>
      </x:c>
      <x:c r="K57" s="9"/>
      <x:c r="L57" s="9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9"/>
      <x:c r="B58" s="9"/>
      <x:c r="C58" s="6" t="str">
        <x:f>IF(B58="","",VLOOKUP(B58,Customers!$A$5:$J$504,3,FALSE))</x:f>
      </x:c>
      <x:c r="D58" s="6" t="str">
        <x:f>IF(B58="","",VLOOKUP(B58,Customers!$A$5:$J$504,4,FALSE))</x:f>
      </x:c>
      <x:c r="E58" s="9"/>
      <x:c r="F58" s="43"/>
      <x:c r="G58" s="9"/>
      <x:c r="H58" s="47" t="str">
        <x:f>IF(A58="","",SUMIFS(Sales!$K$5:$K$504,Sales!$I$5:$I$504,A58,Sales!$L$5:$L$504,"Approved"))</x:f>
      </x:c>
      <x:c r="I58" s="47" t="str">
        <x:f>IF(A58="","",SUMIFS(Payouts!$G$5:$G$504,Payouts!$B$5:$B$504,A58,Payouts!$H$5:$H$504,"Paid"))</x:f>
      </x:c>
      <x:c r="J58" s="47" t="str">
        <x:f>IF(A58="","",H58-I58)</x:f>
      </x:c>
      <x:c r="K58" s="9"/>
      <x:c r="L58" s="9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9"/>
      <x:c r="B59" s="9"/>
      <x:c r="C59" s="6" t="str">
        <x:f>IF(B59="","",VLOOKUP(B59,Customers!$A$5:$J$504,3,FALSE))</x:f>
      </x:c>
      <x:c r="D59" s="6" t="str">
        <x:f>IF(B59="","",VLOOKUP(B59,Customers!$A$5:$J$504,4,FALSE))</x:f>
      </x:c>
      <x:c r="E59" s="9"/>
      <x:c r="F59" s="43"/>
      <x:c r="G59" s="9"/>
      <x:c r="H59" s="47" t="str">
        <x:f>IF(A59="","",SUMIFS(Sales!$K$5:$K$504,Sales!$I$5:$I$504,A59,Sales!$L$5:$L$504,"Approved"))</x:f>
      </x:c>
      <x:c r="I59" s="47" t="str">
        <x:f>IF(A59="","",SUMIFS(Payouts!$G$5:$G$504,Payouts!$B$5:$B$504,A59,Payouts!$H$5:$H$504,"Paid"))</x:f>
      </x:c>
      <x:c r="J59" s="47" t="str">
        <x:f>IF(A59="","",H59-I59)</x:f>
      </x:c>
      <x:c r="K59" s="9"/>
      <x:c r="L59" s="9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9"/>
      <x:c r="B60" s="9"/>
      <x:c r="C60" s="6" t="str">
        <x:f>IF(B60="","",VLOOKUP(B60,Customers!$A$5:$J$504,3,FALSE))</x:f>
      </x:c>
      <x:c r="D60" s="6" t="str">
        <x:f>IF(B60="","",VLOOKUP(B60,Customers!$A$5:$J$504,4,FALSE))</x:f>
      </x:c>
      <x:c r="E60" s="9"/>
      <x:c r="F60" s="43"/>
      <x:c r="G60" s="9"/>
      <x:c r="H60" s="47" t="str">
        <x:f>IF(A60="","",SUMIFS(Sales!$K$5:$K$504,Sales!$I$5:$I$504,A60,Sales!$L$5:$L$504,"Approved"))</x:f>
      </x:c>
      <x:c r="I60" s="47" t="str">
        <x:f>IF(A60="","",SUMIFS(Payouts!$G$5:$G$504,Payouts!$B$5:$B$504,A60,Payouts!$H$5:$H$504,"Paid"))</x:f>
      </x:c>
      <x:c r="J60" s="47" t="str">
        <x:f>IF(A60="","",H60-I60)</x:f>
      </x:c>
      <x:c r="K60" s="9"/>
      <x:c r="L60" s="9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9"/>
      <x:c r="B61" s="9"/>
      <x:c r="C61" s="6" t="str">
        <x:f>IF(B61="","",VLOOKUP(B61,Customers!$A$5:$J$504,3,FALSE))</x:f>
      </x:c>
      <x:c r="D61" s="6" t="str">
        <x:f>IF(B61="","",VLOOKUP(B61,Customers!$A$5:$J$504,4,FALSE))</x:f>
      </x:c>
      <x:c r="E61" s="9"/>
      <x:c r="F61" s="43"/>
      <x:c r="G61" s="9"/>
      <x:c r="H61" s="47" t="str">
        <x:f>IF(A61="","",SUMIFS(Sales!$K$5:$K$504,Sales!$I$5:$I$504,A61,Sales!$L$5:$L$504,"Approved"))</x:f>
      </x:c>
      <x:c r="I61" s="47" t="str">
        <x:f>IF(A61="","",SUMIFS(Payouts!$G$5:$G$504,Payouts!$B$5:$B$504,A61,Payouts!$H$5:$H$504,"Paid"))</x:f>
      </x:c>
      <x:c r="J61" s="47" t="str">
        <x:f>IF(A61="","",H61-I61)</x:f>
      </x:c>
      <x:c r="K61" s="9"/>
      <x:c r="L61" s="9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9"/>
      <x:c r="B62" s="9"/>
      <x:c r="C62" s="6" t="str">
        <x:f>IF(B62="","",VLOOKUP(B62,Customers!$A$5:$J$504,3,FALSE))</x:f>
      </x:c>
      <x:c r="D62" s="6" t="str">
        <x:f>IF(B62="","",VLOOKUP(B62,Customers!$A$5:$J$504,4,FALSE))</x:f>
      </x:c>
      <x:c r="E62" s="9"/>
      <x:c r="F62" s="43"/>
      <x:c r="G62" s="9"/>
      <x:c r="H62" s="47" t="str">
        <x:f>IF(A62="","",SUMIFS(Sales!$K$5:$K$504,Sales!$I$5:$I$504,A62,Sales!$L$5:$L$504,"Approved"))</x:f>
      </x:c>
      <x:c r="I62" s="47" t="str">
        <x:f>IF(A62="","",SUMIFS(Payouts!$G$5:$G$504,Payouts!$B$5:$B$504,A62,Payouts!$H$5:$H$504,"Paid"))</x:f>
      </x:c>
      <x:c r="J62" s="47" t="str">
        <x:f>IF(A62="","",H62-I62)</x:f>
      </x:c>
      <x:c r="K62" s="9"/>
      <x:c r="L62" s="9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9"/>
      <x:c r="B63" s="9"/>
      <x:c r="C63" s="6" t="str">
        <x:f>IF(B63="","",VLOOKUP(B63,Customers!$A$5:$J$504,3,FALSE))</x:f>
      </x:c>
      <x:c r="D63" s="6" t="str">
        <x:f>IF(B63="","",VLOOKUP(B63,Customers!$A$5:$J$504,4,FALSE))</x:f>
      </x:c>
      <x:c r="E63" s="9"/>
      <x:c r="F63" s="43"/>
      <x:c r="G63" s="9"/>
      <x:c r="H63" s="47" t="str">
        <x:f>IF(A63="","",SUMIFS(Sales!$K$5:$K$504,Sales!$I$5:$I$504,A63,Sales!$L$5:$L$504,"Approved"))</x:f>
      </x:c>
      <x:c r="I63" s="47" t="str">
        <x:f>IF(A63="","",SUMIFS(Payouts!$G$5:$G$504,Payouts!$B$5:$B$504,A63,Payouts!$H$5:$H$504,"Paid"))</x:f>
      </x:c>
      <x:c r="J63" s="47" t="str">
        <x:f>IF(A63="","",H63-I63)</x:f>
      </x:c>
      <x:c r="K63" s="9"/>
      <x:c r="L63" s="9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9"/>
      <x:c r="B64" s="9"/>
      <x:c r="C64" s="6" t="str">
        <x:f>IF(B64="","",VLOOKUP(B64,Customers!$A$5:$J$504,3,FALSE))</x:f>
      </x:c>
      <x:c r="D64" s="6" t="str">
        <x:f>IF(B64="","",VLOOKUP(B64,Customers!$A$5:$J$504,4,FALSE))</x:f>
      </x:c>
      <x:c r="E64" s="9"/>
      <x:c r="F64" s="43"/>
      <x:c r="G64" s="9"/>
      <x:c r="H64" s="47" t="str">
        <x:f>IF(A64="","",SUMIFS(Sales!$K$5:$K$504,Sales!$I$5:$I$504,A64,Sales!$L$5:$L$504,"Approved"))</x:f>
      </x:c>
      <x:c r="I64" s="47" t="str">
        <x:f>IF(A64="","",SUMIFS(Payouts!$G$5:$G$504,Payouts!$B$5:$B$504,A64,Payouts!$H$5:$H$504,"Paid"))</x:f>
      </x:c>
      <x:c r="J64" s="47" t="str">
        <x:f>IF(A64="","",H64-I64)</x:f>
      </x:c>
      <x:c r="K64" s="9"/>
      <x:c r="L64" s="9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9"/>
      <x:c r="B65" s="9"/>
      <x:c r="C65" s="6" t="str">
        <x:f>IF(B65="","",VLOOKUP(B65,Customers!$A$5:$J$504,3,FALSE))</x:f>
      </x:c>
      <x:c r="D65" s="6" t="str">
        <x:f>IF(B65="","",VLOOKUP(B65,Customers!$A$5:$J$504,4,FALSE))</x:f>
      </x:c>
      <x:c r="E65" s="9"/>
      <x:c r="F65" s="43"/>
      <x:c r="G65" s="9"/>
      <x:c r="H65" s="47" t="str">
        <x:f>IF(A65="","",SUMIFS(Sales!$K$5:$K$504,Sales!$I$5:$I$504,A65,Sales!$L$5:$L$504,"Approved"))</x:f>
      </x:c>
      <x:c r="I65" s="47" t="str">
        <x:f>IF(A65="","",SUMIFS(Payouts!$G$5:$G$504,Payouts!$B$5:$B$504,A65,Payouts!$H$5:$H$504,"Paid"))</x:f>
      </x:c>
      <x:c r="J65" s="47" t="str">
        <x:f>IF(A65="","",H65-I65)</x:f>
      </x:c>
      <x:c r="K65" s="9"/>
      <x:c r="L65" s="9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9"/>
      <x:c r="B66" s="9"/>
      <x:c r="C66" s="6" t="str">
        <x:f>IF(B66="","",VLOOKUP(B66,Customers!$A$5:$J$504,3,FALSE))</x:f>
      </x:c>
      <x:c r="D66" s="6" t="str">
        <x:f>IF(B66="","",VLOOKUP(B66,Customers!$A$5:$J$504,4,FALSE))</x:f>
      </x:c>
      <x:c r="E66" s="9"/>
      <x:c r="F66" s="43"/>
      <x:c r="G66" s="9"/>
      <x:c r="H66" s="47" t="str">
        <x:f>IF(A66="","",SUMIFS(Sales!$K$5:$K$504,Sales!$I$5:$I$504,A66,Sales!$L$5:$L$504,"Approved"))</x:f>
      </x:c>
      <x:c r="I66" s="47" t="str">
        <x:f>IF(A66="","",SUMIFS(Payouts!$G$5:$G$504,Payouts!$B$5:$B$504,A66,Payouts!$H$5:$H$504,"Paid"))</x:f>
      </x:c>
      <x:c r="J66" s="47" t="str">
        <x:f>IF(A66="","",H66-I66)</x:f>
      </x:c>
      <x:c r="K66" s="9"/>
      <x:c r="L66" s="9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9"/>
      <x:c r="B67" s="9"/>
      <x:c r="C67" s="6" t="str">
        <x:f>IF(B67="","",VLOOKUP(B67,Customers!$A$5:$J$504,3,FALSE))</x:f>
      </x:c>
      <x:c r="D67" s="6" t="str">
        <x:f>IF(B67="","",VLOOKUP(B67,Customers!$A$5:$J$504,4,FALSE))</x:f>
      </x:c>
      <x:c r="E67" s="9"/>
      <x:c r="F67" s="43"/>
      <x:c r="G67" s="9"/>
      <x:c r="H67" s="47" t="str">
        <x:f>IF(A67="","",SUMIFS(Sales!$K$5:$K$504,Sales!$I$5:$I$504,A67,Sales!$L$5:$L$504,"Approved"))</x:f>
      </x:c>
      <x:c r="I67" s="47" t="str">
        <x:f>IF(A67="","",SUMIFS(Payouts!$G$5:$G$504,Payouts!$B$5:$B$504,A67,Payouts!$H$5:$H$504,"Paid"))</x:f>
      </x:c>
      <x:c r="J67" s="47" t="str">
        <x:f>IF(A67="","",H67-I67)</x:f>
      </x:c>
      <x:c r="K67" s="9"/>
      <x:c r="L67" s="9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9"/>
      <x:c r="B68" s="9"/>
      <x:c r="C68" s="6" t="str">
        <x:f>IF(B68="","",VLOOKUP(B68,Customers!$A$5:$J$504,3,FALSE))</x:f>
      </x:c>
      <x:c r="D68" s="6" t="str">
        <x:f>IF(B68="","",VLOOKUP(B68,Customers!$A$5:$J$504,4,FALSE))</x:f>
      </x:c>
      <x:c r="E68" s="9"/>
      <x:c r="F68" s="43"/>
      <x:c r="G68" s="9"/>
      <x:c r="H68" s="47" t="str">
        <x:f>IF(A68="","",SUMIFS(Sales!$K$5:$K$504,Sales!$I$5:$I$504,A68,Sales!$L$5:$L$504,"Approved"))</x:f>
      </x:c>
      <x:c r="I68" s="47" t="str">
        <x:f>IF(A68="","",SUMIFS(Payouts!$G$5:$G$504,Payouts!$B$5:$B$504,A68,Payouts!$H$5:$H$504,"Paid"))</x:f>
      </x:c>
      <x:c r="J68" s="47" t="str">
        <x:f>IF(A68="","",H68-I68)</x:f>
      </x:c>
      <x:c r="K68" s="9"/>
      <x:c r="L68" s="9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9"/>
      <x:c r="B69" s="9"/>
      <x:c r="C69" s="6" t="str">
        <x:f>IF(B69="","",VLOOKUP(B69,Customers!$A$5:$J$504,3,FALSE))</x:f>
      </x:c>
      <x:c r="D69" s="6" t="str">
        <x:f>IF(B69="","",VLOOKUP(B69,Customers!$A$5:$J$504,4,FALSE))</x:f>
      </x:c>
      <x:c r="E69" s="9"/>
      <x:c r="F69" s="43"/>
      <x:c r="G69" s="9"/>
      <x:c r="H69" s="47" t="str">
        <x:f>IF(A69="","",SUMIFS(Sales!$K$5:$K$504,Sales!$I$5:$I$504,A69,Sales!$L$5:$L$504,"Approved"))</x:f>
      </x:c>
      <x:c r="I69" s="47" t="str">
        <x:f>IF(A69="","",SUMIFS(Payouts!$G$5:$G$504,Payouts!$B$5:$B$504,A69,Payouts!$H$5:$H$504,"Paid"))</x:f>
      </x:c>
      <x:c r="J69" s="47" t="str">
        <x:f>IF(A69="","",H69-I69)</x:f>
      </x:c>
      <x:c r="K69" s="9"/>
      <x:c r="L69" s="9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9"/>
      <x:c r="B70" s="9"/>
      <x:c r="C70" s="6" t="str">
        <x:f>IF(B70="","",VLOOKUP(B70,Customers!$A$5:$J$504,3,FALSE))</x:f>
      </x:c>
      <x:c r="D70" s="6" t="str">
        <x:f>IF(B70="","",VLOOKUP(B70,Customers!$A$5:$J$504,4,FALSE))</x:f>
      </x:c>
      <x:c r="E70" s="9"/>
      <x:c r="F70" s="43"/>
      <x:c r="G70" s="9"/>
      <x:c r="H70" s="47" t="str">
        <x:f>IF(A70="","",SUMIFS(Sales!$K$5:$K$504,Sales!$I$5:$I$504,A70,Sales!$L$5:$L$504,"Approved"))</x:f>
      </x:c>
      <x:c r="I70" s="47" t="str">
        <x:f>IF(A70="","",SUMIFS(Payouts!$G$5:$G$504,Payouts!$B$5:$B$504,A70,Payouts!$H$5:$H$504,"Paid"))</x:f>
      </x:c>
      <x:c r="J70" s="47" t="str">
        <x:f>IF(A70="","",H70-I70)</x:f>
      </x:c>
      <x:c r="K70" s="9"/>
      <x:c r="L70" s="9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9"/>
      <x:c r="B71" s="9"/>
      <x:c r="C71" s="6" t="str">
        <x:f>IF(B71="","",VLOOKUP(B71,Customers!$A$5:$J$504,3,FALSE))</x:f>
      </x:c>
      <x:c r="D71" s="6" t="str">
        <x:f>IF(B71="","",VLOOKUP(B71,Customers!$A$5:$J$504,4,FALSE))</x:f>
      </x:c>
      <x:c r="E71" s="9"/>
      <x:c r="F71" s="43"/>
      <x:c r="G71" s="9"/>
      <x:c r="H71" s="47" t="str">
        <x:f>IF(A71="","",SUMIFS(Sales!$K$5:$K$504,Sales!$I$5:$I$504,A71,Sales!$L$5:$L$504,"Approved"))</x:f>
      </x:c>
      <x:c r="I71" s="47" t="str">
        <x:f>IF(A71="","",SUMIFS(Payouts!$G$5:$G$504,Payouts!$B$5:$B$504,A71,Payouts!$H$5:$H$504,"Paid"))</x:f>
      </x:c>
      <x:c r="J71" s="47" t="str">
        <x:f>IF(A71="","",H71-I71)</x:f>
      </x:c>
      <x:c r="K71" s="9"/>
      <x:c r="L71" s="9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9"/>
      <x:c r="B72" s="9"/>
      <x:c r="C72" s="6" t="str">
        <x:f>IF(B72="","",VLOOKUP(B72,Customers!$A$5:$J$504,3,FALSE))</x:f>
      </x:c>
      <x:c r="D72" s="6" t="str">
        <x:f>IF(B72="","",VLOOKUP(B72,Customers!$A$5:$J$504,4,FALSE))</x:f>
      </x:c>
      <x:c r="E72" s="9"/>
      <x:c r="F72" s="43"/>
      <x:c r="G72" s="9"/>
      <x:c r="H72" s="47" t="str">
        <x:f>IF(A72="","",SUMIFS(Sales!$K$5:$K$504,Sales!$I$5:$I$504,A72,Sales!$L$5:$L$504,"Approved"))</x:f>
      </x:c>
      <x:c r="I72" s="47" t="str">
        <x:f>IF(A72="","",SUMIFS(Payouts!$G$5:$G$504,Payouts!$B$5:$B$504,A72,Payouts!$H$5:$H$504,"Paid"))</x:f>
      </x:c>
      <x:c r="J72" s="47" t="str">
        <x:f>IF(A72="","",H72-I72)</x:f>
      </x:c>
      <x:c r="K72" s="9"/>
      <x:c r="L72" s="9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9"/>
      <x:c r="B73" s="9"/>
      <x:c r="C73" s="6" t="str">
        <x:f>IF(B73="","",VLOOKUP(B73,Customers!$A$5:$J$504,3,FALSE))</x:f>
      </x:c>
      <x:c r="D73" s="6" t="str">
        <x:f>IF(B73="","",VLOOKUP(B73,Customers!$A$5:$J$504,4,FALSE))</x:f>
      </x:c>
      <x:c r="E73" s="9"/>
      <x:c r="F73" s="43"/>
      <x:c r="G73" s="9"/>
      <x:c r="H73" s="47" t="str">
        <x:f>IF(A73="","",SUMIFS(Sales!$K$5:$K$504,Sales!$I$5:$I$504,A73,Sales!$L$5:$L$504,"Approved"))</x:f>
      </x:c>
      <x:c r="I73" s="47" t="str">
        <x:f>IF(A73="","",SUMIFS(Payouts!$G$5:$G$504,Payouts!$B$5:$B$504,A73,Payouts!$H$5:$H$504,"Paid"))</x:f>
      </x:c>
      <x:c r="J73" s="47" t="str">
        <x:f>IF(A73="","",H73-I73)</x:f>
      </x:c>
      <x:c r="K73" s="9"/>
      <x:c r="L73" s="9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9"/>
      <x:c r="B74" s="9"/>
      <x:c r="C74" s="6" t="str">
        <x:f>IF(B74="","",VLOOKUP(B74,Customers!$A$5:$J$504,3,FALSE))</x:f>
      </x:c>
      <x:c r="D74" s="6" t="str">
        <x:f>IF(B74="","",VLOOKUP(B74,Customers!$A$5:$J$504,4,FALSE))</x:f>
      </x:c>
      <x:c r="E74" s="9"/>
      <x:c r="F74" s="43"/>
      <x:c r="G74" s="9"/>
      <x:c r="H74" s="47" t="str">
        <x:f>IF(A74="","",SUMIFS(Sales!$K$5:$K$504,Sales!$I$5:$I$504,A74,Sales!$L$5:$L$504,"Approved"))</x:f>
      </x:c>
      <x:c r="I74" s="47" t="str">
        <x:f>IF(A74="","",SUMIFS(Payouts!$G$5:$G$504,Payouts!$B$5:$B$504,A74,Payouts!$H$5:$H$504,"Paid"))</x:f>
      </x:c>
      <x:c r="J74" s="47" t="str">
        <x:f>IF(A74="","",H74-I74)</x:f>
      </x:c>
      <x:c r="K74" s="9"/>
      <x:c r="L74" s="9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9"/>
      <x:c r="B75" s="9"/>
      <x:c r="C75" s="6" t="str">
        <x:f>IF(B75="","",VLOOKUP(B75,Customers!$A$5:$J$504,3,FALSE))</x:f>
      </x:c>
      <x:c r="D75" s="6" t="str">
        <x:f>IF(B75="","",VLOOKUP(B75,Customers!$A$5:$J$504,4,FALSE))</x:f>
      </x:c>
      <x:c r="E75" s="9"/>
      <x:c r="F75" s="43"/>
      <x:c r="G75" s="9"/>
      <x:c r="H75" s="47" t="str">
        <x:f>IF(A75="","",SUMIFS(Sales!$K$5:$K$504,Sales!$I$5:$I$504,A75,Sales!$L$5:$L$504,"Approved"))</x:f>
      </x:c>
      <x:c r="I75" s="47" t="str">
        <x:f>IF(A75="","",SUMIFS(Payouts!$G$5:$G$504,Payouts!$B$5:$B$504,A75,Payouts!$H$5:$H$504,"Paid"))</x:f>
      </x:c>
      <x:c r="J75" s="47" t="str">
        <x:f>IF(A75="","",H75-I75)</x:f>
      </x:c>
      <x:c r="K75" s="9"/>
      <x:c r="L75" s="9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9"/>
      <x:c r="B76" s="9"/>
      <x:c r="C76" s="6" t="str">
        <x:f>IF(B76="","",VLOOKUP(B76,Customers!$A$5:$J$504,3,FALSE))</x:f>
      </x:c>
      <x:c r="D76" s="6" t="str">
        <x:f>IF(B76="","",VLOOKUP(B76,Customers!$A$5:$J$504,4,FALSE))</x:f>
      </x:c>
      <x:c r="E76" s="9"/>
      <x:c r="F76" s="43"/>
      <x:c r="G76" s="9"/>
      <x:c r="H76" s="47" t="str">
        <x:f>IF(A76="","",SUMIFS(Sales!$K$5:$K$504,Sales!$I$5:$I$504,A76,Sales!$L$5:$L$504,"Approved"))</x:f>
      </x:c>
      <x:c r="I76" s="47" t="str">
        <x:f>IF(A76="","",SUMIFS(Payouts!$G$5:$G$504,Payouts!$B$5:$B$504,A76,Payouts!$H$5:$H$504,"Paid"))</x:f>
      </x:c>
      <x:c r="J76" s="47" t="str">
        <x:f>IF(A76="","",H76-I76)</x:f>
      </x:c>
      <x:c r="K76" s="9"/>
      <x:c r="L76" s="9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9"/>
      <x:c r="B77" s="9"/>
      <x:c r="C77" s="6" t="str">
        <x:f>IF(B77="","",VLOOKUP(B77,Customers!$A$5:$J$504,3,FALSE))</x:f>
      </x:c>
      <x:c r="D77" s="6" t="str">
        <x:f>IF(B77="","",VLOOKUP(B77,Customers!$A$5:$J$504,4,FALSE))</x:f>
      </x:c>
      <x:c r="E77" s="9"/>
      <x:c r="F77" s="43"/>
      <x:c r="G77" s="9"/>
      <x:c r="H77" s="47" t="str">
        <x:f>IF(A77="","",SUMIFS(Sales!$K$5:$K$504,Sales!$I$5:$I$504,A77,Sales!$L$5:$L$504,"Approved"))</x:f>
      </x:c>
      <x:c r="I77" s="47" t="str">
        <x:f>IF(A77="","",SUMIFS(Payouts!$G$5:$G$504,Payouts!$B$5:$B$504,A77,Payouts!$H$5:$H$504,"Paid"))</x:f>
      </x:c>
      <x:c r="J77" s="47" t="str">
        <x:f>IF(A77="","",H77-I77)</x:f>
      </x:c>
      <x:c r="K77" s="9"/>
      <x:c r="L77" s="9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9"/>
      <x:c r="B78" s="9"/>
      <x:c r="C78" s="6" t="str">
        <x:f>IF(B78="","",VLOOKUP(B78,Customers!$A$5:$J$504,3,FALSE))</x:f>
      </x:c>
      <x:c r="D78" s="6" t="str">
        <x:f>IF(B78="","",VLOOKUP(B78,Customers!$A$5:$J$504,4,FALSE))</x:f>
      </x:c>
      <x:c r="E78" s="9"/>
      <x:c r="F78" s="43"/>
      <x:c r="G78" s="9"/>
      <x:c r="H78" s="47" t="str">
        <x:f>IF(A78="","",SUMIFS(Sales!$K$5:$K$504,Sales!$I$5:$I$504,A78,Sales!$L$5:$L$504,"Approved"))</x:f>
      </x:c>
      <x:c r="I78" s="47" t="str">
        <x:f>IF(A78="","",SUMIFS(Payouts!$G$5:$G$504,Payouts!$B$5:$B$504,A78,Payouts!$H$5:$H$504,"Paid"))</x:f>
      </x:c>
      <x:c r="J78" s="47" t="str">
        <x:f>IF(A78="","",H78-I78)</x:f>
      </x:c>
      <x:c r="K78" s="9"/>
      <x:c r="L78" s="9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9"/>
      <x:c r="B79" s="9"/>
      <x:c r="C79" s="6" t="str">
        <x:f>IF(B79="","",VLOOKUP(B79,Customers!$A$5:$J$504,3,FALSE))</x:f>
      </x:c>
      <x:c r="D79" s="6" t="str">
        <x:f>IF(B79="","",VLOOKUP(B79,Customers!$A$5:$J$504,4,FALSE))</x:f>
      </x:c>
      <x:c r="E79" s="9"/>
      <x:c r="F79" s="43"/>
      <x:c r="G79" s="9"/>
      <x:c r="H79" s="47" t="str">
        <x:f>IF(A79="","",SUMIFS(Sales!$K$5:$K$504,Sales!$I$5:$I$504,A79,Sales!$L$5:$L$504,"Approved"))</x:f>
      </x:c>
      <x:c r="I79" s="47" t="str">
        <x:f>IF(A79="","",SUMIFS(Payouts!$G$5:$G$504,Payouts!$B$5:$B$504,A79,Payouts!$H$5:$H$504,"Paid"))</x:f>
      </x:c>
      <x:c r="J79" s="47" t="str">
        <x:f>IF(A79="","",H79-I79)</x:f>
      </x:c>
      <x:c r="K79" s="9"/>
      <x:c r="L79" s="9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9"/>
      <x:c r="B80" s="9"/>
      <x:c r="C80" s="6" t="str">
        <x:f>IF(B80="","",VLOOKUP(B80,Customers!$A$5:$J$504,3,FALSE))</x:f>
      </x:c>
      <x:c r="D80" s="6" t="str">
        <x:f>IF(B80="","",VLOOKUP(B80,Customers!$A$5:$J$504,4,FALSE))</x:f>
      </x:c>
      <x:c r="E80" s="9"/>
      <x:c r="F80" s="43"/>
      <x:c r="G80" s="9"/>
      <x:c r="H80" s="47" t="str">
        <x:f>IF(A80="","",SUMIFS(Sales!$K$5:$K$504,Sales!$I$5:$I$504,A80,Sales!$L$5:$L$504,"Approved"))</x:f>
      </x:c>
      <x:c r="I80" s="47" t="str">
        <x:f>IF(A80="","",SUMIFS(Payouts!$G$5:$G$504,Payouts!$B$5:$B$504,A80,Payouts!$H$5:$H$504,"Paid"))</x:f>
      </x:c>
      <x:c r="J80" s="47" t="str">
        <x:f>IF(A80="","",H80-I80)</x:f>
      </x:c>
      <x:c r="K80" s="9"/>
      <x:c r="L80" s="9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9"/>
      <x:c r="B81" s="9"/>
      <x:c r="C81" s="6" t="str">
        <x:f>IF(B81="","",VLOOKUP(B81,Customers!$A$5:$J$504,3,FALSE))</x:f>
      </x:c>
      <x:c r="D81" s="6" t="str">
        <x:f>IF(B81="","",VLOOKUP(B81,Customers!$A$5:$J$504,4,FALSE))</x:f>
      </x:c>
      <x:c r="E81" s="9"/>
      <x:c r="F81" s="43"/>
      <x:c r="G81" s="9"/>
      <x:c r="H81" s="47" t="str">
        <x:f>IF(A81="","",SUMIFS(Sales!$K$5:$K$504,Sales!$I$5:$I$504,A81,Sales!$L$5:$L$504,"Approved"))</x:f>
      </x:c>
      <x:c r="I81" s="47" t="str">
        <x:f>IF(A81="","",SUMIFS(Payouts!$G$5:$G$504,Payouts!$B$5:$B$504,A81,Payouts!$H$5:$H$504,"Paid"))</x:f>
      </x:c>
      <x:c r="J81" s="47" t="str">
        <x:f>IF(A81="","",H81-I81)</x:f>
      </x:c>
      <x:c r="K81" s="9"/>
      <x:c r="L81" s="9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9"/>
      <x:c r="B82" s="9"/>
      <x:c r="C82" s="6" t="str">
        <x:f>IF(B82="","",VLOOKUP(B82,Customers!$A$5:$J$504,3,FALSE))</x:f>
      </x:c>
      <x:c r="D82" s="6" t="str">
        <x:f>IF(B82="","",VLOOKUP(B82,Customers!$A$5:$J$504,4,FALSE))</x:f>
      </x:c>
      <x:c r="E82" s="9"/>
      <x:c r="F82" s="43"/>
      <x:c r="G82" s="9"/>
      <x:c r="H82" s="47" t="str">
        <x:f>IF(A82="","",SUMIFS(Sales!$K$5:$K$504,Sales!$I$5:$I$504,A82,Sales!$L$5:$L$504,"Approved"))</x:f>
      </x:c>
      <x:c r="I82" s="47" t="str">
        <x:f>IF(A82="","",SUMIFS(Payouts!$G$5:$G$504,Payouts!$B$5:$B$504,A82,Payouts!$H$5:$H$504,"Paid"))</x:f>
      </x:c>
      <x:c r="J82" s="47" t="str">
        <x:f>IF(A82="","",H82-I82)</x:f>
      </x:c>
      <x:c r="K82" s="9"/>
      <x:c r="L82" s="9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9"/>
      <x:c r="B83" s="9"/>
      <x:c r="C83" s="6" t="str">
        <x:f>IF(B83="","",VLOOKUP(B83,Customers!$A$5:$J$504,3,FALSE))</x:f>
      </x:c>
      <x:c r="D83" s="6" t="str">
        <x:f>IF(B83="","",VLOOKUP(B83,Customers!$A$5:$J$504,4,FALSE))</x:f>
      </x:c>
      <x:c r="E83" s="9"/>
      <x:c r="F83" s="43"/>
      <x:c r="G83" s="9"/>
      <x:c r="H83" s="47" t="str">
        <x:f>IF(A83="","",SUMIFS(Sales!$K$5:$K$504,Sales!$I$5:$I$504,A83,Sales!$L$5:$L$504,"Approved"))</x:f>
      </x:c>
      <x:c r="I83" s="47" t="str">
        <x:f>IF(A83="","",SUMIFS(Payouts!$G$5:$G$504,Payouts!$B$5:$B$504,A83,Payouts!$H$5:$H$504,"Paid"))</x:f>
      </x:c>
      <x:c r="J83" s="47" t="str">
        <x:f>IF(A83="","",H83-I83)</x:f>
      </x:c>
      <x:c r="K83" s="9"/>
      <x:c r="L83" s="9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9"/>
      <x:c r="B84" s="9"/>
      <x:c r="C84" s="6" t="str">
        <x:f>IF(B84="","",VLOOKUP(B84,Customers!$A$5:$J$504,3,FALSE))</x:f>
      </x:c>
      <x:c r="D84" s="6" t="str">
        <x:f>IF(B84="","",VLOOKUP(B84,Customers!$A$5:$J$504,4,FALSE))</x:f>
      </x:c>
      <x:c r="E84" s="9"/>
      <x:c r="F84" s="43"/>
      <x:c r="G84" s="9"/>
      <x:c r="H84" s="47" t="str">
        <x:f>IF(A84="","",SUMIFS(Sales!$K$5:$K$504,Sales!$I$5:$I$504,A84,Sales!$L$5:$L$504,"Approved"))</x:f>
      </x:c>
      <x:c r="I84" s="47" t="str">
        <x:f>IF(A84="","",SUMIFS(Payouts!$G$5:$G$504,Payouts!$B$5:$B$504,A84,Payouts!$H$5:$H$504,"Paid"))</x:f>
      </x:c>
      <x:c r="J84" s="47" t="str">
        <x:f>IF(A84="","",H84-I84)</x:f>
      </x:c>
      <x:c r="K84" s="9"/>
      <x:c r="L84" s="9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9"/>
      <x:c r="B85" s="9"/>
      <x:c r="C85" s="6" t="str">
        <x:f>IF(B85="","",VLOOKUP(B85,Customers!$A$5:$J$504,3,FALSE))</x:f>
      </x:c>
      <x:c r="D85" s="6" t="str">
        <x:f>IF(B85="","",VLOOKUP(B85,Customers!$A$5:$J$504,4,FALSE))</x:f>
      </x:c>
      <x:c r="E85" s="9"/>
      <x:c r="F85" s="43"/>
      <x:c r="G85" s="9"/>
      <x:c r="H85" s="47" t="str">
        <x:f>IF(A85="","",SUMIFS(Sales!$K$5:$K$504,Sales!$I$5:$I$504,A85,Sales!$L$5:$L$504,"Approved"))</x:f>
      </x:c>
      <x:c r="I85" s="47" t="str">
        <x:f>IF(A85="","",SUMIFS(Payouts!$G$5:$G$504,Payouts!$B$5:$B$504,A85,Payouts!$H$5:$H$504,"Paid"))</x:f>
      </x:c>
      <x:c r="J85" s="47" t="str">
        <x:f>IF(A85="","",H85-I85)</x:f>
      </x:c>
      <x:c r="K85" s="9"/>
      <x:c r="L85" s="9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9"/>
      <x:c r="B86" s="9"/>
      <x:c r="C86" s="6" t="str">
        <x:f>IF(B86="","",VLOOKUP(B86,Customers!$A$5:$J$504,3,FALSE))</x:f>
      </x:c>
      <x:c r="D86" s="6" t="str">
        <x:f>IF(B86="","",VLOOKUP(B86,Customers!$A$5:$J$504,4,FALSE))</x:f>
      </x:c>
      <x:c r="E86" s="9"/>
      <x:c r="F86" s="43"/>
      <x:c r="G86" s="9"/>
      <x:c r="H86" s="47" t="str">
        <x:f>IF(A86="","",SUMIFS(Sales!$K$5:$K$504,Sales!$I$5:$I$504,A86,Sales!$L$5:$L$504,"Approved"))</x:f>
      </x:c>
      <x:c r="I86" s="47" t="str">
        <x:f>IF(A86="","",SUMIFS(Payouts!$G$5:$G$504,Payouts!$B$5:$B$504,A86,Payouts!$H$5:$H$504,"Paid"))</x:f>
      </x:c>
      <x:c r="J86" s="47" t="str">
        <x:f>IF(A86="","",H86-I86)</x:f>
      </x:c>
      <x:c r="K86" s="9"/>
      <x:c r="L86" s="9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9"/>
      <x:c r="B87" s="9"/>
      <x:c r="C87" s="6" t="str">
        <x:f>IF(B87="","",VLOOKUP(B87,Customers!$A$5:$J$504,3,FALSE))</x:f>
      </x:c>
      <x:c r="D87" s="6" t="str">
        <x:f>IF(B87="","",VLOOKUP(B87,Customers!$A$5:$J$504,4,FALSE))</x:f>
      </x:c>
      <x:c r="E87" s="9"/>
      <x:c r="F87" s="43"/>
      <x:c r="G87" s="9"/>
      <x:c r="H87" s="47" t="str">
        <x:f>IF(A87="","",SUMIFS(Sales!$K$5:$K$504,Sales!$I$5:$I$504,A87,Sales!$L$5:$L$504,"Approved"))</x:f>
      </x:c>
      <x:c r="I87" s="47" t="str">
        <x:f>IF(A87="","",SUMIFS(Payouts!$G$5:$G$504,Payouts!$B$5:$B$504,A87,Payouts!$H$5:$H$504,"Paid"))</x:f>
      </x:c>
      <x:c r="J87" s="47" t="str">
        <x:f>IF(A87="","",H87-I87)</x:f>
      </x:c>
      <x:c r="K87" s="9"/>
      <x:c r="L87" s="9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9"/>
      <x:c r="B88" s="9"/>
      <x:c r="C88" s="6" t="str">
        <x:f>IF(B88="","",VLOOKUP(B88,Customers!$A$5:$J$504,3,FALSE))</x:f>
      </x:c>
      <x:c r="D88" s="6" t="str">
        <x:f>IF(B88="","",VLOOKUP(B88,Customers!$A$5:$J$504,4,FALSE))</x:f>
      </x:c>
      <x:c r="E88" s="9"/>
      <x:c r="F88" s="43"/>
      <x:c r="G88" s="9"/>
      <x:c r="H88" s="47" t="str">
        <x:f>IF(A88="","",SUMIFS(Sales!$K$5:$K$504,Sales!$I$5:$I$504,A88,Sales!$L$5:$L$504,"Approved"))</x:f>
      </x:c>
      <x:c r="I88" s="47" t="str">
        <x:f>IF(A88="","",SUMIFS(Payouts!$G$5:$G$504,Payouts!$B$5:$B$504,A88,Payouts!$H$5:$H$504,"Paid"))</x:f>
      </x:c>
      <x:c r="J88" s="47" t="str">
        <x:f>IF(A88="","",H88-I88)</x:f>
      </x:c>
      <x:c r="K88" s="9"/>
      <x:c r="L88" s="9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9"/>
      <x:c r="B89" s="9"/>
      <x:c r="C89" s="6" t="str">
        <x:f>IF(B89="","",VLOOKUP(B89,Customers!$A$5:$J$504,3,FALSE))</x:f>
      </x:c>
      <x:c r="D89" s="6" t="str">
        <x:f>IF(B89="","",VLOOKUP(B89,Customers!$A$5:$J$504,4,FALSE))</x:f>
      </x:c>
      <x:c r="E89" s="9"/>
      <x:c r="F89" s="43"/>
      <x:c r="G89" s="9"/>
      <x:c r="H89" s="47" t="str">
        <x:f>IF(A89="","",SUMIFS(Sales!$K$5:$K$504,Sales!$I$5:$I$504,A89,Sales!$L$5:$L$504,"Approved"))</x:f>
      </x:c>
      <x:c r="I89" s="47" t="str">
        <x:f>IF(A89="","",SUMIFS(Payouts!$G$5:$G$504,Payouts!$B$5:$B$504,A89,Payouts!$H$5:$H$504,"Paid"))</x:f>
      </x:c>
      <x:c r="J89" s="47" t="str">
        <x:f>IF(A89="","",H89-I89)</x:f>
      </x:c>
      <x:c r="K89" s="9"/>
      <x:c r="L89" s="9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9"/>
      <x:c r="B90" s="9"/>
      <x:c r="C90" s="6" t="str">
        <x:f>IF(B90="","",VLOOKUP(B90,Customers!$A$5:$J$504,3,FALSE))</x:f>
      </x:c>
      <x:c r="D90" s="6" t="str">
        <x:f>IF(B90="","",VLOOKUP(B90,Customers!$A$5:$J$504,4,FALSE))</x:f>
      </x:c>
      <x:c r="E90" s="9"/>
      <x:c r="F90" s="43"/>
      <x:c r="G90" s="9"/>
      <x:c r="H90" s="47" t="str">
        <x:f>IF(A90="","",SUMIFS(Sales!$K$5:$K$504,Sales!$I$5:$I$504,A90,Sales!$L$5:$L$504,"Approved"))</x:f>
      </x:c>
      <x:c r="I90" s="47" t="str">
        <x:f>IF(A90="","",SUMIFS(Payouts!$G$5:$G$504,Payouts!$B$5:$B$504,A90,Payouts!$H$5:$H$504,"Paid"))</x:f>
      </x:c>
      <x:c r="J90" s="47" t="str">
        <x:f>IF(A90="","",H90-I90)</x:f>
      </x:c>
      <x:c r="K90" s="9"/>
      <x:c r="L90" s="9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9"/>
      <x:c r="B91" s="9"/>
      <x:c r="C91" s="6" t="str">
        <x:f>IF(B91="","",VLOOKUP(B91,Customers!$A$5:$J$504,3,FALSE))</x:f>
      </x:c>
      <x:c r="D91" s="6" t="str">
        <x:f>IF(B91="","",VLOOKUP(B91,Customers!$A$5:$J$504,4,FALSE))</x:f>
      </x:c>
      <x:c r="E91" s="9"/>
      <x:c r="F91" s="43"/>
      <x:c r="G91" s="9"/>
      <x:c r="H91" s="47" t="str">
        <x:f>IF(A91="","",SUMIFS(Sales!$K$5:$K$504,Sales!$I$5:$I$504,A91,Sales!$L$5:$L$504,"Approved"))</x:f>
      </x:c>
      <x:c r="I91" s="47" t="str">
        <x:f>IF(A91="","",SUMIFS(Payouts!$G$5:$G$504,Payouts!$B$5:$B$504,A91,Payouts!$H$5:$H$504,"Paid"))</x:f>
      </x:c>
      <x:c r="J91" s="47" t="str">
        <x:f>IF(A91="","",H91-I91)</x:f>
      </x:c>
      <x:c r="K91" s="9"/>
      <x:c r="L91" s="9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9"/>
      <x:c r="B92" s="9"/>
      <x:c r="C92" s="6" t="str">
        <x:f>IF(B92="","",VLOOKUP(B92,Customers!$A$5:$J$504,3,FALSE))</x:f>
      </x:c>
      <x:c r="D92" s="6" t="str">
        <x:f>IF(B92="","",VLOOKUP(B92,Customers!$A$5:$J$504,4,FALSE))</x:f>
      </x:c>
      <x:c r="E92" s="9"/>
      <x:c r="F92" s="43"/>
      <x:c r="G92" s="9"/>
      <x:c r="H92" s="47" t="str">
        <x:f>IF(A92="","",SUMIFS(Sales!$K$5:$K$504,Sales!$I$5:$I$504,A92,Sales!$L$5:$L$504,"Approved"))</x:f>
      </x:c>
      <x:c r="I92" s="47" t="str">
        <x:f>IF(A92="","",SUMIFS(Payouts!$G$5:$G$504,Payouts!$B$5:$B$504,A92,Payouts!$H$5:$H$504,"Paid"))</x:f>
      </x:c>
      <x:c r="J92" s="47" t="str">
        <x:f>IF(A92="","",H92-I92)</x:f>
      </x:c>
      <x:c r="K92" s="9"/>
      <x:c r="L92" s="9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9"/>
      <x:c r="B93" s="9"/>
      <x:c r="C93" s="6" t="str">
        <x:f>IF(B93="","",VLOOKUP(B93,Customers!$A$5:$J$504,3,FALSE))</x:f>
      </x:c>
      <x:c r="D93" s="6" t="str">
        <x:f>IF(B93="","",VLOOKUP(B93,Customers!$A$5:$J$504,4,FALSE))</x:f>
      </x:c>
      <x:c r="E93" s="9"/>
      <x:c r="F93" s="43"/>
      <x:c r="G93" s="9"/>
      <x:c r="H93" s="47" t="str">
        <x:f>IF(A93="","",SUMIFS(Sales!$K$5:$K$504,Sales!$I$5:$I$504,A93,Sales!$L$5:$L$504,"Approved"))</x:f>
      </x:c>
      <x:c r="I93" s="47" t="str">
        <x:f>IF(A93="","",SUMIFS(Payouts!$G$5:$G$504,Payouts!$B$5:$B$504,A93,Payouts!$H$5:$H$504,"Paid"))</x:f>
      </x:c>
      <x:c r="J93" s="47" t="str">
        <x:f>IF(A93="","",H93-I93)</x:f>
      </x:c>
      <x:c r="K93" s="9"/>
      <x:c r="L93" s="9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9"/>
      <x:c r="B94" s="9"/>
      <x:c r="C94" s="6" t="str">
        <x:f>IF(B94="","",VLOOKUP(B94,Customers!$A$5:$J$504,3,FALSE))</x:f>
      </x:c>
      <x:c r="D94" s="6" t="str">
        <x:f>IF(B94="","",VLOOKUP(B94,Customers!$A$5:$J$504,4,FALSE))</x:f>
      </x:c>
      <x:c r="E94" s="9"/>
      <x:c r="F94" s="43"/>
      <x:c r="G94" s="9"/>
      <x:c r="H94" s="47" t="str">
        <x:f>IF(A94="","",SUMIFS(Sales!$K$5:$K$504,Sales!$I$5:$I$504,A94,Sales!$L$5:$L$504,"Approved"))</x:f>
      </x:c>
      <x:c r="I94" s="47" t="str">
        <x:f>IF(A94="","",SUMIFS(Payouts!$G$5:$G$504,Payouts!$B$5:$B$504,A94,Payouts!$H$5:$H$504,"Paid"))</x:f>
      </x:c>
      <x:c r="J94" s="47" t="str">
        <x:f>IF(A94="","",H94-I94)</x:f>
      </x:c>
      <x:c r="K94" s="9"/>
      <x:c r="L94" s="9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9"/>
      <x:c r="B95" s="9"/>
      <x:c r="C95" s="6" t="str">
        <x:f>IF(B95="","",VLOOKUP(B95,Customers!$A$5:$J$504,3,FALSE))</x:f>
      </x:c>
      <x:c r="D95" s="6" t="str">
        <x:f>IF(B95="","",VLOOKUP(B95,Customers!$A$5:$J$504,4,FALSE))</x:f>
      </x:c>
      <x:c r="E95" s="9"/>
      <x:c r="F95" s="43"/>
      <x:c r="G95" s="9"/>
      <x:c r="H95" s="47" t="str">
        <x:f>IF(A95="","",SUMIFS(Sales!$K$5:$K$504,Sales!$I$5:$I$504,A95,Sales!$L$5:$L$504,"Approved"))</x:f>
      </x:c>
      <x:c r="I95" s="47" t="str">
        <x:f>IF(A95="","",SUMIFS(Payouts!$G$5:$G$504,Payouts!$B$5:$B$504,A95,Payouts!$H$5:$H$504,"Paid"))</x:f>
      </x:c>
      <x:c r="J95" s="47" t="str">
        <x:f>IF(A95="","",H95-I95)</x:f>
      </x:c>
      <x:c r="K95" s="9"/>
      <x:c r="L95" s="9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9"/>
      <x:c r="B96" s="9"/>
      <x:c r="C96" s="6" t="str">
        <x:f>IF(B96="","",VLOOKUP(B96,Customers!$A$5:$J$504,3,FALSE))</x:f>
      </x:c>
      <x:c r="D96" s="6" t="str">
        <x:f>IF(B96="","",VLOOKUP(B96,Customers!$A$5:$J$504,4,FALSE))</x:f>
      </x:c>
      <x:c r="E96" s="9"/>
      <x:c r="F96" s="43"/>
      <x:c r="G96" s="9"/>
      <x:c r="H96" s="47" t="str">
        <x:f>IF(A96="","",SUMIFS(Sales!$K$5:$K$504,Sales!$I$5:$I$504,A96,Sales!$L$5:$L$504,"Approved"))</x:f>
      </x:c>
      <x:c r="I96" s="47" t="str">
        <x:f>IF(A96="","",SUMIFS(Payouts!$G$5:$G$504,Payouts!$B$5:$B$504,A96,Payouts!$H$5:$H$504,"Paid"))</x:f>
      </x:c>
      <x:c r="J96" s="47" t="str">
        <x:f>IF(A96="","",H96-I96)</x:f>
      </x:c>
      <x:c r="K96" s="9"/>
      <x:c r="L96" s="9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9"/>
      <x:c r="B97" s="9"/>
      <x:c r="C97" s="6" t="str">
        <x:f>IF(B97="","",VLOOKUP(B97,Customers!$A$5:$J$504,3,FALSE))</x:f>
      </x:c>
      <x:c r="D97" s="6" t="str">
        <x:f>IF(B97="","",VLOOKUP(B97,Customers!$A$5:$J$504,4,FALSE))</x:f>
      </x:c>
      <x:c r="E97" s="9"/>
      <x:c r="F97" s="43"/>
      <x:c r="G97" s="9"/>
      <x:c r="H97" s="47" t="str">
        <x:f>IF(A97="","",SUMIFS(Sales!$K$5:$K$504,Sales!$I$5:$I$504,A97,Sales!$L$5:$L$504,"Approved"))</x:f>
      </x:c>
      <x:c r="I97" s="47" t="str">
        <x:f>IF(A97="","",SUMIFS(Payouts!$G$5:$G$504,Payouts!$B$5:$B$504,A97,Payouts!$H$5:$H$504,"Paid"))</x:f>
      </x:c>
      <x:c r="J97" s="47" t="str">
        <x:f>IF(A97="","",H97-I97)</x:f>
      </x:c>
      <x:c r="K97" s="9"/>
      <x:c r="L97" s="9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9"/>
      <x:c r="B98" s="9"/>
      <x:c r="C98" s="6" t="str">
        <x:f>IF(B98="","",VLOOKUP(B98,Customers!$A$5:$J$504,3,FALSE))</x:f>
      </x:c>
      <x:c r="D98" s="6" t="str">
        <x:f>IF(B98="","",VLOOKUP(B98,Customers!$A$5:$J$504,4,FALSE))</x:f>
      </x:c>
      <x:c r="E98" s="9"/>
      <x:c r="F98" s="43"/>
      <x:c r="G98" s="9"/>
      <x:c r="H98" s="47" t="str">
        <x:f>IF(A98="","",SUMIFS(Sales!$K$5:$K$504,Sales!$I$5:$I$504,A98,Sales!$L$5:$L$504,"Approved"))</x:f>
      </x:c>
      <x:c r="I98" s="47" t="str">
        <x:f>IF(A98="","",SUMIFS(Payouts!$G$5:$G$504,Payouts!$B$5:$B$504,A98,Payouts!$H$5:$H$504,"Paid"))</x:f>
      </x:c>
      <x:c r="J98" s="47" t="str">
        <x:f>IF(A98="","",H98-I98)</x:f>
      </x:c>
      <x:c r="K98" s="9"/>
      <x:c r="L98" s="9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9"/>
      <x:c r="B99" s="9"/>
      <x:c r="C99" s="6" t="str">
        <x:f>IF(B99="","",VLOOKUP(B99,Customers!$A$5:$J$504,3,FALSE))</x:f>
      </x:c>
      <x:c r="D99" s="6" t="str">
        <x:f>IF(B99="","",VLOOKUP(B99,Customers!$A$5:$J$504,4,FALSE))</x:f>
      </x:c>
      <x:c r="E99" s="9"/>
      <x:c r="F99" s="43"/>
      <x:c r="G99" s="9"/>
      <x:c r="H99" s="47" t="str">
        <x:f>IF(A99="","",SUMIFS(Sales!$K$5:$K$504,Sales!$I$5:$I$504,A99,Sales!$L$5:$L$504,"Approved"))</x:f>
      </x:c>
      <x:c r="I99" s="47" t="str">
        <x:f>IF(A99="","",SUMIFS(Payouts!$G$5:$G$504,Payouts!$B$5:$B$504,A99,Payouts!$H$5:$H$504,"Paid"))</x:f>
      </x:c>
      <x:c r="J99" s="47" t="str">
        <x:f>IF(A99="","",H99-I99)</x:f>
      </x:c>
      <x:c r="K99" s="9"/>
      <x:c r="L99" s="9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9"/>
      <x:c r="B100" s="9"/>
      <x:c r="C100" s="6" t="str">
        <x:f>IF(B100="","",VLOOKUP(B100,Customers!$A$5:$J$504,3,FALSE))</x:f>
      </x:c>
      <x:c r="D100" s="6" t="str">
        <x:f>IF(B100="","",VLOOKUP(B100,Customers!$A$5:$J$504,4,FALSE))</x:f>
      </x:c>
      <x:c r="E100" s="9"/>
      <x:c r="F100" s="43"/>
      <x:c r="G100" s="9"/>
      <x:c r="H100" s="47" t="str">
        <x:f>IF(A100="","",SUMIFS(Sales!$K$5:$K$504,Sales!$I$5:$I$504,A100,Sales!$L$5:$L$504,"Approved"))</x:f>
      </x:c>
      <x:c r="I100" s="47" t="str">
        <x:f>IF(A100="","",SUMIFS(Payouts!$G$5:$G$504,Payouts!$B$5:$B$504,A100,Payouts!$H$5:$H$504,"Paid"))</x:f>
      </x:c>
      <x:c r="J100" s="47" t="str">
        <x:f>IF(A100="","",H100-I100)</x:f>
      </x:c>
      <x:c r="K100" s="9"/>
      <x:c r="L100" s="9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9"/>
      <x:c r="B101" s="9"/>
      <x:c r="C101" s="6" t="str">
        <x:f>IF(B101="","",VLOOKUP(B101,Customers!$A$5:$J$504,3,FALSE))</x:f>
      </x:c>
      <x:c r="D101" s="6" t="str">
        <x:f>IF(B101="","",VLOOKUP(B101,Customers!$A$5:$J$504,4,FALSE))</x:f>
      </x:c>
      <x:c r="E101" s="9"/>
      <x:c r="F101" s="43"/>
      <x:c r="G101" s="9"/>
      <x:c r="H101" s="47" t="str">
        <x:f>IF(A101="","",SUMIFS(Sales!$K$5:$K$504,Sales!$I$5:$I$504,A101,Sales!$L$5:$L$504,"Approved"))</x:f>
      </x:c>
      <x:c r="I101" s="47" t="str">
        <x:f>IF(A101="","",SUMIFS(Payouts!$G$5:$G$504,Payouts!$B$5:$B$504,A101,Payouts!$H$5:$H$504,"Paid"))</x:f>
      </x:c>
      <x:c r="J101" s="47" t="str">
        <x:f>IF(A101="","",H101-I101)</x:f>
      </x:c>
      <x:c r="K101" s="9"/>
      <x:c r="L101" s="9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9"/>
      <x:c r="B102" s="9"/>
      <x:c r="C102" s="6" t="str">
        <x:f>IF(B102="","",VLOOKUP(B102,Customers!$A$5:$J$504,3,FALSE))</x:f>
      </x:c>
      <x:c r="D102" s="6" t="str">
        <x:f>IF(B102="","",VLOOKUP(B102,Customers!$A$5:$J$504,4,FALSE))</x:f>
      </x:c>
      <x:c r="E102" s="9"/>
      <x:c r="F102" s="43"/>
      <x:c r="G102" s="9"/>
      <x:c r="H102" s="47" t="str">
        <x:f>IF(A102="","",SUMIFS(Sales!$K$5:$K$504,Sales!$I$5:$I$504,A102,Sales!$L$5:$L$504,"Approved"))</x:f>
      </x:c>
      <x:c r="I102" s="47" t="str">
        <x:f>IF(A102="","",SUMIFS(Payouts!$G$5:$G$504,Payouts!$B$5:$B$504,A102,Payouts!$H$5:$H$504,"Paid"))</x:f>
      </x:c>
      <x:c r="J102" s="47" t="str">
        <x:f>IF(A102="","",H102-I102)</x:f>
      </x:c>
      <x:c r="K102" s="9"/>
      <x:c r="L102" s="9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9"/>
      <x:c r="B103" s="9"/>
      <x:c r="C103" s="6" t="str">
        <x:f>IF(B103="","",VLOOKUP(B103,Customers!$A$5:$J$504,3,FALSE))</x:f>
      </x:c>
      <x:c r="D103" s="6" t="str">
        <x:f>IF(B103="","",VLOOKUP(B103,Customers!$A$5:$J$504,4,FALSE))</x:f>
      </x:c>
      <x:c r="E103" s="9"/>
      <x:c r="F103" s="43"/>
      <x:c r="G103" s="9"/>
      <x:c r="H103" s="47" t="str">
        <x:f>IF(A103="","",SUMIFS(Sales!$K$5:$K$504,Sales!$I$5:$I$504,A103,Sales!$L$5:$L$504,"Approved"))</x:f>
      </x:c>
      <x:c r="I103" s="47" t="str">
        <x:f>IF(A103="","",SUMIFS(Payouts!$G$5:$G$504,Payouts!$B$5:$B$504,A103,Payouts!$H$5:$H$504,"Paid"))</x:f>
      </x:c>
      <x:c r="J103" s="47" t="str">
        <x:f>IF(A103="","",H103-I103)</x:f>
      </x:c>
      <x:c r="K103" s="9"/>
      <x:c r="L103" s="9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9"/>
      <x:c r="B104" s="9"/>
      <x:c r="C104" s="6" t="str">
        <x:f>IF(B104="","",VLOOKUP(B104,Customers!$A$5:$J$504,3,FALSE))</x:f>
      </x:c>
      <x:c r="D104" s="6" t="str">
        <x:f>IF(B104="","",VLOOKUP(B104,Customers!$A$5:$J$504,4,FALSE))</x:f>
      </x:c>
      <x:c r="E104" s="9"/>
      <x:c r="F104" s="43"/>
      <x:c r="G104" s="9"/>
      <x:c r="H104" s="47" t="str">
        <x:f>IF(A104="","",SUMIFS(Sales!$K$5:$K$504,Sales!$I$5:$I$504,A104,Sales!$L$5:$L$504,"Approved"))</x:f>
      </x:c>
      <x:c r="I104" s="47" t="str">
        <x:f>IF(A104="","",SUMIFS(Payouts!$G$5:$G$504,Payouts!$B$5:$B$504,A104,Payouts!$H$5:$H$504,"Paid"))</x:f>
      </x:c>
      <x:c r="J104" s="47" t="str">
        <x:f>IF(A104="","",H104-I104)</x:f>
      </x:c>
      <x:c r="K104" s="9"/>
      <x:c r="L104" s="9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9"/>
      <x:c r="B105" s="9"/>
      <x:c r="C105" s="6" t="str">
        <x:f>IF(B105="","",VLOOKUP(B105,Customers!$A$5:$J$504,3,FALSE))</x:f>
      </x:c>
      <x:c r="D105" s="6" t="str">
        <x:f>IF(B105="","",VLOOKUP(B105,Customers!$A$5:$J$504,4,FALSE))</x:f>
      </x:c>
      <x:c r="E105" s="9"/>
      <x:c r="F105" s="43"/>
      <x:c r="G105" s="9"/>
      <x:c r="H105" s="47" t="str">
        <x:f>IF(A105="","",SUMIFS(Sales!$K$5:$K$504,Sales!$I$5:$I$504,A105,Sales!$L$5:$L$504,"Approved"))</x:f>
      </x:c>
      <x:c r="I105" s="47" t="str">
        <x:f>IF(A105="","",SUMIFS(Payouts!$G$5:$G$504,Payouts!$B$5:$B$504,A105,Payouts!$H$5:$H$504,"Paid"))</x:f>
      </x:c>
      <x:c r="J105" s="47" t="str">
        <x:f>IF(A105="","",H105-I105)</x:f>
      </x:c>
      <x:c r="K105" s="9"/>
      <x:c r="L105" s="9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9"/>
      <x:c r="B106" s="9"/>
      <x:c r="C106" s="6" t="str">
        <x:f>IF(B106="","",VLOOKUP(B106,Customers!$A$5:$J$504,3,FALSE))</x:f>
      </x:c>
      <x:c r="D106" s="6" t="str">
        <x:f>IF(B106="","",VLOOKUP(B106,Customers!$A$5:$J$504,4,FALSE))</x:f>
      </x:c>
      <x:c r="E106" s="9"/>
      <x:c r="F106" s="43"/>
      <x:c r="G106" s="9"/>
      <x:c r="H106" s="47" t="str">
        <x:f>IF(A106="","",SUMIFS(Sales!$K$5:$K$504,Sales!$I$5:$I$504,A106,Sales!$L$5:$L$504,"Approved"))</x:f>
      </x:c>
      <x:c r="I106" s="47" t="str">
        <x:f>IF(A106="","",SUMIFS(Payouts!$G$5:$G$504,Payouts!$B$5:$B$504,A106,Payouts!$H$5:$H$504,"Paid"))</x:f>
      </x:c>
      <x:c r="J106" s="47" t="str">
        <x:f>IF(A106="","",H106-I106)</x:f>
      </x:c>
      <x:c r="K106" s="9"/>
      <x:c r="L106" s="9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9"/>
      <x:c r="B107" s="9"/>
      <x:c r="C107" s="6" t="str">
        <x:f>IF(B107="","",VLOOKUP(B107,Customers!$A$5:$J$504,3,FALSE))</x:f>
      </x:c>
      <x:c r="D107" s="6" t="str">
        <x:f>IF(B107="","",VLOOKUP(B107,Customers!$A$5:$J$504,4,FALSE))</x:f>
      </x:c>
      <x:c r="E107" s="9"/>
      <x:c r="F107" s="43"/>
      <x:c r="G107" s="9"/>
      <x:c r="H107" s="47" t="str">
        <x:f>IF(A107="","",SUMIFS(Sales!$K$5:$K$504,Sales!$I$5:$I$504,A107,Sales!$L$5:$L$504,"Approved"))</x:f>
      </x:c>
      <x:c r="I107" s="47" t="str">
        <x:f>IF(A107="","",SUMIFS(Payouts!$G$5:$G$504,Payouts!$B$5:$B$504,A107,Payouts!$H$5:$H$504,"Paid"))</x:f>
      </x:c>
      <x:c r="J107" s="47" t="str">
        <x:f>IF(A107="","",H107-I107)</x:f>
      </x:c>
      <x:c r="K107" s="9"/>
      <x:c r="L107" s="9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9"/>
      <x:c r="B108" s="9"/>
      <x:c r="C108" s="6" t="str">
        <x:f>IF(B108="","",VLOOKUP(B108,Customers!$A$5:$J$504,3,FALSE))</x:f>
      </x:c>
      <x:c r="D108" s="6" t="str">
        <x:f>IF(B108="","",VLOOKUP(B108,Customers!$A$5:$J$504,4,FALSE))</x:f>
      </x:c>
      <x:c r="E108" s="9"/>
      <x:c r="F108" s="43"/>
      <x:c r="G108" s="9"/>
      <x:c r="H108" s="47" t="str">
        <x:f>IF(A108="","",SUMIFS(Sales!$K$5:$K$504,Sales!$I$5:$I$504,A108,Sales!$L$5:$L$504,"Approved"))</x:f>
      </x:c>
      <x:c r="I108" s="47" t="str">
        <x:f>IF(A108="","",SUMIFS(Payouts!$G$5:$G$504,Payouts!$B$5:$B$504,A108,Payouts!$H$5:$H$504,"Paid"))</x:f>
      </x:c>
      <x:c r="J108" s="47" t="str">
        <x:f>IF(A108="","",H108-I108)</x:f>
      </x:c>
      <x:c r="K108" s="9"/>
      <x:c r="L108" s="9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9"/>
      <x:c r="B109" s="9"/>
      <x:c r="C109" s="6" t="str">
        <x:f>IF(B109="","",VLOOKUP(B109,Customers!$A$5:$J$504,3,FALSE))</x:f>
      </x:c>
      <x:c r="D109" s="6" t="str">
        <x:f>IF(B109="","",VLOOKUP(B109,Customers!$A$5:$J$504,4,FALSE))</x:f>
      </x:c>
      <x:c r="E109" s="9"/>
      <x:c r="F109" s="43"/>
      <x:c r="G109" s="9"/>
      <x:c r="H109" s="47" t="str">
        <x:f>IF(A109="","",SUMIFS(Sales!$K$5:$K$504,Sales!$I$5:$I$504,A109,Sales!$L$5:$L$504,"Approved"))</x:f>
      </x:c>
      <x:c r="I109" s="47" t="str">
        <x:f>IF(A109="","",SUMIFS(Payouts!$G$5:$G$504,Payouts!$B$5:$B$504,A109,Payouts!$H$5:$H$504,"Paid"))</x:f>
      </x:c>
      <x:c r="J109" s="47" t="str">
        <x:f>IF(A109="","",H109-I109)</x:f>
      </x:c>
      <x:c r="K109" s="9"/>
      <x:c r="L109" s="9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9"/>
      <x:c r="B110" s="9"/>
      <x:c r="C110" s="6" t="str">
        <x:f>IF(B110="","",VLOOKUP(B110,Customers!$A$5:$J$504,3,FALSE))</x:f>
      </x:c>
      <x:c r="D110" s="6" t="str">
        <x:f>IF(B110="","",VLOOKUP(B110,Customers!$A$5:$J$504,4,FALSE))</x:f>
      </x:c>
      <x:c r="E110" s="9"/>
      <x:c r="F110" s="43"/>
      <x:c r="G110" s="9"/>
      <x:c r="H110" s="47" t="str">
        <x:f>IF(A110="","",SUMIFS(Sales!$K$5:$K$504,Sales!$I$5:$I$504,A110,Sales!$L$5:$L$504,"Approved"))</x:f>
      </x:c>
      <x:c r="I110" s="47" t="str">
        <x:f>IF(A110="","",SUMIFS(Payouts!$G$5:$G$504,Payouts!$B$5:$B$504,A110,Payouts!$H$5:$H$504,"Paid"))</x:f>
      </x:c>
      <x:c r="J110" s="47" t="str">
        <x:f>IF(A110="","",H110-I110)</x:f>
      </x:c>
      <x:c r="K110" s="9"/>
      <x:c r="L110" s="9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9"/>
      <x:c r="B111" s="9"/>
      <x:c r="C111" s="6" t="str">
        <x:f>IF(B111="","",VLOOKUP(B111,Customers!$A$5:$J$504,3,FALSE))</x:f>
      </x:c>
      <x:c r="D111" s="6" t="str">
        <x:f>IF(B111="","",VLOOKUP(B111,Customers!$A$5:$J$504,4,FALSE))</x:f>
      </x:c>
      <x:c r="E111" s="9"/>
      <x:c r="F111" s="43"/>
      <x:c r="G111" s="9"/>
      <x:c r="H111" s="47" t="str">
        <x:f>IF(A111="","",SUMIFS(Sales!$K$5:$K$504,Sales!$I$5:$I$504,A111,Sales!$L$5:$L$504,"Approved"))</x:f>
      </x:c>
      <x:c r="I111" s="47" t="str">
        <x:f>IF(A111="","",SUMIFS(Payouts!$G$5:$G$504,Payouts!$B$5:$B$504,A111,Payouts!$H$5:$H$504,"Paid"))</x:f>
      </x:c>
      <x:c r="J111" s="47" t="str">
        <x:f>IF(A111="","",H111-I111)</x:f>
      </x:c>
      <x:c r="K111" s="9"/>
      <x:c r="L111" s="9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9"/>
      <x:c r="B112" s="9"/>
      <x:c r="C112" s="6" t="str">
        <x:f>IF(B112="","",VLOOKUP(B112,Customers!$A$5:$J$504,3,FALSE))</x:f>
      </x:c>
      <x:c r="D112" s="6" t="str">
        <x:f>IF(B112="","",VLOOKUP(B112,Customers!$A$5:$J$504,4,FALSE))</x:f>
      </x:c>
      <x:c r="E112" s="9"/>
      <x:c r="F112" s="43"/>
      <x:c r="G112" s="9"/>
      <x:c r="H112" s="47" t="str">
        <x:f>IF(A112="","",SUMIFS(Sales!$K$5:$K$504,Sales!$I$5:$I$504,A112,Sales!$L$5:$L$504,"Approved"))</x:f>
      </x:c>
      <x:c r="I112" s="47" t="str">
        <x:f>IF(A112="","",SUMIFS(Payouts!$G$5:$G$504,Payouts!$B$5:$B$504,A112,Payouts!$H$5:$H$504,"Paid"))</x:f>
      </x:c>
      <x:c r="J112" s="47" t="str">
        <x:f>IF(A112="","",H112-I112)</x:f>
      </x:c>
      <x:c r="K112" s="9"/>
      <x:c r="L112" s="9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9"/>
      <x:c r="B113" s="9"/>
      <x:c r="C113" s="6" t="str">
        <x:f>IF(B113="","",VLOOKUP(B113,Customers!$A$5:$J$504,3,FALSE))</x:f>
      </x:c>
      <x:c r="D113" s="6" t="str">
        <x:f>IF(B113="","",VLOOKUP(B113,Customers!$A$5:$J$504,4,FALSE))</x:f>
      </x:c>
      <x:c r="E113" s="9"/>
      <x:c r="F113" s="43"/>
      <x:c r="G113" s="9"/>
      <x:c r="H113" s="47" t="str">
        <x:f>IF(A113="","",SUMIFS(Sales!$K$5:$K$504,Sales!$I$5:$I$504,A113,Sales!$L$5:$L$504,"Approved"))</x:f>
      </x:c>
      <x:c r="I113" s="47" t="str">
        <x:f>IF(A113="","",SUMIFS(Payouts!$G$5:$G$504,Payouts!$B$5:$B$504,A113,Payouts!$H$5:$H$504,"Paid"))</x:f>
      </x:c>
      <x:c r="J113" s="47" t="str">
        <x:f>IF(A113="","",H113-I113)</x:f>
      </x:c>
      <x:c r="K113" s="9"/>
      <x:c r="L113" s="9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9"/>
      <x:c r="B114" s="9"/>
      <x:c r="C114" s="6" t="str">
        <x:f>IF(B114="","",VLOOKUP(B114,Customers!$A$5:$J$504,3,FALSE))</x:f>
      </x:c>
      <x:c r="D114" s="6" t="str">
        <x:f>IF(B114="","",VLOOKUP(B114,Customers!$A$5:$J$504,4,FALSE))</x:f>
      </x:c>
      <x:c r="E114" s="9"/>
      <x:c r="F114" s="43"/>
      <x:c r="G114" s="9"/>
      <x:c r="H114" s="47" t="str">
        <x:f>IF(A114="","",SUMIFS(Sales!$K$5:$K$504,Sales!$I$5:$I$504,A114,Sales!$L$5:$L$504,"Approved"))</x:f>
      </x:c>
      <x:c r="I114" s="47" t="str">
        <x:f>IF(A114="","",SUMIFS(Payouts!$G$5:$G$504,Payouts!$B$5:$B$504,A114,Payouts!$H$5:$H$504,"Paid"))</x:f>
      </x:c>
      <x:c r="J114" s="47" t="str">
        <x:f>IF(A114="","",H114-I114)</x:f>
      </x:c>
      <x:c r="K114" s="9"/>
      <x:c r="L114" s="9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9"/>
      <x:c r="B115" s="9"/>
      <x:c r="C115" s="6" t="str">
        <x:f>IF(B115="","",VLOOKUP(B115,Customers!$A$5:$J$504,3,FALSE))</x:f>
      </x:c>
      <x:c r="D115" s="6" t="str">
        <x:f>IF(B115="","",VLOOKUP(B115,Customers!$A$5:$J$504,4,FALSE))</x:f>
      </x:c>
      <x:c r="E115" s="9"/>
      <x:c r="F115" s="43"/>
      <x:c r="G115" s="9"/>
      <x:c r="H115" s="47" t="str">
        <x:f>IF(A115="","",SUMIFS(Sales!$K$5:$K$504,Sales!$I$5:$I$504,A115,Sales!$L$5:$L$504,"Approved"))</x:f>
      </x:c>
      <x:c r="I115" s="47" t="str">
        <x:f>IF(A115="","",SUMIFS(Payouts!$G$5:$G$504,Payouts!$B$5:$B$504,A115,Payouts!$H$5:$H$504,"Paid"))</x:f>
      </x:c>
      <x:c r="J115" s="47" t="str">
        <x:f>IF(A115="","",H115-I115)</x:f>
      </x:c>
      <x:c r="K115" s="9"/>
      <x:c r="L115" s="9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9"/>
      <x:c r="B116" s="9"/>
      <x:c r="C116" s="6" t="str">
        <x:f>IF(B116="","",VLOOKUP(B116,Customers!$A$5:$J$504,3,FALSE))</x:f>
      </x:c>
      <x:c r="D116" s="6" t="str">
        <x:f>IF(B116="","",VLOOKUP(B116,Customers!$A$5:$J$504,4,FALSE))</x:f>
      </x:c>
      <x:c r="E116" s="9"/>
      <x:c r="F116" s="43"/>
      <x:c r="G116" s="9"/>
      <x:c r="H116" s="47" t="str">
        <x:f>IF(A116="","",SUMIFS(Sales!$K$5:$K$504,Sales!$I$5:$I$504,A116,Sales!$L$5:$L$504,"Approved"))</x:f>
      </x:c>
      <x:c r="I116" s="47" t="str">
        <x:f>IF(A116="","",SUMIFS(Payouts!$G$5:$G$504,Payouts!$B$5:$B$504,A116,Payouts!$H$5:$H$504,"Paid"))</x:f>
      </x:c>
      <x:c r="J116" s="47" t="str">
        <x:f>IF(A116="","",H116-I116)</x:f>
      </x:c>
      <x:c r="K116" s="9"/>
      <x:c r="L116" s="9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9"/>
      <x:c r="B117" s="9"/>
      <x:c r="C117" s="6" t="str">
        <x:f>IF(B117="","",VLOOKUP(B117,Customers!$A$5:$J$504,3,FALSE))</x:f>
      </x:c>
      <x:c r="D117" s="6" t="str">
        <x:f>IF(B117="","",VLOOKUP(B117,Customers!$A$5:$J$504,4,FALSE))</x:f>
      </x:c>
      <x:c r="E117" s="9"/>
      <x:c r="F117" s="43"/>
      <x:c r="G117" s="9"/>
      <x:c r="H117" s="47" t="str">
        <x:f>IF(A117="","",SUMIFS(Sales!$K$5:$K$504,Sales!$I$5:$I$504,A117,Sales!$L$5:$L$504,"Approved"))</x:f>
      </x:c>
      <x:c r="I117" s="47" t="str">
        <x:f>IF(A117="","",SUMIFS(Payouts!$G$5:$G$504,Payouts!$B$5:$B$504,A117,Payouts!$H$5:$H$504,"Paid"))</x:f>
      </x:c>
      <x:c r="J117" s="47" t="str">
        <x:f>IF(A117="","",H117-I117)</x:f>
      </x:c>
      <x:c r="K117" s="9"/>
      <x:c r="L117" s="9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9"/>
      <x:c r="B118" s="9"/>
      <x:c r="C118" s="6" t="str">
        <x:f>IF(B118="","",VLOOKUP(B118,Customers!$A$5:$J$504,3,FALSE))</x:f>
      </x:c>
      <x:c r="D118" s="6" t="str">
        <x:f>IF(B118="","",VLOOKUP(B118,Customers!$A$5:$J$504,4,FALSE))</x:f>
      </x:c>
      <x:c r="E118" s="9"/>
      <x:c r="F118" s="43"/>
      <x:c r="G118" s="9"/>
      <x:c r="H118" s="47" t="str">
        <x:f>IF(A118="","",SUMIFS(Sales!$K$5:$K$504,Sales!$I$5:$I$504,A118,Sales!$L$5:$L$504,"Approved"))</x:f>
      </x:c>
      <x:c r="I118" s="47" t="str">
        <x:f>IF(A118="","",SUMIFS(Payouts!$G$5:$G$504,Payouts!$B$5:$B$504,A118,Payouts!$H$5:$H$504,"Paid"))</x:f>
      </x:c>
      <x:c r="J118" s="47" t="str">
        <x:f>IF(A118="","",H118-I118)</x:f>
      </x:c>
      <x:c r="K118" s="9"/>
      <x:c r="L118" s="9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9"/>
      <x:c r="B119" s="9"/>
      <x:c r="C119" s="6" t="str">
        <x:f>IF(B119="","",VLOOKUP(B119,Customers!$A$5:$J$504,3,FALSE))</x:f>
      </x:c>
      <x:c r="D119" s="6" t="str">
        <x:f>IF(B119="","",VLOOKUP(B119,Customers!$A$5:$J$504,4,FALSE))</x:f>
      </x:c>
      <x:c r="E119" s="9"/>
      <x:c r="F119" s="43"/>
      <x:c r="G119" s="9"/>
      <x:c r="H119" s="47" t="str">
        <x:f>IF(A119="","",SUMIFS(Sales!$K$5:$K$504,Sales!$I$5:$I$504,A119,Sales!$L$5:$L$504,"Approved"))</x:f>
      </x:c>
      <x:c r="I119" s="47" t="str">
        <x:f>IF(A119="","",SUMIFS(Payouts!$G$5:$G$504,Payouts!$B$5:$B$504,A119,Payouts!$H$5:$H$504,"Paid"))</x:f>
      </x:c>
      <x:c r="J119" s="47" t="str">
        <x:f>IF(A119="","",H119-I119)</x:f>
      </x:c>
      <x:c r="K119" s="9"/>
      <x:c r="L119" s="9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9"/>
      <x:c r="B120" s="9"/>
      <x:c r="C120" s="6" t="str">
        <x:f>IF(B120="","",VLOOKUP(B120,Customers!$A$5:$J$504,3,FALSE))</x:f>
      </x:c>
      <x:c r="D120" s="6" t="str">
        <x:f>IF(B120="","",VLOOKUP(B120,Customers!$A$5:$J$504,4,FALSE))</x:f>
      </x:c>
      <x:c r="E120" s="9"/>
      <x:c r="F120" s="43"/>
      <x:c r="G120" s="9"/>
      <x:c r="H120" s="47" t="str">
        <x:f>IF(A120="","",SUMIFS(Sales!$K$5:$K$504,Sales!$I$5:$I$504,A120,Sales!$L$5:$L$504,"Approved"))</x:f>
      </x:c>
      <x:c r="I120" s="47" t="str">
        <x:f>IF(A120="","",SUMIFS(Payouts!$G$5:$G$504,Payouts!$B$5:$B$504,A120,Payouts!$H$5:$H$504,"Paid"))</x:f>
      </x:c>
      <x:c r="J120" s="47" t="str">
        <x:f>IF(A120="","",H120-I120)</x:f>
      </x:c>
      <x:c r="K120" s="9"/>
      <x:c r="L120" s="9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9"/>
      <x:c r="B121" s="9"/>
      <x:c r="C121" s="6" t="str">
        <x:f>IF(B121="","",VLOOKUP(B121,Customers!$A$5:$J$504,3,FALSE))</x:f>
      </x:c>
      <x:c r="D121" s="6" t="str">
        <x:f>IF(B121="","",VLOOKUP(B121,Customers!$A$5:$J$504,4,FALSE))</x:f>
      </x:c>
      <x:c r="E121" s="9"/>
      <x:c r="F121" s="43"/>
      <x:c r="G121" s="9"/>
      <x:c r="H121" s="47" t="str">
        <x:f>IF(A121="","",SUMIFS(Sales!$K$5:$K$504,Sales!$I$5:$I$504,A121,Sales!$L$5:$L$504,"Approved"))</x:f>
      </x:c>
      <x:c r="I121" s="47" t="str">
        <x:f>IF(A121="","",SUMIFS(Payouts!$G$5:$G$504,Payouts!$B$5:$B$504,A121,Payouts!$H$5:$H$504,"Paid"))</x:f>
      </x:c>
      <x:c r="J121" s="47" t="str">
        <x:f>IF(A121="","",H121-I121)</x:f>
      </x:c>
      <x:c r="K121" s="9"/>
      <x:c r="L121" s="9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9"/>
      <x:c r="B122" s="9"/>
      <x:c r="C122" s="6" t="str">
        <x:f>IF(B122="","",VLOOKUP(B122,Customers!$A$5:$J$504,3,FALSE))</x:f>
      </x:c>
      <x:c r="D122" s="6" t="str">
        <x:f>IF(B122="","",VLOOKUP(B122,Customers!$A$5:$J$504,4,FALSE))</x:f>
      </x:c>
      <x:c r="E122" s="9"/>
      <x:c r="F122" s="43"/>
      <x:c r="G122" s="9"/>
      <x:c r="H122" s="47" t="str">
        <x:f>IF(A122="","",SUMIFS(Sales!$K$5:$K$504,Sales!$I$5:$I$504,A122,Sales!$L$5:$L$504,"Approved"))</x:f>
      </x:c>
      <x:c r="I122" s="47" t="str">
        <x:f>IF(A122="","",SUMIFS(Payouts!$G$5:$G$504,Payouts!$B$5:$B$504,A122,Payouts!$H$5:$H$504,"Paid"))</x:f>
      </x:c>
      <x:c r="J122" s="47" t="str">
        <x:f>IF(A122="","",H122-I122)</x:f>
      </x:c>
      <x:c r="K122" s="9"/>
      <x:c r="L122" s="9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9"/>
      <x:c r="B123" s="9"/>
      <x:c r="C123" s="6" t="str">
        <x:f>IF(B123="","",VLOOKUP(B123,Customers!$A$5:$J$504,3,FALSE))</x:f>
      </x:c>
      <x:c r="D123" s="6" t="str">
        <x:f>IF(B123="","",VLOOKUP(B123,Customers!$A$5:$J$504,4,FALSE))</x:f>
      </x:c>
      <x:c r="E123" s="9"/>
      <x:c r="F123" s="43"/>
      <x:c r="G123" s="9"/>
      <x:c r="H123" s="47" t="str">
        <x:f>IF(A123="","",SUMIFS(Sales!$K$5:$K$504,Sales!$I$5:$I$504,A123,Sales!$L$5:$L$504,"Approved"))</x:f>
      </x:c>
      <x:c r="I123" s="47" t="str">
        <x:f>IF(A123="","",SUMIFS(Payouts!$G$5:$G$504,Payouts!$B$5:$B$504,A123,Payouts!$H$5:$H$504,"Paid"))</x:f>
      </x:c>
      <x:c r="J123" s="47" t="str">
        <x:f>IF(A123="","",H123-I123)</x:f>
      </x:c>
      <x:c r="K123" s="9"/>
      <x:c r="L123" s="9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9"/>
      <x:c r="B124" s="9"/>
      <x:c r="C124" s="6" t="str">
        <x:f>IF(B124="","",VLOOKUP(B124,Customers!$A$5:$J$504,3,FALSE))</x:f>
      </x:c>
      <x:c r="D124" s="6" t="str">
        <x:f>IF(B124="","",VLOOKUP(B124,Customers!$A$5:$J$504,4,FALSE))</x:f>
      </x:c>
      <x:c r="E124" s="9"/>
      <x:c r="F124" s="43"/>
      <x:c r="G124" s="9"/>
      <x:c r="H124" s="47" t="str">
        <x:f>IF(A124="","",SUMIFS(Sales!$K$5:$K$504,Sales!$I$5:$I$504,A124,Sales!$L$5:$L$504,"Approved"))</x:f>
      </x:c>
      <x:c r="I124" s="47" t="str">
        <x:f>IF(A124="","",SUMIFS(Payouts!$G$5:$G$504,Payouts!$B$5:$B$504,A124,Payouts!$H$5:$H$504,"Paid"))</x:f>
      </x:c>
      <x:c r="J124" s="47" t="str">
        <x:f>IF(A124="","",H124-I124)</x:f>
      </x:c>
      <x:c r="K124" s="9"/>
      <x:c r="L124" s="9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9"/>
      <x:c r="B125" s="9"/>
      <x:c r="C125" s="6" t="str">
        <x:f>IF(B125="","",VLOOKUP(B125,Customers!$A$5:$J$504,3,FALSE))</x:f>
      </x:c>
      <x:c r="D125" s="6" t="str">
        <x:f>IF(B125="","",VLOOKUP(B125,Customers!$A$5:$J$504,4,FALSE))</x:f>
      </x:c>
      <x:c r="E125" s="9"/>
      <x:c r="F125" s="43"/>
      <x:c r="G125" s="9"/>
      <x:c r="H125" s="47" t="str">
        <x:f>IF(A125="","",SUMIFS(Sales!$K$5:$K$504,Sales!$I$5:$I$504,A125,Sales!$L$5:$L$504,"Approved"))</x:f>
      </x:c>
      <x:c r="I125" s="47" t="str">
        <x:f>IF(A125="","",SUMIFS(Payouts!$G$5:$G$504,Payouts!$B$5:$B$504,A125,Payouts!$H$5:$H$504,"Paid"))</x:f>
      </x:c>
      <x:c r="J125" s="47" t="str">
        <x:f>IF(A125="","",H125-I125)</x:f>
      </x:c>
      <x:c r="K125" s="9"/>
      <x:c r="L125" s="9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9"/>
      <x:c r="B126" s="9"/>
      <x:c r="C126" s="6" t="str">
        <x:f>IF(B126="","",VLOOKUP(B126,Customers!$A$5:$J$504,3,FALSE))</x:f>
      </x:c>
      <x:c r="D126" s="6" t="str">
        <x:f>IF(B126="","",VLOOKUP(B126,Customers!$A$5:$J$504,4,FALSE))</x:f>
      </x:c>
      <x:c r="E126" s="9"/>
      <x:c r="F126" s="43"/>
      <x:c r="G126" s="9"/>
      <x:c r="H126" s="47" t="str">
        <x:f>IF(A126="","",SUMIFS(Sales!$K$5:$K$504,Sales!$I$5:$I$504,A126,Sales!$L$5:$L$504,"Approved"))</x:f>
      </x:c>
      <x:c r="I126" s="47" t="str">
        <x:f>IF(A126="","",SUMIFS(Payouts!$G$5:$G$504,Payouts!$B$5:$B$504,A126,Payouts!$H$5:$H$504,"Paid"))</x:f>
      </x:c>
      <x:c r="J126" s="47" t="str">
        <x:f>IF(A126="","",H126-I126)</x:f>
      </x:c>
      <x:c r="K126" s="9"/>
      <x:c r="L126" s="9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9"/>
      <x:c r="B127" s="9"/>
      <x:c r="C127" s="6" t="str">
        <x:f>IF(B127="","",VLOOKUP(B127,Customers!$A$5:$J$504,3,FALSE))</x:f>
      </x:c>
      <x:c r="D127" s="6" t="str">
        <x:f>IF(B127="","",VLOOKUP(B127,Customers!$A$5:$J$504,4,FALSE))</x:f>
      </x:c>
      <x:c r="E127" s="9"/>
      <x:c r="F127" s="43"/>
      <x:c r="G127" s="9"/>
      <x:c r="H127" s="47" t="str">
        <x:f>IF(A127="","",SUMIFS(Sales!$K$5:$K$504,Sales!$I$5:$I$504,A127,Sales!$L$5:$L$504,"Approved"))</x:f>
      </x:c>
      <x:c r="I127" s="47" t="str">
        <x:f>IF(A127="","",SUMIFS(Payouts!$G$5:$G$504,Payouts!$B$5:$B$504,A127,Payouts!$H$5:$H$504,"Paid"))</x:f>
      </x:c>
      <x:c r="J127" s="47" t="str">
        <x:f>IF(A127="","",H127-I127)</x:f>
      </x:c>
      <x:c r="K127" s="9"/>
      <x:c r="L127" s="9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9"/>
      <x:c r="B128" s="9"/>
      <x:c r="C128" s="6" t="str">
        <x:f>IF(B128="","",VLOOKUP(B128,Customers!$A$5:$J$504,3,FALSE))</x:f>
      </x:c>
      <x:c r="D128" s="6" t="str">
        <x:f>IF(B128="","",VLOOKUP(B128,Customers!$A$5:$J$504,4,FALSE))</x:f>
      </x:c>
      <x:c r="E128" s="9"/>
      <x:c r="F128" s="43"/>
      <x:c r="G128" s="9"/>
      <x:c r="H128" s="47" t="str">
        <x:f>IF(A128="","",SUMIFS(Sales!$K$5:$K$504,Sales!$I$5:$I$504,A128,Sales!$L$5:$L$504,"Approved"))</x:f>
      </x:c>
      <x:c r="I128" s="47" t="str">
        <x:f>IF(A128="","",SUMIFS(Payouts!$G$5:$G$504,Payouts!$B$5:$B$504,A128,Payouts!$H$5:$H$504,"Paid"))</x:f>
      </x:c>
      <x:c r="J128" s="47" t="str">
        <x:f>IF(A128="","",H128-I128)</x:f>
      </x:c>
      <x:c r="K128" s="9"/>
      <x:c r="L128" s="9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9"/>
      <x:c r="B129" s="9"/>
      <x:c r="C129" s="6" t="str">
        <x:f>IF(B129="","",VLOOKUP(B129,Customers!$A$5:$J$504,3,FALSE))</x:f>
      </x:c>
      <x:c r="D129" s="6" t="str">
        <x:f>IF(B129="","",VLOOKUP(B129,Customers!$A$5:$J$504,4,FALSE))</x:f>
      </x:c>
      <x:c r="E129" s="9"/>
      <x:c r="F129" s="43"/>
      <x:c r="G129" s="9"/>
      <x:c r="H129" s="47" t="str">
        <x:f>IF(A129="","",SUMIFS(Sales!$K$5:$K$504,Sales!$I$5:$I$504,A129,Sales!$L$5:$L$504,"Approved"))</x:f>
      </x:c>
      <x:c r="I129" s="47" t="str">
        <x:f>IF(A129="","",SUMIFS(Payouts!$G$5:$G$504,Payouts!$B$5:$B$504,A129,Payouts!$H$5:$H$504,"Paid"))</x:f>
      </x:c>
      <x:c r="J129" s="47" t="str">
        <x:f>IF(A129="","",H129-I129)</x:f>
      </x:c>
      <x:c r="K129" s="9"/>
      <x:c r="L129" s="9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9"/>
      <x:c r="B130" s="9"/>
      <x:c r="C130" s="6" t="str">
        <x:f>IF(B130="","",VLOOKUP(B130,Customers!$A$5:$J$504,3,FALSE))</x:f>
      </x:c>
      <x:c r="D130" s="6" t="str">
        <x:f>IF(B130="","",VLOOKUP(B130,Customers!$A$5:$J$504,4,FALSE))</x:f>
      </x:c>
      <x:c r="E130" s="9"/>
      <x:c r="F130" s="43"/>
      <x:c r="G130" s="9"/>
      <x:c r="H130" s="47" t="str">
        <x:f>IF(A130="","",SUMIFS(Sales!$K$5:$K$504,Sales!$I$5:$I$504,A130,Sales!$L$5:$L$504,"Approved"))</x:f>
      </x:c>
      <x:c r="I130" s="47" t="str">
        <x:f>IF(A130="","",SUMIFS(Payouts!$G$5:$G$504,Payouts!$B$5:$B$504,A130,Payouts!$H$5:$H$504,"Paid"))</x:f>
      </x:c>
      <x:c r="J130" s="47" t="str">
        <x:f>IF(A130="","",H130-I130)</x:f>
      </x:c>
      <x:c r="K130" s="9"/>
      <x:c r="L130" s="9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9"/>
      <x:c r="B131" s="9"/>
      <x:c r="C131" s="6" t="str">
        <x:f>IF(B131="","",VLOOKUP(B131,Customers!$A$5:$J$504,3,FALSE))</x:f>
      </x:c>
      <x:c r="D131" s="6" t="str">
        <x:f>IF(B131="","",VLOOKUP(B131,Customers!$A$5:$J$504,4,FALSE))</x:f>
      </x:c>
      <x:c r="E131" s="9"/>
      <x:c r="F131" s="43"/>
      <x:c r="G131" s="9"/>
      <x:c r="H131" s="47" t="str">
        <x:f>IF(A131="","",SUMIFS(Sales!$K$5:$K$504,Sales!$I$5:$I$504,A131,Sales!$L$5:$L$504,"Approved"))</x:f>
      </x:c>
      <x:c r="I131" s="47" t="str">
        <x:f>IF(A131="","",SUMIFS(Payouts!$G$5:$G$504,Payouts!$B$5:$B$504,A131,Payouts!$H$5:$H$504,"Paid"))</x:f>
      </x:c>
      <x:c r="J131" s="47" t="str">
        <x:f>IF(A131="","",H131-I131)</x:f>
      </x:c>
      <x:c r="K131" s="9"/>
      <x:c r="L131" s="9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9"/>
      <x:c r="B132" s="9"/>
      <x:c r="C132" s="6" t="str">
        <x:f>IF(B132="","",VLOOKUP(B132,Customers!$A$5:$J$504,3,FALSE))</x:f>
      </x:c>
      <x:c r="D132" s="6" t="str">
        <x:f>IF(B132="","",VLOOKUP(B132,Customers!$A$5:$J$504,4,FALSE))</x:f>
      </x:c>
      <x:c r="E132" s="9"/>
      <x:c r="F132" s="43"/>
      <x:c r="G132" s="9"/>
      <x:c r="H132" s="47" t="str">
        <x:f>IF(A132="","",SUMIFS(Sales!$K$5:$K$504,Sales!$I$5:$I$504,A132,Sales!$L$5:$L$504,"Approved"))</x:f>
      </x:c>
      <x:c r="I132" s="47" t="str">
        <x:f>IF(A132="","",SUMIFS(Payouts!$G$5:$G$504,Payouts!$B$5:$B$504,A132,Payouts!$H$5:$H$504,"Paid"))</x:f>
      </x:c>
      <x:c r="J132" s="47" t="str">
        <x:f>IF(A132="","",H132-I132)</x:f>
      </x:c>
      <x:c r="K132" s="9"/>
      <x:c r="L132" s="9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9"/>
      <x:c r="B133" s="9"/>
      <x:c r="C133" s="6" t="str">
        <x:f>IF(B133="","",VLOOKUP(B133,Customers!$A$5:$J$504,3,FALSE))</x:f>
      </x:c>
      <x:c r="D133" s="6" t="str">
        <x:f>IF(B133="","",VLOOKUP(B133,Customers!$A$5:$J$504,4,FALSE))</x:f>
      </x:c>
      <x:c r="E133" s="9"/>
      <x:c r="F133" s="43"/>
      <x:c r="G133" s="9"/>
      <x:c r="H133" s="47" t="str">
        <x:f>IF(A133="","",SUMIFS(Sales!$K$5:$K$504,Sales!$I$5:$I$504,A133,Sales!$L$5:$L$504,"Approved"))</x:f>
      </x:c>
      <x:c r="I133" s="47" t="str">
        <x:f>IF(A133="","",SUMIFS(Payouts!$G$5:$G$504,Payouts!$B$5:$B$504,A133,Payouts!$H$5:$H$504,"Paid"))</x:f>
      </x:c>
      <x:c r="J133" s="47" t="str">
        <x:f>IF(A133="","",H133-I133)</x:f>
      </x:c>
      <x:c r="K133" s="9"/>
      <x:c r="L133" s="9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9"/>
      <x:c r="B134" s="9"/>
      <x:c r="C134" s="6" t="str">
        <x:f>IF(B134="","",VLOOKUP(B134,Customers!$A$5:$J$504,3,FALSE))</x:f>
      </x:c>
      <x:c r="D134" s="6" t="str">
        <x:f>IF(B134="","",VLOOKUP(B134,Customers!$A$5:$J$504,4,FALSE))</x:f>
      </x:c>
      <x:c r="E134" s="9"/>
      <x:c r="F134" s="43"/>
      <x:c r="G134" s="9"/>
      <x:c r="H134" s="47" t="str">
        <x:f>IF(A134="","",SUMIFS(Sales!$K$5:$K$504,Sales!$I$5:$I$504,A134,Sales!$L$5:$L$504,"Approved"))</x:f>
      </x:c>
      <x:c r="I134" s="47" t="str">
        <x:f>IF(A134="","",SUMIFS(Payouts!$G$5:$G$504,Payouts!$B$5:$B$504,A134,Payouts!$H$5:$H$504,"Paid"))</x:f>
      </x:c>
      <x:c r="J134" s="47" t="str">
        <x:f>IF(A134="","",H134-I134)</x:f>
      </x:c>
      <x:c r="K134" s="9"/>
      <x:c r="L134" s="9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9"/>
      <x:c r="B135" s="9"/>
      <x:c r="C135" s="6" t="str">
        <x:f>IF(B135="","",VLOOKUP(B135,Customers!$A$5:$J$504,3,FALSE))</x:f>
      </x:c>
      <x:c r="D135" s="6" t="str">
        <x:f>IF(B135="","",VLOOKUP(B135,Customers!$A$5:$J$504,4,FALSE))</x:f>
      </x:c>
      <x:c r="E135" s="9"/>
      <x:c r="F135" s="43"/>
      <x:c r="G135" s="9"/>
      <x:c r="H135" s="47" t="str">
        <x:f>IF(A135="","",SUMIFS(Sales!$K$5:$K$504,Sales!$I$5:$I$504,A135,Sales!$L$5:$L$504,"Approved"))</x:f>
      </x:c>
      <x:c r="I135" s="47" t="str">
        <x:f>IF(A135="","",SUMIFS(Payouts!$G$5:$G$504,Payouts!$B$5:$B$504,A135,Payouts!$H$5:$H$504,"Paid"))</x:f>
      </x:c>
      <x:c r="J135" s="47" t="str">
        <x:f>IF(A135="","",H135-I135)</x:f>
      </x:c>
      <x:c r="K135" s="9"/>
      <x:c r="L135" s="9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9"/>
      <x:c r="B136" s="9"/>
      <x:c r="C136" s="6" t="str">
        <x:f>IF(B136="","",VLOOKUP(B136,Customers!$A$5:$J$504,3,FALSE))</x:f>
      </x:c>
      <x:c r="D136" s="6" t="str">
        <x:f>IF(B136="","",VLOOKUP(B136,Customers!$A$5:$J$504,4,FALSE))</x:f>
      </x:c>
      <x:c r="E136" s="9"/>
      <x:c r="F136" s="43"/>
      <x:c r="G136" s="9"/>
      <x:c r="H136" s="47" t="str">
        <x:f>IF(A136="","",SUMIFS(Sales!$K$5:$K$504,Sales!$I$5:$I$504,A136,Sales!$L$5:$L$504,"Approved"))</x:f>
      </x:c>
      <x:c r="I136" s="47" t="str">
        <x:f>IF(A136="","",SUMIFS(Payouts!$G$5:$G$504,Payouts!$B$5:$B$504,A136,Payouts!$H$5:$H$504,"Paid"))</x:f>
      </x:c>
      <x:c r="J136" s="47" t="str">
        <x:f>IF(A136="","",H136-I136)</x:f>
      </x:c>
      <x:c r="K136" s="9"/>
      <x:c r="L136" s="9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9"/>
      <x:c r="B137" s="9"/>
      <x:c r="C137" s="6" t="str">
        <x:f>IF(B137="","",VLOOKUP(B137,Customers!$A$5:$J$504,3,FALSE))</x:f>
      </x:c>
      <x:c r="D137" s="6" t="str">
        <x:f>IF(B137="","",VLOOKUP(B137,Customers!$A$5:$J$504,4,FALSE))</x:f>
      </x:c>
      <x:c r="E137" s="9"/>
      <x:c r="F137" s="43"/>
      <x:c r="G137" s="9"/>
      <x:c r="H137" s="47" t="str">
        <x:f>IF(A137="","",SUMIFS(Sales!$K$5:$K$504,Sales!$I$5:$I$504,A137,Sales!$L$5:$L$504,"Approved"))</x:f>
      </x:c>
      <x:c r="I137" s="47" t="str">
        <x:f>IF(A137="","",SUMIFS(Payouts!$G$5:$G$504,Payouts!$B$5:$B$504,A137,Payouts!$H$5:$H$504,"Paid"))</x:f>
      </x:c>
      <x:c r="J137" s="47" t="str">
        <x:f>IF(A137="","",H137-I137)</x:f>
      </x:c>
      <x:c r="K137" s="9"/>
      <x:c r="L137" s="9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9"/>
      <x:c r="B138" s="9"/>
      <x:c r="C138" s="6" t="str">
        <x:f>IF(B138="","",VLOOKUP(B138,Customers!$A$5:$J$504,3,FALSE))</x:f>
      </x:c>
      <x:c r="D138" s="6" t="str">
        <x:f>IF(B138="","",VLOOKUP(B138,Customers!$A$5:$J$504,4,FALSE))</x:f>
      </x:c>
      <x:c r="E138" s="9"/>
      <x:c r="F138" s="43"/>
      <x:c r="G138" s="9"/>
      <x:c r="H138" s="47" t="str">
        <x:f>IF(A138="","",SUMIFS(Sales!$K$5:$K$504,Sales!$I$5:$I$504,A138,Sales!$L$5:$L$504,"Approved"))</x:f>
      </x:c>
      <x:c r="I138" s="47" t="str">
        <x:f>IF(A138="","",SUMIFS(Payouts!$G$5:$G$504,Payouts!$B$5:$B$504,A138,Payouts!$H$5:$H$504,"Paid"))</x:f>
      </x:c>
      <x:c r="J138" s="47" t="str">
        <x:f>IF(A138="","",H138-I138)</x:f>
      </x:c>
      <x:c r="K138" s="9"/>
      <x:c r="L138" s="9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9"/>
      <x:c r="B139" s="9"/>
      <x:c r="C139" s="6" t="str">
        <x:f>IF(B139="","",VLOOKUP(B139,Customers!$A$5:$J$504,3,FALSE))</x:f>
      </x:c>
      <x:c r="D139" s="6" t="str">
        <x:f>IF(B139="","",VLOOKUP(B139,Customers!$A$5:$J$504,4,FALSE))</x:f>
      </x:c>
      <x:c r="E139" s="9"/>
      <x:c r="F139" s="43"/>
      <x:c r="G139" s="9"/>
      <x:c r="H139" s="47" t="str">
        <x:f>IF(A139="","",SUMIFS(Sales!$K$5:$K$504,Sales!$I$5:$I$504,A139,Sales!$L$5:$L$504,"Approved"))</x:f>
      </x:c>
      <x:c r="I139" s="47" t="str">
        <x:f>IF(A139="","",SUMIFS(Payouts!$G$5:$G$504,Payouts!$B$5:$B$504,A139,Payouts!$H$5:$H$504,"Paid"))</x:f>
      </x:c>
      <x:c r="J139" s="47" t="str">
        <x:f>IF(A139="","",H139-I139)</x:f>
      </x:c>
      <x:c r="K139" s="9"/>
      <x:c r="L139" s="9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9"/>
      <x:c r="B140" s="9"/>
      <x:c r="C140" s="6" t="str">
        <x:f>IF(B140="","",VLOOKUP(B140,Customers!$A$5:$J$504,3,FALSE))</x:f>
      </x:c>
      <x:c r="D140" s="6" t="str">
        <x:f>IF(B140="","",VLOOKUP(B140,Customers!$A$5:$J$504,4,FALSE))</x:f>
      </x:c>
      <x:c r="E140" s="9"/>
      <x:c r="F140" s="43"/>
      <x:c r="G140" s="9"/>
      <x:c r="H140" s="47" t="str">
        <x:f>IF(A140="","",SUMIFS(Sales!$K$5:$K$504,Sales!$I$5:$I$504,A140,Sales!$L$5:$L$504,"Approved"))</x:f>
      </x:c>
      <x:c r="I140" s="47" t="str">
        <x:f>IF(A140="","",SUMIFS(Payouts!$G$5:$G$504,Payouts!$B$5:$B$504,A140,Payouts!$H$5:$H$504,"Paid"))</x:f>
      </x:c>
      <x:c r="J140" s="47" t="str">
        <x:f>IF(A140="","",H140-I140)</x:f>
      </x:c>
      <x:c r="K140" s="9"/>
      <x:c r="L140" s="9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9"/>
      <x:c r="B141" s="9"/>
      <x:c r="C141" s="6" t="str">
        <x:f>IF(B141="","",VLOOKUP(B141,Customers!$A$5:$J$504,3,FALSE))</x:f>
      </x:c>
      <x:c r="D141" s="6" t="str">
        <x:f>IF(B141="","",VLOOKUP(B141,Customers!$A$5:$J$504,4,FALSE))</x:f>
      </x:c>
      <x:c r="E141" s="9"/>
      <x:c r="F141" s="43"/>
      <x:c r="G141" s="9"/>
      <x:c r="H141" s="47" t="str">
        <x:f>IF(A141="","",SUMIFS(Sales!$K$5:$K$504,Sales!$I$5:$I$504,A141,Sales!$L$5:$L$504,"Approved"))</x:f>
      </x:c>
      <x:c r="I141" s="47" t="str">
        <x:f>IF(A141="","",SUMIFS(Payouts!$G$5:$G$504,Payouts!$B$5:$B$504,A141,Payouts!$H$5:$H$504,"Paid"))</x:f>
      </x:c>
      <x:c r="J141" s="47" t="str">
        <x:f>IF(A141="","",H141-I141)</x:f>
      </x:c>
      <x:c r="K141" s="9"/>
      <x:c r="L141" s="9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9"/>
      <x:c r="B142" s="9"/>
      <x:c r="C142" s="6" t="str">
        <x:f>IF(B142="","",VLOOKUP(B142,Customers!$A$5:$J$504,3,FALSE))</x:f>
      </x:c>
      <x:c r="D142" s="6" t="str">
        <x:f>IF(B142="","",VLOOKUP(B142,Customers!$A$5:$J$504,4,FALSE))</x:f>
      </x:c>
      <x:c r="E142" s="9"/>
      <x:c r="F142" s="43"/>
      <x:c r="G142" s="9"/>
      <x:c r="H142" s="47" t="str">
        <x:f>IF(A142="","",SUMIFS(Sales!$K$5:$K$504,Sales!$I$5:$I$504,A142,Sales!$L$5:$L$504,"Approved"))</x:f>
      </x:c>
      <x:c r="I142" s="47" t="str">
        <x:f>IF(A142="","",SUMIFS(Payouts!$G$5:$G$504,Payouts!$B$5:$B$504,A142,Payouts!$H$5:$H$504,"Paid"))</x:f>
      </x:c>
      <x:c r="J142" s="47" t="str">
        <x:f>IF(A142="","",H142-I142)</x:f>
      </x:c>
      <x:c r="K142" s="9"/>
      <x:c r="L142" s="9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9"/>
      <x:c r="B143" s="9"/>
      <x:c r="C143" s="6" t="str">
        <x:f>IF(B143="","",VLOOKUP(B143,Customers!$A$5:$J$504,3,FALSE))</x:f>
      </x:c>
      <x:c r="D143" s="6" t="str">
        <x:f>IF(B143="","",VLOOKUP(B143,Customers!$A$5:$J$504,4,FALSE))</x:f>
      </x:c>
      <x:c r="E143" s="9"/>
      <x:c r="F143" s="43"/>
      <x:c r="G143" s="9"/>
      <x:c r="H143" s="47" t="str">
        <x:f>IF(A143="","",SUMIFS(Sales!$K$5:$K$504,Sales!$I$5:$I$504,A143,Sales!$L$5:$L$504,"Approved"))</x:f>
      </x:c>
      <x:c r="I143" s="47" t="str">
        <x:f>IF(A143="","",SUMIFS(Payouts!$G$5:$G$504,Payouts!$B$5:$B$504,A143,Payouts!$H$5:$H$504,"Paid"))</x:f>
      </x:c>
      <x:c r="J143" s="47" t="str">
        <x:f>IF(A143="","",H143-I143)</x:f>
      </x:c>
      <x:c r="K143" s="9"/>
      <x:c r="L143" s="9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9"/>
      <x:c r="B144" s="9"/>
      <x:c r="C144" s="6" t="str">
        <x:f>IF(B144="","",VLOOKUP(B144,Customers!$A$5:$J$504,3,FALSE))</x:f>
      </x:c>
      <x:c r="D144" s="6" t="str">
        <x:f>IF(B144="","",VLOOKUP(B144,Customers!$A$5:$J$504,4,FALSE))</x:f>
      </x:c>
      <x:c r="E144" s="9"/>
      <x:c r="F144" s="43"/>
      <x:c r="G144" s="9"/>
      <x:c r="H144" s="47" t="str">
        <x:f>IF(A144="","",SUMIFS(Sales!$K$5:$K$504,Sales!$I$5:$I$504,A144,Sales!$L$5:$L$504,"Approved"))</x:f>
      </x:c>
      <x:c r="I144" s="47" t="str">
        <x:f>IF(A144="","",SUMIFS(Payouts!$G$5:$G$504,Payouts!$B$5:$B$504,A144,Payouts!$H$5:$H$504,"Paid"))</x:f>
      </x:c>
      <x:c r="J144" s="47" t="str">
        <x:f>IF(A144="","",H144-I144)</x:f>
      </x:c>
      <x:c r="K144" s="9"/>
      <x:c r="L144" s="9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9"/>
      <x:c r="B145" s="9"/>
      <x:c r="C145" s="6" t="str">
        <x:f>IF(B145="","",VLOOKUP(B145,Customers!$A$5:$J$504,3,FALSE))</x:f>
      </x:c>
      <x:c r="D145" s="6" t="str">
        <x:f>IF(B145="","",VLOOKUP(B145,Customers!$A$5:$J$504,4,FALSE))</x:f>
      </x:c>
      <x:c r="E145" s="9"/>
      <x:c r="F145" s="43"/>
      <x:c r="G145" s="9"/>
      <x:c r="H145" s="47" t="str">
        <x:f>IF(A145="","",SUMIFS(Sales!$K$5:$K$504,Sales!$I$5:$I$504,A145,Sales!$L$5:$L$504,"Approved"))</x:f>
      </x:c>
      <x:c r="I145" s="47" t="str">
        <x:f>IF(A145="","",SUMIFS(Payouts!$G$5:$G$504,Payouts!$B$5:$B$504,A145,Payouts!$H$5:$H$504,"Paid"))</x:f>
      </x:c>
      <x:c r="J145" s="47" t="str">
        <x:f>IF(A145="","",H145-I145)</x:f>
      </x:c>
      <x:c r="K145" s="9"/>
      <x:c r="L145" s="9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9"/>
      <x:c r="B146" s="9"/>
      <x:c r="C146" s="6" t="str">
        <x:f>IF(B146="","",VLOOKUP(B146,Customers!$A$5:$J$504,3,FALSE))</x:f>
      </x:c>
      <x:c r="D146" s="6" t="str">
        <x:f>IF(B146="","",VLOOKUP(B146,Customers!$A$5:$J$504,4,FALSE))</x:f>
      </x:c>
      <x:c r="E146" s="9"/>
      <x:c r="F146" s="43"/>
      <x:c r="G146" s="9"/>
      <x:c r="H146" s="47" t="str">
        <x:f>IF(A146="","",SUMIFS(Sales!$K$5:$K$504,Sales!$I$5:$I$504,A146,Sales!$L$5:$L$504,"Approved"))</x:f>
      </x:c>
      <x:c r="I146" s="47" t="str">
        <x:f>IF(A146="","",SUMIFS(Payouts!$G$5:$G$504,Payouts!$B$5:$B$504,A146,Payouts!$H$5:$H$504,"Paid"))</x:f>
      </x:c>
      <x:c r="J146" s="47" t="str">
        <x:f>IF(A146="","",H146-I146)</x:f>
      </x:c>
      <x:c r="K146" s="9"/>
      <x:c r="L146" s="9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9"/>
      <x:c r="B147" s="9"/>
      <x:c r="C147" s="6" t="str">
        <x:f>IF(B147="","",VLOOKUP(B147,Customers!$A$5:$J$504,3,FALSE))</x:f>
      </x:c>
      <x:c r="D147" s="6" t="str">
        <x:f>IF(B147="","",VLOOKUP(B147,Customers!$A$5:$J$504,4,FALSE))</x:f>
      </x:c>
      <x:c r="E147" s="9"/>
      <x:c r="F147" s="43"/>
      <x:c r="G147" s="9"/>
      <x:c r="H147" s="47" t="str">
        <x:f>IF(A147="","",SUMIFS(Sales!$K$5:$K$504,Sales!$I$5:$I$504,A147,Sales!$L$5:$L$504,"Approved"))</x:f>
      </x:c>
      <x:c r="I147" s="47" t="str">
        <x:f>IF(A147="","",SUMIFS(Payouts!$G$5:$G$504,Payouts!$B$5:$B$504,A147,Payouts!$H$5:$H$504,"Paid"))</x:f>
      </x:c>
      <x:c r="J147" s="47" t="str">
        <x:f>IF(A147="","",H147-I147)</x:f>
      </x:c>
      <x:c r="K147" s="9"/>
      <x:c r="L147" s="9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9"/>
      <x:c r="B148" s="9"/>
      <x:c r="C148" s="6" t="str">
        <x:f>IF(B148="","",VLOOKUP(B148,Customers!$A$5:$J$504,3,FALSE))</x:f>
      </x:c>
      <x:c r="D148" s="6" t="str">
        <x:f>IF(B148="","",VLOOKUP(B148,Customers!$A$5:$J$504,4,FALSE))</x:f>
      </x:c>
      <x:c r="E148" s="9"/>
      <x:c r="F148" s="43"/>
      <x:c r="G148" s="9"/>
      <x:c r="H148" s="47" t="str">
        <x:f>IF(A148="","",SUMIFS(Sales!$K$5:$K$504,Sales!$I$5:$I$504,A148,Sales!$L$5:$L$504,"Approved"))</x:f>
      </x:c>
      <x:c r="I148" s="47" t="str">
        <x:f>IF(A148="","",SUMIFS(Payouts!$G$5:$G$504,Payouts!$B$5:$B$504,A148,Payouts!$H$5:$H$504,"Paid"))</x:f>
      </x:c>
      <x:c r="J148" s="47" t="str">
        <x:f>IF(A148="","",H148-I148)</x:f>
      </x:c>
      <x:c r="K148" s="9"/>
      <x:c r="L148" s="9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9"/>
      <x:c r="B149" s="9"/>
      <x:c r="C149" s="6" t="str">
        <x:f>IF(B149="","",VLOOKUP(B149,Customers!$A$5:$J$504,3,FALSE))</x:f>
      </x:c>
      <x:c r="D149" s="6" t="str">
        <x:f>IF(B149="","",VLOOKUP(B149,Customers!$A$5:$J$504,4,FALSE))</x:f>
      </x:c>
      <x:c r="E149" s="9"/>
      <x:c r="F149" s="43"/>
      <x:c r="G149" s="9"/>
      <x:c r="H149" s="47" t="str">
        <x:f>IF(A149="","",SUMIFS(Sales!$K$5:$K$504,Sales!$I$5:$I$504,A149,Sales!$L$5:$L$504,"Approved"))</x:f>
      </x:c>
      <x:c r="I149" s="47" t="str">
        <x:f>IF(A149="","",SUMIFS(Payouts!$G$5:$G$504,Payouts!$B$5:$B$504,A149,Payouts!$H$5:$H$504,"Paid"))</x:f>
      </x:c>
      <x:c r="J149" s="47" t="str">
        <x:f>IF(A149="","",H149-I149)</x:f>
      </x:c>
      <x:c r="K149" s="9"/>
      <x:c r="L149" s="9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9"/>
      <x:c r="B150" s="9"/>
      <x:c r="C150" s="6" t="str">
        <x:f>IF(B150="","",VLOOKUP(B150,Customers!$A$5:$J$504,3,FALSE))</x:f>
      </x:c>
      <x:c r="D150" s="6" t="str">
        <x:f>IF(B150="","",VLOOKUP(B150,Customers!$A$5:$J$504,4,FALSE))</x:f>
      </x:c>
      <x:c r="E150" s="9"/>
      <x:c r="F150" s="43"/>
      <x:c r="G150" s="9"/>
      <x:c r="H150" s="47" t="str">
        <x:f>IF(A150="","",SUMIFS(Sales!$K$5:$K$504,Sales!$I$5:$I$504,A150,Sales!$L$5:$L$504,"Approved"))</x:f>
      </x:c>
      <x:c r="I150" s="47" t="str">
        <x:f>IF(A150="","",SUMIFS(Payouts!$G$5:$G$504,Payouts!$B$5:$B$504,A150,Payouts!$H$5:$H$504,"Paid"))</x:f>
      </x:c>
      <x:c r="J150" s="47" t="str">
        <x:f>IF(A150="","",H150-I150)</x:f>
      </x:c>
      <x:c r="K150" s="9"/>
      <x:c r="L150" s="9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9"/>
      <x:c r="B151" s="9"/>
      <x:c r="C151" s="6" t="str">
        <x:f>IF(B151="","",VLOOKUP(B151,Customers!$A$5:$J$504,3,FALSE))</x:f>
      </x:c>
      <x:c r="D151" s="6" t="str">
        <x:f>IF(B151="","",VLOOKUP(B151,Customers!$A$5:$J$504,4,FALSE))</x:f>
      </x:c>
      <x:c r="E151" s="9"/>
      <x:c r="F151" s="43"/>
      <x:c r="G151" s="9"/>
      <x:c r="H151" s="47" t="str">
        <x:f>IF(A151="","",SUMIFS(Sales!$K$5:$K$504,Sales!$I$5:$I$504,A151,Sales!$L$5:$L$504,"Approved"))</x:f>
      </x:c>
      <x:c r="I151" s="47" t="str">
        <x:f>IF(A151="","",SUMIFS(Payouts!$G$5:$G$504,Payouts!$B$5:$B$504,A151,Payouts!$H$5:$H$504,"Paid"))</x:f>
      </x:c>
      <x:c r="J151" s="47" t="str">
        <x:f>IF(A151="","",H151-I151)</x:f>
      </x:c>
      <x:c r="K151" s="9"/>
      <x:c r="L151" s="9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9"/>
      <x:c r="B152" s="9"/>
      <x:c r="C152" s="6" t="str">
        <x:f>IF(B152="","",VLOOKUP(B152,Customers!$A$5:$J$504,3,FALSE))</x:f>
      </x:c>
      <x:c r="D152" s="6" t="str">
        <x:f>IF(B152="","",VLOOKUP(B152,Customers!$A$5:$J$504,4,FALSE))</x:f>
      </x:c>
      <x:c r="E152" s="9"/>
      <x:c r="F152" s="43"/>
      <x:c r="G152" s="9"/>
      <x:c r="H152" s="47" t="str">
        <x:f>IF(A152="","",SUMIFS(Sales!$K$5:$K$504,Sales!$I$5:$I$504,A152,Sales!$L$5:$L$504,"Approved"))</x:f>
      </x:c>
      <x:c r="I152" s="47" t="str">
        <x:f>IF(A152="","",SUMIFS(Payouts!$G$5:$G$504,Payouts!$B$5:$B$504,A152,Payouts!$H$5:$H$504,"Paid"))</x:f>
      </x:c>
      <x:c r="J152" s="47" t="str">
        <x:f>IF(A152="","",H152-I152)</x:f>
      </x:c>
      <x:c r="K152" s="9"/>
      <x:c r="L152" s="9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9"/>
      <x:c r="B153" s="9"/>
      <x:c r="C153" s="6" t="str">
        <x:f>IF(B153="","",VLOOKUP(B153,Customers!$A$5:$J$504,3,FALSE))</x:f>
      </x:c>
      <x:c r="D153" s="6" t="str">
        <x:f>IF(B153="","",VLOOKUP(B153,Customers!$A$5:$J$504,4,FALSE))</x:f>
      </x:c>
      <x:c r="E153" s="9"/>
      <x:c r="F153" s="43"/>
      <x:c r="G153" s="9"/>
      <x:c r="H153" s="47" t="str">
        <x:f>IF(A153="","",SUMIFS(Sales!$K$5:$K$504,Sales!$I$5:$I$504,A153,Sales!$L$5:$L$504,"Approved"))</x:f>
      </x:c>
      <x:c r="I153" s="47" t="str">
        <x:f>IF(A153="","",SUMIFS(Payouts!$G$5:$G$504,Payouts!$B$5:$B$504,A153,Payouts!$H$5:$H$504,"Paid"))</x:f>
      </x:c>
      <x:c r="J153" s="47" t="str">
        <x:f>IF(A153="","",H153-I153)</x:f>
      </x:c>
      <x:c r="K153" s="9"/>
      <x:c r="L153" s="9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9"/>
      <x:c r="B154" s="9"/>
      <x:c r="C154" s="6" t="str">
        <x:f>IF(B154="","",VLOOKUP(B154,Customers!$A$5:$J$504,3,FALSE))</x:f>
      </x:c>
      <x:c r="D154" s="6" t="str">
        <x:f>IF(B154="","",VLOOKUP(B154,Customers!$A$5:$J$504,4,FALSE))</x:f>
      </x:c>
      <x:c r="E154" s="9"/>
      <x:c r="F154" s="43"/>
      <x:c r="G154" s="9"/>
      <x:c r="H154" s="47" t="str">
        <x:f>IF(A154="","",SUMIFS(Sales!$K$5:$K$504,Sales!$I$5:$I$504,A154,Sales!$L$5:$L$504,"Approved"))</x:f>
      </x:c>
      <x:c r="I154" s="47" t="str">
        <x:f>IF(A154="","",SUMIFS(Payouts!$G$5:$G$504,Payouts!$B$5:$B$504,A154,Payouts!$H$5:$H$504,"Paid"))</x:f>
      </x:c>
      <x:c r="J154" s="47" t="str">
        <x:f>IF(A154="","",H154-I154)</x:f>
      </x:c>
      <x:c r="K154" s="9"/>
      <x:c r="L154" s="9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9"/>
      <x:c r="B155" s="9"/>
      <x:c r="C155" s="6" t="str">
        <x:f>IF(B155="","",VLOOKUP(B155,Customers!$A$5:$J$504,3,FALSE))</x:f>
      </x:c>
      <x:c r="D155" s="6" t="str">
        <x:f>IF(B155="","",VLOOKUP(B155,Customers!$A$5:$J$504,4,FALSE))</x:f>
      </x:c>
      <x:c r="E155" s="9"/>
      <x:c r="F155" s="43"/>
      <x:c r="G155" s="9"/>
      <x:c r="H155" s="47" t="str">
        <x:f>IF(A155="","",SUMIFS(Sales!$K$5:$K$504,Sales!$I$5:$I$504,A155,Sales!$L$5:$L$504,"Approved"))</x:f>
      </x:c>
      <x:c r="I155" s="47" t="str">
        <x:f>IF(A155="","",SUMIFS(Payouts!$G$5:$G$504,Payouts!$B$5:$B$504,A155,Payouts!$H$5:$H$504,"Paid"))</x:f>
      </x:c>
      <x:c r="J155" s="47" t="str">
        <x:f>IF(A155="","",H155-I155)</x:f>
      </x:c>
      <x:c r="K155" s="9"/>
      <x:c r="L155" s="9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9"/>
      <x:c r="B156" s="9"/>
      <x:c r="C156" s="6" t="str">
        <x:f>IF(B156="","",VLOOKUP(B156,Customers!$A$5:$J$504,3,FALSE))</x:f>
      </x:c>
      <x:c r="D156" s="6" t="str">
        <x:f>IF(B156="","",VLOOKUP(B156,Customers!$A$5:$J$504,4,FALSE))</x:f>
      </x:c>
      <x:c r="E156" s="9"/>
      <x:c r="F156" s="43"/>
      <x:c r="G156" s="9"/>
      <x:c r="H156" s="47" t="str">
        <x:f>IF(A156="","",SUMIFS(Sales!$K$5:$K$504,Sales!$I$5:$I$504,A156,Sales!$L$5:$L$504,"Approved"))</x:f>
      </x:c>
      <x:c r="I156" s="47" t="str">
        <x:f>IF(A156="","",SUMIFS(Payouts!$G$5:$G$504,Payouts!$B$5:$B$504,A156,Payouts!$H$5:$H$504,"Paid"))</x:f>
      </x:c>
      <x:c r="J156" s="47" t="str">
        <x:f>IF(A156="","",H156-I156)</x:f>
      </x:c>
      <x:c r="K156" s="9"/>
      <x:c r="L156" s="9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9"/>
      <x:c r="B157" s="9"/>
      <x:c r="C157" s="6" t="str">
        <x:f>IF(B157="","",VLOOKUP(B157,Customers!$A$5:$J$504,3,FALSE))</x:f>
      </x:c>
      <x:c r="D157" s="6" t="str">
        <x:f>IF(B157="","",VLOOKUP(B157,Customers!$A$5:$J$504,4,FALSE))</x:f>
      </x:c>
      <x:c r="E157" s="9"/>
      <x:c r="F157" s="43"/>
      <x:c r="G157" s="9"/>
      <x:c r="H157" s="47" t="str">
        <x:f>IF(A157="","",SUMIFS(Sales!$K$5:$K$504,Sales!$I$5:$I$504,A157,Sales!$L$5:$L$504,"Approved"))</x:f>
      </x:c>
      <x:c r="I157" s="47" t="str">
        <x:f>IF(A157="","",SUMIFS(Payouts!$G$5:$G$504,Payouts!$B$5:$B$504,A157,Payouts!$H$5:$H$504,"Paid"))</x:f>
      </x:c>
      <x:c r="J157" s="47" t="str">
        <x:f>IF(A157="","",H157-I157)</x:f>
      </x:c>
      <x:c r="K157" s="9"/>
      <x:c r="L157" s="9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9"/>
      <x:c r="B158" s="9"/>
      <x:c r="C158" s="6" t="str">
        <x:f>IF(B158="","",VLOOKUP(B158,Customers!$A$5:$J$504,3,FALSE))</x:f>
      </x:c>
      <x:c r="D158" s="6" t="str">
        <x:f>IF(B158="","",VLOOKUP(B158,Customers!$A$5:$J$504,4,FALSE))</x:f>
      </x:c>
      <x:c r="E158" s="9"/>
      <x:c r="F158" s="43"/>
      <x:c r="G158" s="9"/>
      <x:c r="H158" s="47" t="str">
        <x:f>IF(A158="","",SUMIFS(Sales!$K$5:$K$504,Sales!$I$5:$I$504,A158,Sales!$L$5:$L$504,"Approved"))</x:f>
      </x:c>
      <x:c r="I158" s="47" t="str">
        <x:f>IF(A158="","",SUMIFS(Payouts!$G$5:$G$504,Payouts!$B$5:$B$504,A158,Payouts!$H$5:$H$504,"Paid"))</x:f>
      </x:c>
      <x:c r="J158" s="47" t="str">
        <x:f>IF(A158="","",H158-I158)</x:f>
      </x:c>
      <x:c r="K158" s="9"/>
      <x:c r="L158" s="9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9"/>
      <x:c r="B159" s="9"/>
      <x:c r="C159" s="6" t="str">
        <x:f>IF(B159="","",VLOOKUP(B159,Customers!$A$5:$J$504,3,FALSE))</x:f>
      </x:c>
      <x:c r="D159" s="6" t="str">
        <x:f>IF(B159="","",VLOOKUP(B159,Customers!$A$5:$J$504,4,FALSE))</x:f>
      </x:c>
      <x:c r="E159" s="9"/>
      <x:c r="F159" s="43"/>
      <x:c r="G159" s="9"/>
      <x:c r="H159" s="47" t="str">
        <x:f>IF(A159="","",SUMIFS(Sales!$K$5:$K$504,Sales!$I$5:$I$504,A159,Sales!$L$5:$L$504,"Approved"))</x:f>
      </x:c>
      <x:c r="I159" s="47" t="str">
        <x:f>IF(A159="","",SUMIFS(Payouts!$G$5:$G$504,Payouts!$B$5:$B$504,A159,Payouts!$H$5:$H$504,"Paid"))</x:f>
      </x:c>
      <x:c r="J159" s="47" t="str">
        <x:f>IF(A159="","",H159-I159)</x:f>
      </x:c>
      <x:c r="K159" s="9"/>
      <x:c r="L159" s="9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9"/>
      <x:c r="B160" s="9"/>
      <x:c r="C160" s="6" t="str">
        <x:f>IF(B160="","",VLOOKUP(B160,Customers!$A$5:$J$504,3,FALSE))</x:f>
      </x:c>
      <x:c r="D160" s="6" t="str">
        <x:f>IF(B160="","",VLOOKUP(B160,Customers!$A$5:$J$504,4,FALSE))</x:f>
      </x:c>
      <x:c r="E160" s="9"/>
      <x:c r="F160" s="43"/>
      <x:c r="G160" s="9"/>
      <x:c r="H160" s="47" t="str">
        <x:f>IF(A160="","",SUMIFS(Sales!$K$5:$K$504,Sales!$I$5:$I$504,A160,Sales!$L$5:$L$504,"Approved"))</x:f>
      </x:c>
      <x:c r="I160" s="47" t="str">
        <x:f>IF(A160="","",SUMIFS(Payouts!$G$5:$G$504,Payouts!$B$5:$B$504,A160,Payouts!$H$5:$H$504,"Paid"))</x:f>
      </x:c>
      <x:c r="J160" s="47" t="str">
        <x:f>IF(A160="","",H160-I160)</x:f>
      </x:c>
      <x:c r="K160" s="9"/>
      <x:c r="L160" s="9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9"/>
      <x:c r="B161" s="9"/>
      <x:c r="C161" s="6" t="str">
        <x:f>IF(B161="","",VLOOKUP(B161,Customers!$A$5:$J$504,3,FALSE))</x:f>
      </x:c>
      <x:c r="D161" s="6" t="str">
        <x:f>IF(B161="","",VLOOKUP(B161,Customers!$A$5:$J$504,4,FALSE))</x:f>
      </x:c>
      <x:c r="E161" s="9"/>
      <x:c r="F161" s="43"/>
      <x:c r="G161" s="9"/>
      <x:c r="H161" s="47" t="str">
        <x:f>IF(A161="","",SUMIFS(Sales!$K$5:$K$504,Sales!$I$5:$I$504,A161,Sales!$L$5:$L$504,"Approved"))</x:f>
      </x:c>
      <x:c r="I161" s="47" t="str">
        <x:f>IF(A161="","",SUMIFS(Payouts!$G$5:$G$504,Payouts!$B$5:$B$504,A161,Payouts!$H$5:$H$504,"Paid"))</x:f>
      </x:c>
      <x:c r="J161" s="47" t="str">
        <x:f>IF(A161="","",H161-I161)</x:f>
      </x:c>
      <x:c r="K161" s="9"/>
      <x:c r="L161" s="9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9"/>
      <x:c r="B162" s="9"/>
      <x:c r="C162" s="6" t="str">
        <x:f>IF(B162="","",VLOOKUP(B162,Customers!$A$5:$J$504,3,FALSE))</x:f>
      </x:c>
      <x:c r="D162" s="6" t="str">
        <x:f>IF(B162="","",VLOOKUP(B162,Customers!$A$5:$J$504,4,FALSE))</x:f>
      </x:c>
      <x:c r="E162" s="9"/>
      <x:c r="F162" s="43"/>
      <x:c r="G162" s="9"/>
      <x:c r="H162" s="47" t="str">
        <x:f>IF(A162="","",SUMIFS(Sales!$K$5:$K$504,Sales!$I$5:$I$504,A162,Sales!$L$5:$L$504,"Approved"))</x:f>
      </x:c>
      <x:c r="I162" s="47" t="str">
        <x:f>IF(A162="","",SUMIFS(Payouts!$G$5:$G$504,Payouts!$B$5:$B$504,A162,Payouts!$H$5:$H$504,"Paid"))</x:f>
      </x:c>
      <x:c r="J162" s="47" t="str">
        <x:f>IF(A162="","",H162-I162)</x:f>
      </x:c>
      <x:c r="K162" s="9"/>
      <x:c r="L162" s="9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9"/>
      <x:c r="B163" s="9"/>
      <x:c r="C163" s="6" t="str">
        <x:f>IF(B163="","",VLOOKUP(B163,Customers!$A$5:$J$504,3,FALSE))</x:f>
      </x:c>
      <x:c r="D163" s="6" t="str">
        <x:f>IF(B163="","",VLOOKUP(B163,Customers!$A$5:$J$504,4,FALSE))</x:f>
      </x:c>
      <x:c r="E163" s="9"/>
      <x:c r="F163" s="43"/>
      <x:c r="G163" s="9"/>
      <x:c r="H163" s="47" t="str">
        <x:f>IF(A163="","",SUMIFS(Sales!$K$5:$K$504,Sales!$I$5:$I$504,A163,Sales!$L$5:$L$504,"Approved"))</x:f>
      </x:c>
      <x:c r="I163" s="47" t="str">
        <x:f>IF(A163="","",SUMIFS(Payouts!$G$5:$G$504,Payouts!$B$5:$B$504,A163,Payouts!$H$5:$H$504,"Paid"))</x:f>
      </x:c>
      <x:c r="J163" s="47" t="str">
        <x:f>IF(A163="","",H163-I163)</x:f>
      </x:c>
      <x:c r="K163" s="9"/>
      <x:c r="L163" s="9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9"/>
      <x:c r="B164" s="9"/>
      <x:c r="C164" s="6" t="str">
        <x:f>IF(B164="","",VLOOKUP(B164,Customers!$A$5:$J$504,3,FALSE))</x:f>
      </x:c>
      <x:c r="D164" s="6" t="str">
        <x:f>IF(B164="","",VLOOKUP(B164,Customers!$A$5:$J$504,4,FALSE))</x:f>
      </x:c>
      <x:c r="E164" s="9"/>
      <x:c r="F164" s="43"/>
      <x:c r="G164" s="9"/>
      <x:c r="H164" s="47" t="str">
        <x:f>IF(A164="","",SUMIFS(Sales!$K$5:$K$504,Sales!$I$5:$I$504,A164,Sales!$L$5:$L$504,"Approved"))</x:f>
      </x:c>
      <x:c r="I164" s="47" t="str">
        <x:f>IF(A164="","",SUMIFS(Payouts!$G$5:$G$504,Payouts!$B$5:$B$504,A164,Payouts!$H$5:$H$504,"Paid"))</x:f>
      </x:c>
      <x:c r="J164" s="47" t="str">
        <x:f>IF(A164="","",H164-I164)</x:f>
      </x:c>
      <x:c r="K164" s="9"/>
      <x:c r="L164" s="9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9"/>
      <x:c r="B165" s="9"/>
      <x:c r="C165" s="6" t="str">
        <x:f>IF(B165="","",VLOOKUP(B165,Customers!$A$5:$J$504,3,FALSE))</x:f>
      </x:c>
      <x:c r="D165" s="6" t="str">
        <x:f>IF(B165="","",VLOOKUP(B165,Customers!$A$5:$J$504,4,FALSE))</x:f>
      </x:c>
      <x:c r="E165" s="9"/>
      <x:c r="F165" s="43"/>
      <x:c r="G165" s="9"/>
      <x:c r="H165" s="47" t="str">
        <x:f>IF(A165="","",SUMIFS(Sales!$K$5:$K$504,Sales!$I$5:$I$504,A165,Sales!$L$5:$L$504,"Approved"))</x:f>
      </x:c>
      <x:c r="I165" s="47" t="str">
        <x:f>IF(A165="","",SUMIFS(Payouts!$G$5:$G$504,Payouts!$B$5:$B$504,A165,Payouts!$H$5:$H$504,"Paid"))</x:f>
      </x:c>
      <x:c r="J165" s="47" t="str">
        <x:f>IF(A165="","",H165-I165)</x:f>
      </x:c>
      <x:c r="K165" s="9"/>
      <x:c r="L165" s="9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9"/>
      <x:c r="B166" s="9"/>
      <x:c r="C166" s="6" t="str">
        <x:f>IF(B166="","",VLOOKUP(B166,Customers!$A$5:$J$504,3,FALSE))</x:f>
      </x:c>
      <x:c r="D166" s="6" t="str">
        <x:f>IF(B166="","",VLOOKUP(B166,Customers!$A$5:$J$504,4,FALSE))</x:f>
      </x:c>
      <x:c r="E166" s="9"/>
      <x:c r="F166" s="43"/>
      <x:c r="G166" s="9"/>
      <x:c r="H166" s="47" t="str">
        <x:f>IF(A166="","",SUMIFS(Sales!$K$5:$K$504,Sales!$I$5:$I$504,A166,Sales!$L$5:$L$504,"Approved"))</x:f>
      </x:c>
      <x:c r="I166" s="47" t="str">
        <x:f>IF(A166="","",SUMIFS(Payouts!$G$5:$G$504,Payouts!$B$5:$B$504,A166,Payouts!$H$5:$H$504,"Paid"))</x:f>
      </x:c>
      <x:c r="J166" s="47" t="str">
        <x:f>IF(A166="","",H166-I166)</x:f>
      </x:c>
      <x:c r="K166" s="9"/>
      <x:c r="L166" s="9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9"/>
      <x:c r="B167" s="9"/>
      <x:c r="C167" s="6" t="str">
        <x:f>IF(B167="","",VLOOKUP(B167,Customers!$A$5:$J$504,3,FALSE))</x:f>
      </x:c>
      <x:c r="D167" s="6" t="str">
        <x:f>IF(B167="","",VLOOKUP(B167,Customers!$A$5:$J$504,4,FALSE))</x:f>
      </x:c>
      <x:c r="E167" s="9"/>
      <x:c r="F167" s="43"/>
      <x:c r="G167" s="9"/>
      <x:c r="H167" s="47" t="str">
        <x:f>IF(A167="","",SUMIFS(Sales!$K$5:$K$504,Sales!$I$5:$I$504,A167,Sales!$L$5:$L$504,"Approved"))</x:f>
      </x:c>
      <x:c r="I167" s="47" t="str">
        <x:f>IF(A167="","",SUMIFS(Payouts!$G$5:$G$504,Payouts!$B$5:$B$504,A167,Payouts!$H$5:$H$504,"Paid"))</x:f>
      </x:c>
      <x:c r="J167" s="47" t="str">
        <x:f>IF(A167="","",H167-I167)</x:f>
      </x:c>
      <x:c r="K167" s="9"/>
      <x:c r="L167" s="9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9"/>
      <x:c r="B168" s="9"/>
      <x:c r="C168" s="6" t="str">
        <x:f>IF(B168="","",VLOOKUP(B168,Customers!$A$5:$J$504,3,FALSE))</x:f>
      </x:c>
      <x:c r="D168" s="6" t="str">
        <x:f>IF(B168="","",VLOOKUP(B168,Customers!$A$5:$J$504,4,FALSE))</x:f>
      </x:c>
      <x:c r="E168" s="9"/>
      <x:c r="F168" s="43"/>
      <x:c r="G168" s="9"/>
      <x:c r="H168" s="47" t="str">
        <x:f>IF(A168="","",SUMIFS(Sales!$K$5:$K$504,Sales!$I$5:$I$504,A168,Sales!$L$5:$L$504,"Approved"))</x:f>
      </x:c>
      <x:c r="I168" s="47" t="str">
        <x:f>IF(A168="","",SUMIFS(Payouts!$G$5:$G$504,Payouts!$B$5:$B$504,A168,Payouts!$H$5:$H$504,"Paid"))</x:f>
      </x:c>
      <x:c r="J168" s="47" t="str">
        <x:f>IF(A168="","",H168-I168)</x:f>
      </x:c>
      <x:c r="K168" s="9"/>
      <x:c r="L168" s="9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9"/>
      <x:c r="B169" s="9"/>
      <x:c r="C169" s="6" t="str">
        <x:f>IF(B169="","",VLOOKUP(B169,Customers!$A$5:$J$504,3,FALSE))</x:f>
      </x:c>
      <x:c r="D169" s="6" t="str">
        <x:f>IF(B169="","",VLOOKUP(B169,Customers!$A$5:$J$504,4,FALSE))</x:f>
      </x:c>
      <x:c r="E169" s="9"/>
      <x:c r="F169" s="43"/>
      <x:c r="G169" s="9"/>
      <x:c r="H169" s="47" t="str">
        <x:f>IF(A169="","",SUMIFS(Sales!$K$5:$K$504,Sales!$I$5:$I$504,A169,Sales!$L$5:$L$504,"Approved"))</x:f>
      </x:c>
      <x:c r="I169" s="47" t="str">
        <x:f>IF(A169="","",SUMIFS(Payouts!$G$5:$G$504,Payouts!$B$5:$B$504,A169,Payouts!$H$5:$H$504,"Paid"))</x:f>
      </x:c>
      <x:c r="J169" s="47" t="str">
        <x:f>IF(A169="","",H169-I169)</x:f>
      </x:c>
      <x:c r="K169" s="9"/>
      <x:c r="L169" s="9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9"/>
      <x:c r="B170" s="9"/>
      <x:c r="C170" s="6" t="str">
        <x:f>IF(B170="","",VLOOKUP(B170,Customers!$A$5:$J$504,3,FALSE))</x:f>
      </x:c>
      <x:c r="D170" s="6" t="str">
        <x:f>IF(B170="","",VLOOKUP(B170,Customers!$A$5:$J$504,4,FALSE))</x:f>
      </x:c>
      <x:c r="E170" s="9"/>
      <x:c r="F170" s="43"/>
      <x:c r="G170" s="9"/>
      <x:c r="H170" s="47" t="str">
        <x:f>IF(A170="","",SUMIFS(Sales!$K$5:$K$504,Sales!$I$5:$I$504,A170,Sales!$L$5:$L$504,"Approved"))</x:f>
      </x:c>
      <x:c r="I170" s="47" t="str">
        <x:f>IF(A170="","",SUMIFS(Payouts!$G$5:$G$504,Payouts!$B$5:$B$504,A170,Payouts!$H$5:$H$504,"Paid"))</x:f>
      </x:c>
      <x:c r="J170" s="47" t="str">
        <x:f>IF(A170="","",H170-I170)</x:f>
      </x:c>
      <x:c r="K170" s="9"/>
      <x:c r="L170" s="9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9"/>
      <x:c r="B171" s="9"/>
      <x:c r="C171" s="6" t="str">
        <x:f>IF(B171="","",VLOOKUP(B171,Customers!$A$5:$J$504,3,FALSE))</x:f>
      </x:c>
      <x:c r="D171" s="6" t="str">
        <x:f>IF(B171="","",VLOOKUP(B171,Customers!$A$5:$J$504,4,FALSE))</x:f>
      </x:c>
      <x:c r="E171" s="9"/>
      <x:c r="F171" s="43"/>
      <x:c r="G171" s="9"/>
      <x:c r="H171" s="47" t="str">
        <x:f>IF(A171="","",SUMIFS(Sales!$K$5:$K$504,Sales!$I$5:$I$504,A171,Sales!$L$5:$L$504,"Approved"))</x:f>
      </x:c>
      <x:c r="I171" s="47" t="str">
        <x:f>IF(A171="","",SUMIFS(Payouts!$G$5:$G$504,Payouts!$B$5:$B$504,A171,Payouts!$H$5:$H$504,"Paid"))</x:f>
      </x:c>
      <x:c r="J171" s="47" t="str">
        <x:f>IF(A171="","",H171-I171)</x:f>
      </x:c>
      <x:c r="K171" s="9"/>
      <x:c r="L171" s="9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9"/>
      <x:c r="B172" s="9"/>
      <x:c r="C172" s="6" t="str">
        <x:f>IF(B172="","",VLOOKUP(B172,Customers!$A$5:$J$504,3,FALSE))</x:f>
      </x:c>
      <x:c r="D172" s="6" t="str">
        <x:f>IF(B172="","",VLOOKUP(B172,Customers!$A$5:$J$504,4,FALSE))</x:f>
      </x:c>
      <x:c r="E172" s="9"/>
      <x:c r="F172" s="43"/>
      <x:c r="G172" s="9"/>
      <x:c r="H172" s="47" t="str">
        <x:f>IF(A172="","",SUMIFS(Sales!$K$5:$K$504,Sales!$I$5:$I$504,A172,Sales!$L$5:$L$504,"Approved"))</x:f>
      </x:c>
      <x:c r="I172" s="47" t="str">
        <x:f>IF(A172="","",SUMIFS(Payouts!$G$5:$G$504,Payouts!$B$5:$B$504,A172,Payouts!$H$5:$H$504,"Paid"))</x:f>
      </x:c>
      <x:c r="J172" s="47" t="str">
        <x:f>IF(A172="","",H172-I172)</x:f>
      </x:c>
      <x:c r="K172" s="9"/>
      <x:c r="L172" s="9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9"/>
      <x:c r="B173" s="9"/>
      <x:c r="C173" s="6" t="str">
        <x:f>IF(B173="","",VLOOKUP(B173,Customers!$A$5:$J$504,3,FALSE))</x:f>
      </x:c>
      <x:c r="D173" s="6" t="str">
        <x:f>IF(B173="","",VLOOKUP(B173,Customers!$A$5:$J$504,4,FALSE))</x:f>
      </x:c>
      <x:c r="E173" s="9"/>
      <x:c r="F173" s="43"/>
      <x:c r="G173" s="9"/>
      <x:c r="H173" s="47" t="str">
        <x:f>IF(A173="","",SUMIFS(Sales!$K$5:$K$504,Sales!$I$5:$I$504,A173,Sales!$L$5:$L$504,"Approved"))</x:f>
      </x:c>
      <x:c r="I173" s="47" t="str">
        <x:f>IF(A173="","",SUMIFS(Payouts!$G$5:$G$504,Payouts!$B$5:$B$504,A173,Payouts!$H$5:$H$504,"Paid"))</x:f>
      </x:c>
      <x:c r="J173" s="47" t="str">
        <x:f>IF(A173="","",H173-I173)</x:f>
      </x:c>
      <x:c r="K173" s="9"/>
      <x:c r="L173" s="9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9"/>
      <x:c r="B174" s="9"/>
      <x:c r="C174" s="6" t="str">
        <x:f>IF(B174="","",VLOOKUP(B174,Customers!$A$5:$J$504,3,FALSE))</x:f>
      </x:c>
      <x:c r="D174" s="6" t="str">
        <x:f>IF(B174="","",VLOOKUP(B174,Customers!$A$5:$J$504,4,FALSE))</x:f>
      </x:c>
      <x:c r="E174" s="9"/>
      <x:c r="F174" s="43"/>
      <x:c r="G174" s="9"/>
      <x:c r="H174" s="47" t="str">
        <x:f>IF(A174="","",SUMIFS(Sales!$K$5:$K$504,Sales!$I$5:$I$504,A174,Sales!$L$5:$L$504,"Approved"))</x:f>
      </x:c>
      <x:c r="I174" s="47" t="str">
        <x:f>IF(A174="","",SUMIFS(Payouts!$G$5:$G$504,Payouts!$B$5:$B$504,A174,Payouts!$H$5:$H$504,"Paid"))</x:f>
      </x:c>
      <x:c r="J174" s="47" t="str">
        <x:f>IF(A174="","",H174-I174)</x:f>
      </x:c>
      <x:c r="K174" s="9"/>
      <x:c r="L174" s="9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9"/>
      <x:c r="B175" s="9"/>
      <x:c r="C175" s="6" t="str">
        <x:f>IF(B175="","",VLOOKUP(B175,Customers!$A$5:$J$504,3,FALSE))</x:f>
      </x:c>
      <x:c r="D175" s="6" t="str">
        <x:f>IF(B175="","",VLOOKUP(B175,Customers!$A$5:$J$504,4,FALSE))</x:f>
      </x:c>
      <x:c r="E175" s="9"/>
      <x:c r="F175" s="43"/>
      <x:c r="G175" s="9"/>
      <x:c r="H175" s="47" t="str">
        <x:f>IF(A175="","",SUMIFS(Sales!$K$5:$K$504,Sales!$I$5:$I$504,A175,Sales!$L$5:$L$504,"Approved"))</x:f>
      </x:c>
      <x:c r="I175" s="47" t="str">
        <x:f>IF(A175="","",SUMIFS(Payouts!$G$5:$G$504,Payouts!$B$5:$B$504,A175,Payouts!$H$5:$H$504,"Paid"))</x:f>
      </x:c>
      <x:c r="J175" s="47" t="str">
        <x:f>IF(A175="","",H175-I175)</x:f>
      </x:c>
      <x:c r="K175" s="9"/>
      <x:c r="L175" s="9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9"/>
      <x:c r="B176" s="9"/>
      <x:c r="C176" s="6" t="str">
        <x:f>IF(B176="","",VLOOKUP(B176,Customers!$A$5:$J$504,3,FALSE))</x:f>
      </x:c>
      <x:c r="D176" s="6" t="str">
        <x:f>IF(B176="","",VLOOKUP(B176,Customers!$A$5:$J$504,4,FALSE))</x:f>
      </x:c>
      <x:c r="E176" s="9"/>
      <x:c r="F176" s="43"/>
      <x:c r="G176" s="9"/>
      <x:c r="H176" s="47" t="str">
        <x:f>IF(A176="","",SUMIFS(Sales!$K$5:$K$504,Sales!$I$5:$I$504,A176,Sales!$L$5:$L$504,"Approved"))</x:f>
      </x:c>
      <x:c r="I176" s="47" t="str">
        <x:f>IF(A176="","",SUMIFS(Payouts!$G$5:$G$504,Payouts!$B$5:$B$504,A176,Payouts!$H$5:$H$504,"Paid"))</x:f>
      </x:c>
      <x:c r="J176" s="47" t="str">
        <x:f>IF(A176="","",H176-I176)</x:f>
      </x:c>
      <x:c r="K176" s="9"/>
      <x:c r="L176" s="9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9"/>
      <x:c r="B177" s="9"/>
      <x:c r="C177" s="6" t="str">
        <x:f>IF(B177="","",VLOOKUP(B177,Customers!$A$5:$J$504,3,FALSE))</x:f>
      </x:c>
      <x:c r="D177" s="6" t="str">
        <x:f>IF(B177="","",VLOOKUP(B177,Customers!$A$5:$J$504,4,FALSE))</x:f>
      </x:c>
      <x:c r="E177" s="9"/>
      <x:c r="F177" s="43"/>
      <x:c r="G177" s="9"/>
      <x:c r="H177" s="47" t="str">
        <x:f>IF(A177="","",SUMIFS(Sales!$K$5:$K$504,Sales!$I$5:$I$504,A177,Sales!$L$5:$L$504,"Approved"))</x:f>
      </x:c>
      <x:c r="I177" s="47" t="str">
        <x:f>IF(A177="","",SUMIFS(Payouts!$G$5:$G$504,Payouts!$B$5:$B$504,A177,Payouts!$H$5:$H$504,"Paid"))</x:f>
      </x:c>
      <x:c r="J177" s="47" t="str">
        <x:f>IF(A177="","",H177-I177)</x:f>
      </x:c>
      <x:c r="K177" s="9"/>
      <x:c r="L177" s="9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9"/>
      <x:c r="B178" s="9"/>
      <x:c r="C178" s="6" t="str">
        <x:f>IF(B178="","",VLOOKUP(B178,Customers!$A$5:$J$504,3,FALSE))</x:f>
      </x:c>
      <x:c r="D178" s="6" t="str">
        <x:f>IF(B178="","",VLOOKUP(B178,Customers!$A$5:$J$504,4,FALSE))</x:f>
      </x:c>
      <x:c r="E178" s="9"/>
      <x:c r="F178" s="43"/>
      <x:c r="G178" s="9"/>
      <x:c r="H178" s="47" t="str">
        <x:f>IF(A178="","",SUMIFS(Sales!$K$5:$K$504,Sales!$I$5:$I$504,A178,Sales!$L$5:$L$504,"Approved"))</x:f>
      </x:c>
      <x:c r="I178" s="47" t="str">
        <x:f>IF(A178="","",SUMIFS(Payouts!$G$5:$G$504,Payouts!$B$5:$B$504,A178,Payouts!$H$5:$H$504,"Paid"))</x:f>
      </x:c>
      <x:c r="J178" s="47" t="str">
        <x:f>IF(A178="","",H178-I178)</x:f>
      </x:c>
      <x:c r="K178" s="9"/>
      <x:c r="L178" s="9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9"/>
      <x:c r="B179" s="9"/>
      <x:c r="C179" s="6" t="str">
        <x:f>IF(B179="","",VLOOKUP(B179,Customers!$A$5:$J$504,3,FALSE))</x:f>
      </x:c>
      <x:c r="D179" s="6" t="str">
        <x:f>IF(B179="","",VLOOKUP(B179,Customers!$A$5:$J$504,4,FALSE))</x:f>
      </x:c>
      <x:c r="E179" s="9"/>
      <x:c r="F179" s="43"/>
      <x:c r="G179" s="9"/>
      <x:c r="H179" s="47" t="str">
        <x:f>IF(A179="","",SUMIFS(Sales!$K$5:$K$504,Sales!$I$5:$I$504,A179,Sales!$L$5:$L$504,"Approved"))</x:f>
      </x:c>
      <x:c r="I179" s="47" t="str">
        <x:f>IF(A179="","",SUMIFS(Payouts!$G$5:$G$504,Payouts!$B$5:$B$504,A179,Payouts!$H$5:$H$504,"Paid"))</x:f>
      </x:c>
      <x:c r="J179" s="47" t="str">
        <x:f>IF(A179="","",H179-I179)</x:f>
      </x:c>
      <x:c r="K179" s="9"/>
      <x:c r="L179" s="9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9"/>
      <x:c r="B180" s="9"/>
      <x:c r="C180" s="6" t="str">
        <x:f>IF(B180="","",VLOOKUP(B180,Customers!$A$5:$J$504,3,FALSE))</x:f>
      </x:c>
      <x:c r="D180" s="6" t="str">
        <x:f>IF(B180="","",VLOOKUP(B180,Customers!$A$5:$J$504,4,FALSE))</x:f>
      </x:c>
      <x:c r="E180" s="9"/>
      <x:c r="F180" s="43"/>
      <x:c r="G180" s="9"/>
      <x:c r="H180" s="47" t="str">
        <x:f>IF(A180="","",SUMIFS(Sales!$K$5:$K$504,Sales!$I$5:$I$504,A180,Sales!$L$5:$L$504,"Approved"))</x:f>
      </x:c>
      <x:c r="I180" s="47" t="str">
        <x:f>IF(A180="","",SUMIFS(Payouts!$G$5:$G$504,Payouts!$B$5:$B$504,A180,Payouts!$H$5:$H$504,"Paid"))</x:f>
      </x:c>
      <x:c r="J180" s="47" t="str">
        <x:f>IF(A180="","",H180-I180)</x:f>
      </x:c>
      <x:c r="K180" s="9"/>
      <x:c r="L180" s="9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9"/>
      <x:c r="B181" s="9"/>
      <x:c r="C181" s="6" t="str">
        <x:f>IF(B181="","",VLOOKUP(B181,Customers!$A$5:$J$504,3,FALSE))</x:f>
      </x:c>
      <x:c r="D181" s="6" t="str">
        <x:f>IF(B181="","",VLOOKUP(B181,Customers!$A$5:$J$504,4,FALSE))</x:f>
      </x:c>
      <x:c r="E181" s="9"/>
      <x:c r="F181" s="43"/>
      <x:c r="G181" s="9"/>
      <x:c r="H181" s="47" t="str">
        <x:f>IF(A181="","",SUMIFS(Sales!$K$5:$K$504,Sales!$I$5:$I$504,A181,Sales!$L$5:$L$504,"Approved"))</x:f>
      </x:c>
      <x:c r="I181" s="47" t="str">
        <x:f>IF(A181="","",SUMIFS(Payouts!$G$5:$G$504,Payouts!$B$5:$B$504,A181,Payouts!$H$5:$H$504,"Paid"))</x:f>
      </x:c>
      <x:c r="J181" s="47" t="str">
        <x:f>IF(A181="","",H181-I181)</x:f>
      </x:c>
      <x:c r="K181" s="9"/>
      <x:c r="L181" s="9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9"/>
      <x:c r="B182" s="9"/>
      <x:c r="C182" s="6" t="str">
        <x:f>IF(B182="","",VLOOKUP(B182,Customers!$A$5:$J$504,3,FALSE))</x:f>
      </x:c>
      <x:c r="D182" s="6" t="str">
        <x:f>IF(B182="","",VLOOKUP(B182,Customers!$A$5:$J$504,4,FALSE))</x:f>
      </x:c>
      <x:c r="E182" s="9"/>
      <x:c r="F182" s="43"/>
      <x:c r="G182" s="9"/>
      <x:c r="H182" s="47" t="str">
        <x:f>IF(A182="","",SUMIFS(Sales!$K$5:$K$504,Sales!$I$5:$I$504,A182,Sales!$L$5:$L$504,"Approved"))</x:f>
      </x:c>
      <x:c r="I182" s="47" t="str">
        <x:f>IF(A182="","",SUMIFS(Payouts!$G$5:$G$504,Payouts!$B$5:$B$504,A182,Payouts!$H$5:$H$504,"Paid"))</x:f>
      </x:c>
      <x:c r="J182" s="47" t="str">
        <x:f>IF(A182="","",H182-I182)</x:f>
      </x:c>
      <x:c r="K182" s="9"/>
      <x:c r="L182" s="9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9"/>
      <x:c r="B183" s="9"/>
      <x:c r="C183" s="6" t="str">
        <x:f>IF(B183="","",VLOOKUP(B183,Customers!$A$5:$J$504,3,FALSE))</x:f>
      </x:c>
      <x:c r="D183" s="6" t="str">
        <x:f>IF(B183="","",VLOOKUP(B183,Customers!$A$5:$J$504,4,FALSE))</x:f>
      </x:c>
      <x:c r="E183" s="9"/>
      <x:c r="F183" s="43"/>
      <x:c r="G183" s="9"/>
      <x:c r="H183" s="47" t="str">
        <x:f>IF(A183="","",SUMIFS(Sales!$K$5:$K$504,Sales!$I$5:$I$504,A183,Sales!$L$5:$L$504,"Approved"))</x:f>
      </x:c>
      <x:c r="I183" s="47" t="str">
        <x:f>IF(A183="","",SUMIFS(Payouts!$G$5:$G$504,Payouts!$B$5:$B$504,A183,Payouts!$H$5:$H$504,"Paid"))</x:f>
      </x:c>
      <x:c r="J183" s="47" t="str">
        <x:f>IF(A183="","",H183-I183)</x:f>
      </x:c>
      <x:c r="K183" s="9"/>
      <x:c r="L183" s="9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9"/>
      <x:c r="B184" s="9"/>
      <x:c r="C184" s="6" t="str">
        <x:f>IF(B184="","",VLOOKUP(B184,Customers!$A$5:$J$504,3,FALSE))</x:f>
      </x:c>
      <x:c r="D184" s="6" t="str">
        <x:f>IF(B184="","",VLOOKUP(B184,Customers!$A$5:$J$504,4,FALSE))</x:f>
      </x:c>
      <x:c r="E184" s="9"/>
      <x:c r="F184" s="43"/>
      <x:c r="G184" s="9"/>
      <x:c r="H184" s="47" t="str">
        <x:f>IF(A184="","",SUMIFS(Sales!$K$5:$K$504,Sales!$I$5:$I$504,A184,Sales!$L$5:$L$504,"Approved"))</x:f>
      </x:c>
      <x:c r="I184" s="47" t="str">
        <x:f>IF(A184="","",SUMIFS(Payouts!$G$5:$G$504,Payouts!$B$5:$B$504,A184,Payouts!$H$5:$H$504,"Paid"))</x:f>
      </x:c>
      <x:c r="J184" s="47" t="str">
        <x:f>IF(A184="","",H184-I184)</x:f>
      </x:c>
      <x:c r="K184" s="9"/>
      <x:c r="L184" s="9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9"/>
      <x:c r="B185" s="9"/>
      <x:c r="C185" s="6" t="str">
        <x:f>IF(B185="","",VLOOKUP(B185,Customers!$A$5:$J$504,3,FALSE))</x:f>
      </x:c>
      <x:c r="D185" s="6" t="str">
        <x:f>IF(B185="","",VLOOKUP(B185,Customers!$A$5:$J$504,4,FALSE))</x:f>
      </x:c>
      <x:c r="E185" s="9"/>
      <x:c r="F185" s="43"/>
      <x:c r="G185" s="9"/>
      <x:c r="H185" s="47" t="str">
        <x:f>IF(A185="","",SUMIFS(Sales!$K$5:$K$504,Sales!$I$5:$I$504,A185,Sales!$L$5:$L$504,"Approved"))</x:f>
      </x:c>
      <x:c r="I185" s="47" t="str">
        <x:f>IF(A185="","",SUMIFS(Payouts!$G$5:$G$504,Payouts!$B$5:$B$504,A185,Payouts!$H$5:$H$504,"Paid"))</x:f>
      </x:c>
      <x:c r="J185" s="47" t="str">
        <x:f>IF(A185="","",H185-I185)</x:f>
      </x:c>
      <x:c r="K185" s="9"/>
      <x:c r="L185" s="9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9"/>
      <x:c r="B186" s="9"/>
      <x:c r="C186" s="6" t="str">
        <x:f>IF(B186="","",VLOOKUP(B186,Customers!$A$5:$J$504,3,FALSE))</x:f>
      </x:c>
      <x:c r="D186" s="6" t="str">
        <x:f>IF(B186="","",VLOOKUP(B186,Customers!$A$5:$J$504,4,FALSE))</x:f>
      </x:c>
      <x:c r="E186" s="9"/>
      <x:c r="F186" s="43"/>
      <x:c r="G186" s="9"/>
      <x:c r="H186" s="47" t="str">
        <x:f>IF(A186="","",SUMIFS(Sales!$K$5:$K$504,Sales!$I$5:$I$504,A186,Sales!$L$5:$L$504,"Approved"))</x:f>
      </x:c>
      <x:c r="I186" s="47" t="str">
        <x:f>IF(A186="","",SUMIFS(Payouts!$G$5:$G$504,Payouts!$B$5:$B$504,A186,Payouts!$H$5:$H$504,"Paid"))</x:f>
      </x:c>
      <x:c r="J186" s="47" t="str">
        <x:f>IF(A186="","",H186-I186)</x:f>
      </x:c>
      <x:c r="K186" s="9"/>
      <x:c r="L186" s="9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9"/>
      <x:c r="B187" s="9"/>
      <x:c r="C187" s="6" t="str">
        <x:f>IF(B187="","",VLOOKUP(B187,Customers!$A$5:$J$504,3,FALSE))</x:f>
      </x:c>
      <x:c r="D187" s="6" t="str">
        <x:f>IF(B187="","",VLOOKUP(B187,Customers!$A$5:$J$504,4,FALSE))</x:f>
      </x:c>
      <x:c r="E187" s="9"/>
      <x:c r="F187" s="43"/>
      <x:c r="G187" s="9"/>
      <x:c r="H187" s="47" t="str">
        <x:f>IF(A187="","",SUMIFS(Sales!$K$5:$K$504,Sales!$I$5:$I$504,A187,Sales!$L$5:$L$504,"Approved"))</x:f>
      </x:c>
      <x:c r="I187" s="47" t="str">
        <x:f>IF(A187="","",SUMIFS(Payouts!$G$5:$G$504,Payouts!$B$5:$B$504,A187,Payouts!$H$5:$H$504,"Paid"))</x:f>
      </x:c>
      <x:c r="J187" s="47" t="str">
        <x:f>IF(A187="","",H187-I187)</x:f>
      </x:c>
      <x:c r="K187" s="9"/>
      <x:c r="L187" s="9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9"/>
      <x:c r="B188" s="9"/>
      <x:c r="C188" s="6" t="str">
        <x:f>IF(B188="","",VLOOKUP(B188,Customers!$A$5:$J$504,3,FALSE))</x:f>
      </x:c>
      <x:c r="D188" s="6" t="str">
        <x:f>IF(B188="","",VLOOKUP(B188,Customers!$A$5:$J$504,4,FALSE))</x:f>
      </x:c>
      <x:c r="E188" s="9"/>
      <x:c r="F188" s="43"/>
      <x:c r="G188" s="9"/>
      <x:c r="H188" s="47" t="str">
        <x:f>IF(A188="","",SUMIFS(Sales!$K$5:$K$504,Sales!$I$5:$I$504,A188,Sales!$L$5:$L$504,"Approved"))</x:f>
      </x:c>
      <x:c r="I188" s="47" t="str">
        <x:f>IF(A188="","",SUMIFS(Payouts!$G$5:$G$504,Payouts!$B$5:$B$504,A188,Payouts!$H$5:$H$504,"Paid"))</x:f>
      </x:c>
      <x:c r="J188" s="47" t="str">
        <x:f>IF(A188="","",H188-I188)</x:f>
      </x:c>
      <x:c r="K188" s="9"/>
      <x:c r="L188" s="9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9"/>
      <x:c r="B189" s="9"/>
      <x:c r="C189" s="6" t="str">
        <x:f>IF(B189="","",VLOOKUP(B189,Customers!$A$5:$J$504,3,FALSE))</x:f>
      </x:c>
      <x:c r="D189" s="6" t="str">
        <x:f>IF(B189="","",VLOOKUP(B189,Customers!$A$5:$J$504,4,FALSE))</x:f>
      </x:c>
      <x:c r="E189" s="9"/>
      <x:c r="F189" s="43"/>
      <x:c r="G189" s="9"/>
      <x:c r="H189" s="47" t="str">
        <x:f>IF(A189="","",SUMIFS(Sales!$K$5:$K$504,Sales!$I$5:$I$504,A189,Sales!$L$5:$L$504,"Approved"))</x:f>
      </x:c>
      <x:c r="I189" s="47" t="str">
        <x:f>IF(A189="","",SUMIFS(Payouts!$G$5:$G$504,Payouts!$B$5:$B$504,A189,Payouts!$H$5:$H$504,"Paid"))</x:f>
      </x:c>
      <x:c r="J189" s="47" t="str">
        <x:f>IF(A189="","",H189-I189)</x:f>
      </x:c>
      <x:c r="K189" s="9"/>
      <x:c r="L189" s="9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9"/>
      <x:c r="B190" s="9"/>
      <x:c r="C190" s="6" t="str">
        <x:f>IF(B190="","",VLOOKUP(B190,Customers!$A$5:$J$504,3,FALSE))</x:f>
      </x:c>
      <x:c r="D190" s="6" t="str">
        <x:f>IF(B190="","",VLOOKUP(B190,Customers!$A$5:$J$504,4,FALSE))</x:f>
      </x:c>
      <x:c r="E190" s="9"/>
      <x:c r="F190" s="43"/>
      <x:c r="G190" s="9"/>
      <x:c r="H190" s="47" t="str">
        <x:f>IF(A190="","",SUMIFS(Sales!$K$5:$K$504,Sales!$I$5:$I$504,A190,Sales!$L$5:$L$504,"Approved"))</x:f>
      </x:c>
      <x:c r="I190" s="47" t="str">
        <x:f>IF(A190="","",SUMIFS(Payouts!$G$5:$G$504,Payouts!$B$5:$B$504,A190,Payouts!$H$5:$H$504,"Paid"))</x:f>
      </x:c>
      <x:c r="J190" s="47" t="str">
        <x:f>IF(A190="","",H190-I190)</x:f>
      </x:c>
      <x:c r="K190" s="9"/>
      <x:c r="L190" s="9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9"/>
      <x:c r="B191" s="9"/>
      <x:c r="C191" s="6" t="str">
        <x:f>IF(B191="","",VLOOKUP(B191,Customers!$A$5:$J$504,3,FALSE))</x:f>
      </x:c>
      <x:c r="D191" s="6" t="str">
        <x:f>IF(B191="","",VLOOKUP(B191,Customers!$A$5:$J$504,4,FALSE))</x:f>
      </x:c>
      <x:c r="E191" s="9"/>
      <x:c r="F191" s="43"/>
      <x:c r="G191" s="9"/>
      <x:c r="H191" s="47" t="str">
        <x:f>IF(A191="","",SUMIFS(Sales!$K$5:$K$504,Sales!$I$5:$I$504,A191,Sales!$L$5:$L$504,"Approved"))</x:f>
      </x:c>
      <x:c r="I191" s="47" t="str">
        <x:f>IF(A191="","",SUMIFS(Payouts!$G$5:$G$504,Payouts!$B$5:$B$504,A191,Payouts!$H$5:$H$504,"Paid"))</x:f>
      </x:c>
      <x:c r="J191" s="47" t="str">
        <x:f>IF(A191="","",H191-I191)</x:f>
      </x:c>
      <x:c r="K191" s="9"/>
      <x:c r="L191" s="9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9"/>
      <x:c r="B192" s="9"/>
      <x:c r="C192" s="6" t="str">
        <x:f>IF(B192="","",VLOOKUP(B192,Customers!$A$5:$J$504,3,FALSE))</x:f>
      </x:c>
      <x:c r="D192" s="6" t="str">
        <x:f>IF(B192="","",VLOOKUP(B192,Customers!$A$5:$J$504,4,FALSE))</x:f>
      </x:c>
      <x:c r="E192" s="9"/>
      <x:c r="F192" s="43"/>
      <x:c r="G192" s="9"/>
      <x:c r="H192" s="47" t="str">
        <x:f>IF(A192="","",SUMIFS(Sales!$K$5:$K$504,Sales!$I$5:$I$504,A192,Sales!$L$5:$L$504,"Approved"))</x:f>
      </x:c>
      <x:c r="I192" s="47" t="str">
        <x:f>IF(A192="","",SUMIFS(Payouts!$G$5:$G$504,Payouts!$B$5:$B$504,A192,Payouts!$H$5:$H$504,"Paid"))</x:f>
      </x:c>
      <x:c r="J192" s="47" t="str">
        <x:f>IF(A192="","",H192-I192)</x:f>
      </x:c>
      <x:c r="K192" s="9"/>
      <x:c r="L192" s="9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9"/>
      <x:c r="B193" s="9"/>
      <x:c r="C193" s="6" t="str">
        <x:f>IF(B193="","",VLOOKUP(B193,Customers!$A$5:$J$504,3,FALSE))</x:f>
      </x:c>
      <x:c r="D193" s="6" t="str">
        <x:f>IF(B193="","",VLOOKUP(B193,Customers!$A$5:$J$504,4,FALSE))</x:f>
      </x:c>
      <x:c r="E193" s="9"/>
      <x:c r="F193" s="43"/>
      <x:c r="G193" s="9"/>
      <x:c r="H193" s="47" t="str">
        <x:f>IF(A193="","",SUMIFS(Sales!$K$5:$K$504,Sales!$I$5:$I$504,A193,Sales!$L$5:$L$504,"Approved"))</x:f>
      </x:c>
      <x:c r="I193" s="47" t="str">
        <x:f>IF(A193="","",SUMIFS(Payouts!$G$5:$G$504,Payouts!$B$5:$B$504,A193,Payouts!$H$5:$H$504,"Paid"))</x:f>
      </x:c>
      <x:c r="J193" s="47" t="str">
        <x:f>IF(A193="","",H193-I193)</x:f>
      </x:c>
      <x:c r="K193" s="9"/>
      <x:c r="L193" s="9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9"/>
      <x:c r="B194" s="9"/>
      <x:c r="C194" s="6" t="str">
        <x:f>IF(B194="","",VLOOKUP(B194,Customers!$A$5:$J$504,3,FALSE))</x:f>
      </x:c>
      <x:c r="D194" s="6" t="str">
        <x:f>IF(B194="","",VLOOKUP(B194,Customers!$A$5:$J$504,4,FALSE))</x:f>
      </x:c>
      <x:c r="E194" s="9"/>
      <x:c r="F194" s="43"/>
      <x:c r="G194" s="9"/>
      <x:c r="H194" s="47" t="str">
        <x:f>IF(A194="","",SUMIFS(Sales!$K$5:$K$504,Sales!$I$5:$I$504,A194,Sales!$L$5:$L$504,"Approved"))</x:f>
      </x:c>
      <x:c r="I194" s="47" t="str">
        <x:f>IF(A194="","",SUMIFS(Payouts!$G$5:$G$504,Payouts!$B$5:$B$504,A194,Payouts!$H$5:$H$504,"Paid"))</x:f>
      </x:c>
      <x:c r="J194" s="47" t="str">
        <x:f>IF(A194="","",H194-I194)</x:f>
      </x:c>
      <x:c r="K194" s="9"/>
      <x:c r="L194" s="9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9"/>
      <x:c r="B195" s="9"/>
      <x:c r="C195" s="6" t="str">
        <x:f>IF(B195="","",VLOOKUP(B195,Customers!$A$5:$J$504,3,FALSE))</x:f>
      </x:c>
      <x:c r="D195" s="6" t="str">
        <x:f>IF(B195="","",VLOOKUP(B195,Customers!$A$5:$J$504,4,FALSE))</x:f>
      </x:c>
      <x:c r="E195" s="9"/>
      <x:c r="F195" s="43"/>
      <x:c r="G195" s="9"/>
      <x:c r="H195" s="47" t="str">
        <x:f>IF(A195="","",SUMIFS(Sales!$K$5:$K$504,Sales!$I$5:$I$504,A195,Sales!$L$5:$L$504,"Approved"))</x:f>
      </x:c>
      <x:c r="I195" s="47" t="str">
        <x:f>IF(A195="","",SUMIFS(Payouts!$G$5:$G$504,Payouts!$B$5:$B$504,A195,Payouts!$H$5:$H$504,"Paid"))</x:f>
      </x:c>
      <x:c r="J195" s="47" t="str">
        <x:f>IF(A195="","",H195-I195)</x:f>
      </x:c>
      <x:c r="K195" s="9"/>
      <x:c r="L195" s="9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9"/>
      <x:c r="B196" s="9"/>
      <x:c r="C196" s="6" t="str">
        <x:f>IF(B196="","",VLOOKUP(B196,Customers!$A$5:$J$504,3,FALSE))</x:f>
      </x:c>
      <x:c r="D196" s="6" t="str">
        <x:f>IF(B196="","",VLOOKUP(B196,Customers!$A$5:$J$504,4,FALSE))</x:f>
      </x:c>
      <x:c r="E196" s="9"/>
      <x:c r="F196" s="43"/>
      <x:c r="G196" s="9"/>
      <x:c r="H196" s="47" t="str">
        <x:f>IF(A196="","",SUMIFS(Sales!$K$5:$K$504,Sales!$I$5:$I$504,A196,Sales!$L$5:$L$504,"Approved"))</x:f>
      </x:c>
      <x:c r="I196" s="47" t="str">
        <x:f>IF(A196="","",SUMIFS(Payouts!$G$5:$G$504,Payouts!$B$5:$B$504,A196,Payouts!$H$5:$H$504,"Paid"))</x:f>
      </x:c>
      <x:c r="J196" s="47" t="str">
        <x:f>IF(A196="","",H196-I196)</x:f>
      </x:c>
      <x:c r="K196" s="9"/>
      <x:c r="L196" s="9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9"/>
      <x:c r="B197" s="9"/>
      <x:c r="C197" s="6" t="str">
        <x:f>IF(B197="","",VLOOKUP(B197,Customers!$A$5:$J$504,3,FALSE))</x:f>
      </x:c>
      <x:c r="D197" s="6" t="str">
        <x:f>IF(B197="","",VLOOKUP(B197,Customers!$A$5:$J$504,4,FALSE))</x:f>
      </x:c>
      <x:c r="E197" s="9"/>
      <x:c r="F197" s="43"/>
      <x:c r="G197" s="9"/>
      <x:c r="H197" s="47" t="str">
        <x:f>IF(A197="","",SUMIFS(Sales!$K$5:$K$504,Sales!$I$5:$I$504,A197,Sales!$L$5:$L$504,"Approved"))</x:f>
      </x:c>
      <x:c r="I197" s="47" t="str">
        <x:f>IF(A197="","",SUMIFS(Payouts!$G$5:$G$504,Payouts!$B$5:$B$504,A197,Payouts!$H$5:$H$504,"Paid"))</x:f>
      </x:c>
      <x:c r="J197" s="47" t="str">
        <x:f>IF(A197="","",H197-I197)</x:f>
      </x:c>
      <x:c r="K197" s="9"/>
      <x:c r="L197" s="9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9"/>
      <x:c r="B198" s="9"/>
      <x:c r="C198" s="6" t="str">
        <x:f>IF(B198="","",VLOOKUP(B198,Customers!$A$5:$J$504,3,FALSE))</x:f>
      </x:c>
      <x:c r="D198" s="6" t="str">
        <x:f>IF(B198="","",VLOOKUP(B198,Customers!$A$5:$J$504,4,FALSE))</x:f>
      </x:c>
      <x:c r="E198" s="9"/>
      <x:c r="F198" s="43"/>
      <x:c r="G198" s="9"/>
      <x:c r="H198" s="47" t="str">
        <x:f>IF(A198="","",SUMIFS(Sales!$K$5:$K$504,Sales!$I$5:$I$504,A198,Sales!$L$5:$L$504,"Approved"))</x:f>
      </x:c>
      <x:c r="I198" s="47" t="str">
        <x:f>IF(A198="","",SUMIFS(Payouts!$G$5:$G$504,Payouts!$B$5:$B$504,A198,Payouts!$H$5:$H$504,"Paid"))</x:f>
      </x:c>
      <x:c r="J198" s="47" t="str">
        <x:f>IF(A198="","",H198-I198)</x:f>
      </x:c>
      <x:c r="K198" s="9"/>
      <x:c r="L198" s="9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9"/>
      <x:c r="B199" s="9"/>
      <x:c r="C199" s="6" t="str">
        <x:f>IF(B199="","",VLOOKUP(B199,Customers!$A$5:$J$504,3,FALSE))</x:f>
      </x:c>
      <x:c r="D199" s="6" t="str">
        <x:f>IF(B199="","",VLOOKUP(B199,Customers!$A$5:$J$504,4,FALSE))</x:f>
      </x:c>
      <x:c r="E199" s="9"/>
      <x:c r="F199" s="43"/>
      <x:c r="G199" s="9"/>
      <x:c r="H199" s="47" t="str">
        <x:f>IF(A199="","",SUMIFS(Sales!$K$5:$K$504,Sales!$I$5:$I$504,A199,Sales!$L$5:$L$504,"Approved"))</x:f>
      </x:c>
      <x:c r="I199" s="47" t="str">
        <x:f>IF(A199="","",SUMIFS(Payouts!$G$5:$G$504,Payouts!$B$5:$B$504,A199,Payouts!$H$5:$H$504,"Paid"))</x:f>
      </x:c>
      <x:c r="J199" s="47" t="str">
        <x:f>IF(A199="","",H199-I199)</x:f>
      </x:c>
      <x:c r="K199" s="9"/>
      <x:c r="L199" s="9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9"/>
      <x:c r="B200" s="9"/>
      <x:c r="C200" s="6" t="str">
        <x:f>IF(B200="","",VLOOKUP(B200,Customers!$A$5:$J$504,3,FALSE))</x:f>
      </x:c>
      <x:c r="D200" s="6" t="str">
        <x:f>IF(B200="","",VLOOKUP(B200,Customers!$A$5:$J$504,4,FALSE))</x:f>
      </x:c>
      <x:c r="E200" s="9"/>
      <x:c r="F200" s="43"/>
      <x:c r="G200" s="9"/>
      <x:c r="H200" s="47" t="str">
        <x:f>IF(A200="","",SUMIFS(Sales!$K$5:$K$504,Sales!$I$5:$I$504,A200,Sales!$L$5:$L$504,"Approved"))</x:f>
      </x:c>
      <x:c r="I200" s="47" t="str">
        <x:f>IF(A200="","",SUMIFS(Payouts!$G$5:$G$504,Payouts!$B$5:$B$504,A200,Payouts!$H$5:$H$504,"Paid"))</x:f>
      </x:c>
      <x:c r="J200" s="47" t="str">
        <x:f>IF(A200="","",H200-I200)</x:f>
      </x:c>
      <x:c r="K200" s="9"/>
      <x:c r="L200" s="9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9"/>
      <x:c r="B201" s="9"/>
      <x:c r="C201" s="6" t="str">
        <x:f>IF(B201="","",VLOOKUP(B201,Customers!$A$5:$J$504,3,FALSE))</x:f>
      </x:c>
      <x:c r="D201" s="6" t="str">
        <x:f>IF(B201="","",VLOOKUP(B201,Customers!$A$5:$J$504,4,FALSE))</x:f>
      </x:c>
      <x:c r="E201" s="9"/>
      <x:c r="F201" s="43"/>
      <x:c r="G201" s="9"/>
      <x:c r="H201" s="47" t="str">
        <x:f>IF(A201="","",SUMIFS(Sales!$K$5:$K$504,Sales!$I$5:$I$504,A201,Sales!$L$5:$L$504,"Approved"))</x:f>
      </x:c>
      <x:c r="I201" s="47" t="str">
        <x:f>IF(A201="","",SUMIFS(Payouts!$G$5:$G$504,Payouts!$B$5:$B$504,A201,Payouts!$H$5:$H$504,"Paid"))</x:f>
      </x:c>
      <x:c r="J201" s="47" t="str">
        <x:f>IF(A201="","",H201-I201)</x:f>
      </x:c>
      <x:c r="K201" s="9"/>
      <x:c r="L201" s="9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9"/>
      <x:c r="B202" s="9"/>
      <x:c r="C202" s="6" t="str">
        <x:f>IF(B202="","",VLOOKUP(B202,Customers!$A$5:$J$504,3,FALSE))</x:f>
      </x:c>
      <x:c r="D202" s="6" t="str">
        <x:f>IF(B202="","",VLOOKUP(B202,Customers!$A$5:$J$504,4,FALSE))</x:f>
      </x:c>
      <x:c r="E202" s="9"/>
      <x:c r="F202" s="43"/>
      <x:c r="G202" s="9"/>
      <x:c r="H202" s="47" t="str">
        <x:f>IF(A202="","",SUMIFS(Sales!$K$5:$K$504,Sales!$I$5:$I$504,A202,Sales!$L$5:$L$504,"Approved"))</x:f>
      </x:c>
      <x:c r="I202" s="47" t="str">
        <x:f>IF(A202="","",SUMIFS(Payouts!$G$5:$G$504,Payouts!$B$5:$B$504,A202,Payouts!$H$5:$H$504,"Paid"))</x:f>
      </x:c>
      <x:c r="J202" s="47" t="str">
        <x:f>IF(A202="","",H202-I202)</x:f>
      </x:c>
      <x:c r="K202" s="9"/>
      <x:c r="L202" s="9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9"/>
      <x:c r="B203" s="9"/>
      <x:c r="C203" s="6" t="str">
        <x:f>IF(B203="","",VLOOKUP(B203,Customers!$A$5:$J$504,3,FALSE))</x:f>
      </x:c>
      <x:c r="D203" s="6" t="str">
        <x:f>IF(B203="","",VLOOKUP(B203,Customers!$A$5:$J$504,4,FALSE))</x:f>
      </x:c>
      <x:c r="E203" s="9"/>
      <x:c r="F203" s="43"/>
      <x:c r="G203" s="9"/>
      <x:c r="H203" s="47" t="str">
        <x:f>IF(A203="","",SUMIFS(Sales!$K$5:$K$504,Sales!$I$5:$I$504,A203,Sales!$L$5:$L$504,"Approved"))</x:f>
      </x:c>
      <x:c r="I203" s="47" t="str">
        <x:f>IF(A203="","",SUMIFS(Payouts!$G$5:$G$504,Payouts!$B$5:$B$504,A203,Payouts!$H$5:$H$504,"Paid"))</x:f>
      </x:c>
      <x:c r="J203" s="47" t="str">
        <x:f>IF(A203="","",H203-I203)</x:f>
      </x:c>
      <x:c r="K203" s="9"/>
      <x:c r="L203" s="9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9"/>
      <x:c r="B204" s="9"/>
      <x:c r="C204" s="6" t="str">
        <x:f>IF(B204="","",VLOOKUP(B204,Customers!$A$5:$J$504,3,FALSE))</x:f>
      </x:c>
      <x:c r="D204" s="6" t="str">
        <x:f>IF(B204="","",VLOOKUP(B204,Customers!$A$5:$J$504,4,FALSE))</x:f>
      </x:c>
      <x:c r="E204" s="9"/>
      <x:c r="F204" s="43"/>
      <x:c r="G204" s="9"/>
      <x:c r="H204" s="47" t="str">
        <x:f>IF(A204="","",SUMIFS(Sales!$K$5:$K$504,Sales!$I$5:$I$504,A204,Sales!$L$5:$L$504,"Approved"))</x:f>
      </x:c>
      <x:c r="I204" s="47" t="str">
        <x:f>IF(A204="","",SUMIFS(Payouts!$G$5:$G$504,Payouts!$B$5:$B$504,A204,Payouts!$H$5:$H$504,"Paid"))</x:f>
      </x:c>
      <x:c r="J204" s="47" t="str">
        <x:f>IF(A204="","",H204-I204)</x:f>
      </x:c>
      <x:c r="K204" s="9"/>
      <x:c r="L204" s="9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9"/>
      <x:c r="B205" s="9"/>
      <x:c r="C205" s="6" t="str">
        <x:f>IF(B205="","",VLOOKUP(B205,Customers!$A$5:$J$504,3,FALSE))</x:f>
      </x:c>
      <x:c r="D205" s="6" t="str">
        <x:f>IF(B205="","",VLOOKUP(B205,Customers!$A$5:$J$504,4,FALSE))</x:f>
      </x:c>
      <x:c r="E205" s="9"/>
      <x:c r="F205" s="43"/>
      <x:c r="G205" s="9"/>
      <x:c r="H205" s="47" t="str">
        <x:f>IF(A205="","",SUMIFS(Sales!$K$5:$K$504,Sales!$I$5:$I$504,A205,Sales!$L$5:$L$504,"Approved"))</x:f>
      </x:c>
      <x:c r="I205" s="47" t="str">
        <x:f>IF(A205="","",SUMIFS(Payouts!$G$5:$G$504,Payouts!$B$5:$B$504,A205,Payouts!$H$5:$H$504,"Paid"))</x:f>
      </x:c>
      <x:c r="J205" s="47" t="str">
        <x:f>IF(A205="","",H205-I205)</x:f>
      </x:c>
      <x:c r="K205" s="9"/>
      <x:c r="L205" s="9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9"/>
      <x:c r="B206" s="9"/>
      <x:c r="C206" s="6" t="str">
        <x:f>IF(B206="","",VLOOKUP(B206,Customers!$A$5:$J$504,3,FALSE))</x:f>
      </x:c>
      <x:c r="D206" s="6" t="str">
        <x:f>IF(B206="","",VLOOKUP(B206,Customers!$A$5:$J$504,4,FALSE))</x:f>
      </x:c>
      <x:c r="E206" s="9"/>
      <x:c r="F206" s="43"/>
      <x:c r="G206" s="9"/>
      <x:c r="H206" s="47" t="str">
        <x:f>IF(A206="","",SUMIFS(Sales!$K$5:$K$504,Sales!$I$5:$I$504,A206,Sales!$L$5:$L$504,"Approved"))</x:f>
      </x:c>
      <x:c r="I206" s="47" t="str">
        <x:f>IF(A206="","",SUMIFS(Payouts!$G$5:$G$504,Payouts!$B$5:$B$504,A206,Payouts!$H$5:$H$504,"Paid"))</x:f>
      </x:c>
      <x:c r="J206" s="47" t="str">
        <x:f>IF(A206="","",H206-I206)</x:f>
      </x:c>
      <x:c r="K206" s="9"/>
      <x:c r="L206" s="9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9"/>
      <x:c r="B207" s="9"/>
      <x:c r="C207" s="6" t="str">
        <x:f>IF(B207="","",VLOOKUP(B207,Customers!$A$5:$J$504,3,FALSE))</x:f>
      </x:c>
      <x:c r="D207" s="6" t="str">
        <x:f>IF(B207="","",VLOOKUP(B207,Customers!$A$5:$J$504,4,FALSE))</x:f>
      </x:c>
      <x:c r="E207" s="9"/>
      <x:c r="F207" s="43"/>
      <x:c r="G207" s="9"/>
      <x:c r="H207" s="47" t="str">
        <x:f>IF(A207="","",SUMIFS(Sales!$K$5:$K$504,Sales!$I$5:$I$504,A207,Sales!$L$5:$L$504,"Approved"))</x:f>
      </x:c>
      <x:c r="I207" s="47" t="str">
        <x:f>IF(A207="","",SUMIFS(Payouts!$G$5:$G$504,Payouts!$B$5:$B$504,A207,Payouts!$H$5:$H$504,"Paid"))</x:f>
      </x:c>
      <x:c r="J207" s="47" t="str">
        <x:f>IF(A207="","",H207-I207)</x:f>
      </x:c>
      <x:c r="K207" s="9"/>
      <x:c r="L207" s="9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9"/>
      <x:c r="B208" s="9"/>
      <x:c r="C208" s="6" t="str">
        <x:f>IF(B208="","",VLOOKUP(B208,Customers!$A$5:$J$504,3,FALSE))</x:f>
      </x:c>
      <x:c r="D208" s="6" t="str">
        <x:f>IF(B208="","",VLOOKUP(B208,Customers!$A$5:$J$504,4,FALSE))</x:f>
      </x:c>
      <x:c r="E208" s="9"/>
      <x:c r="F208" s="43"/>
      <x:c r="G208" s="9"/>
      <x:c r="H208" s="47" t="str">
        <x:f>IF(A208="","",SUMIFS(Sales!$K$5:$K$504,Sales!$I$5:$I$504,A208,Sales!$L$5:$L$504,"Approved"))</x:f>
      </x:c>
      <x:c r="I208" s="47" t="str">
        <x:f>IF(A208="","",SUMIFS(Payouts!$G$5:$G$504,Payouts!$B$5:$B$504,A208,Payouts!$H$5:$H$504,"Paid"))</x:f>
      </x:c>
      <x:c r="J208" s="47" t="str">
        <x:f>IF(A208="","",H208-I208)</x:f>
      </x:c>
      <x:c r="K208" s="9"/>
      <x:c r="L208" s="9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9"/>
      <x:c r="B209" s="9"/>
      <x:c r="C209" s="6" t="str">
        <x:f>IF(B209="","",VLOOKUP(B209,Customers!$A$5:$J$504,3,FALSE))</x:f>
      </x:c>
      <x:c r="D209" s="6" t="str">
        <x:f>IF(B209="","",VLOOKUP(B209,Customers!$A$5:$J$504,4,FALSE))</x:f>
      </x:c>
      <x:c r="E209" s="9"/>
      <x:c r="F209" s="43"/>
      <x:c r="G209" s="9"/>
      <x:c r="H209" s="47" t="str">
        <x:f>IF(A209="","",SUMIFS(Sales!$K$5:$K$504,Sales!$I$5:$I$504,A209,Sales!$L$5:$L$504,"Approved"))</x:f>
      </x:c>
      <x:c r="I209" s="47" t="str">
        <x:f>IF(A209="","",SUMIFS(Payouts!$G$5:$G$504,Payouts!$B$5:$B$504,A209,Payouts!$H$5:$H$504,"Paid"))</x:f>
      </x:c>
      <x:c r="J209" s="47" t="str">
        <x:f>IF(A209="","",H209-I209)</x:f>
      </x:c>
      <x:c r="K209" s="9"/>
      <x:c r="L209" s="9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9"/>
      <x:c r="B210" s="9"/>
      <x:c r="C210" s="6" t="str">
        <x:f>IF(B210="","",VLOOKUP(B210,Customers!$A$5:$J$504,3,FALSE))</x:f>
      </x:c>
      <x:c r="D210" s="6" t="str">
        <x:f>IF(B210="","",VLOOKUP(B210,Customers!$A$5:$J$504,4,FALSE))</x:f>
      </x:c>
      <x:c r="E210" s="9"/>
      <x:c r="F210" s="43"/>
      <x:c r="G210" s="9"/>
      <x:c r="H210" s="47" t="str">
        <x:f>IF(A210="","",SUMIFS(Sales!$K$5:$K$504,Sales!$I$5:$I$504,A210,Sales!$L$5:$L$504,"Approved"))</x:f>
      </x:c>
      <x:c r="I210" s="47" t="str">
        <x:f>IF(A210="","",SUMIFS(Payouts!$G$5:$G$504,Payouts!$B$5:$B$504,A210,Payouts!$H$5:$H$504,"Paid"))</x:f>
      </x:c>
      <x:c r="J210" s="47" t="str">
        <x:f>IF(A210="","",H210-I210)</x:f>
      </x:c>
      <x:c r="K210" s="9"/>
      <x:c r="L210" s="9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9"/>
      <x:c r="B211" s="9"/>
      <x:c r="C211" s="6" t="str">
        <x:f>IF(B211="","",VLOOKUP(B211,Customers!$A$5:$J$504,3,FALSE))</x:f>
      </x:c>
      <x:c r="D211" s="6" t="str">
        <x:f>IF(B211="","",VLOOKUP(B211,Customers!$A$5:$J$504,4,FALSE))</x:f>
      </x:c>
      <x:c r="E211" s="9"/>
      <x:c r="F211" s="43"/>
      <x:c r="G211" s="9"/>
      <x:c r="H211" s="47" t="str">
        <x:f>IF(A211="","",SUMIFS(Sales!$K$5:$K$504,Sales!$I$5:$I$504,A211,Sales!$L$5:$L$504,"Approved"))</x:f>
      </x:c>
      <x:c r="I211" s="47" t="str">
        <x:f>IF(A211="","",SUMIFS(Payouts!$G$5:$G$504,Payouts!$B$5:$B$504,A211,Payouts!$H$5:$H$504,"Paid"))</x:f>
      </x:c>
      <x:c r="J211" s="47" t="str">
        <x:f>IF(A211="","",H211-I211)</x:f>
      </x:c>
      <x:c r="K211" s="9"/>
      <x:c r="L211" s="9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9"/>
      <x:c r="B212" s="9"/>
      <x:c r="C212" s="6" t="str">
        <x:f>IF(B212="","",VLOOKUP(B212,Customers!$A$5:$J$504,3,FALSE))</x:f>
      </x:c>
      <x:c r="D212" s="6" t="str">
        <x:f>IF(B212="","",VLOOKUP(B212,Customers!$A$5:$J$504,4,FALSE))</x:f>
      </x:c>
      <x:c r="E212" s="9"/>
      <x:c r="F212" s="43"/>
      <x:c r="G212" s="9"/>
      <x:c r="H212" s="47" t="str">
        <x:f>IF(A212="","",SUMIFS(Sales!$K$5:$K$504,Sales!$I$5:$I$504,A212,Sales!$L$5:$L$504,"Approved"))</x:f>
      </x:c>
      <x:c r="I212" s="47" t="str">
        <x:f>IF(A212="","",SUMIFS(Payouts!$G$5:$G$504,Payouts!$B$5:$B$504,A212,Payouts!$H$5:$H$504,"Paid"))</x:f>
      </x:c>
      <x:c r="J212" s="47" t="str">
        <x:f>IF(A212="","",H212-I212)</x:f>
      </x:c>
      <x:c r="K212" s="9"/>
      <x:c r="L212" s="9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9"/>
      <x:c r="B213" s="9"/>
      <x:c r="C213" s="6" t="str">
        <x:f>IF(B213="","",VLOOKUP(B213,Customers!$A$5:$J$504,3,FALSE))</x:f>
      </x:c>
      <x:c r="D213" s="6" t="str">
        <x:f>IF(B213="","",VLOOKUP(B213,Customers!$A$5:$J$504,4,FALSE))</x:f>
      </x:c>
      <x:c r="E213" s="9"/>
      <x:c r="F213" s="43"/>
      <x:c r="G213" s="9"/>
      <x:c r="H213" s="47" t="str">
        <x:f>IF(A213="","",SUMIFS(Sales!$K$5:$K$504,Sales!$I$5:$I$504,A213,Sales!$L$5:$L$504,"Approved"))</x:f>
      </x:c>
      <x:c r="I213" s="47" t="str">
        <x:f>IF(A213="","",SUMIFS(Payouts!$G$5:$G$504,Payouts!$B$5:$B$504,A213,Payouts!$H$5:$H$504,"Paid"))</x:f>
      </x:c>
      <x:c r="J213" s="47" t="str">
        <x:f>IF(A213="","",H213-I213)</x:f>
      </x:c>
      <x:c r="K213" s="9"/>
      <x:c r="L213" s="9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9"/>
      <x:c r="B214" s="9"/>
      <x:c r="C214" s="6" t="str">
        <x:f>IF(B214="","",VLOOKUP(B214,Customers!$A$5:$J$504,3,FALSE))</x:f>
      </x:c>
      <x:c r="D214" s="6" t="str">
        <x:f>IF(B214="","",VLOOKUP(B214,Customers!$A$5:$J$504,4,FALSE))</x:f>
      </x:c>
      <x:c r="E214" s="9"/>
      <x:c r="F214" s="43"/>
      <x:c r="G214" s="9"/>
      <x:c r="H214" s="47" t="str">
        <x:f>IF(A214="","",SUMIFS(Sales!$K$5:$K$504,Sales!$I$5:$I$504,A214,Sales!$L$5:$L$504,"Approved"))</x:f>
      </x:c>
      <x:c r="I214" s="47" t="str">
        <x:f>IF(A214="","",SUMIFS(Payouts!$G$5:$G$504,Payouts!$B$5:$B$504,A214,Payouts!$H$5:$H$504,"Paid"))</x:f>
      </x:c>
      <x:c r="J214" s="47" t="str">
        <x:f>IF(A214="","",H214-I214)</x:f>
      </x:c>
      <x:c r="K214" s="9"/>
      <x:c r="L214" s="9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9"/>
      <x:c r="B215" s="9"/>
      <x:c r="C215" s="6" t="str">
        <x:f>IF(B215="","",VLOOKUP(B215,Customers!$A$5:$J$504,3,FALSE))</x:f>
      </x:c>
      <x:c r="D215" s="6" t="str">
        <x:f>IF(B215="","",VLOOKUP(B215,Customers!$A$5:$J$504,4,FALSE))</x:f>
      </x:c>
      <x:c r="E215" s="9"/>
      <x:c r="F215" s="43"/>
      <x:c r="G215" s="9"/>
      <x:c r="H215" s="47" t="str">
        <x:f>IF(A215="","",SUMIFS(Sales!$K$5:$K$504,Sales!$I$5:$I$504,A215,Sales!$L$5:$L$504,"Approved"))</x:f>
      </x:c>
      <x:c r="I215" s="47" t="str">
        <x:f>IF(A215="","",SUMIFS(Payouts!$G$5:$G$504,Payouts!$B$5:$B$504,A215,Payouts!$H$5:$H$504,"Paid"))</x:f>
      </x:c>
      <x:c r="J215" s="47" t="str">
        <x:f>IF(A215="","",H215-I215)</x:f>
      </x:c>
      <x:c r="K215" s="9"/>
      <x:c r="L215" s="9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9"/>
      <x:c r="B216" s="9"/>
      <x:c r="C216" s="6" t="str">
        <x:f>IF(B216="","",VLOOKUP(B216,Customers!$A$5:$J$504,3,FALSE))</x:f>
      </x:c>
      <x:c r="D216" s="6" t="str">
        <x:f>IF(B216="","",VLOOKUP(B216,Customers!$A$5:$J$504,4,FALSE))</x:f>
      </x:c>
      <x:c r="E216" s="9"/>
      <x:c r="F216" s="43"/>
      <x:c r="G216" s="9"/>
      <x:c r="H216" s="47" t="str">
        <x:f>IF(A216="","",SUMIFS(Sales!$K$5:$K$504,Sales!$I$5:$I$504,A216,Sales!$L$5:$L$504,"Approved"))</x:f>
      </x:c>
      <x:c r="I216" s="47" t="str">
        <x:f>IF(A216="","",SUMIFS(Payouts!$G$5:$G$504,Payouts!$B$5:$B$504,A216,Payouts!$H$5:$H$504,"Paid"))</x:f>
      </x:c>
      <x:c r="J216" s="47" t="str">
        <x:f>IF(A216="","",H216-I216)</x:f>
      </x:c>
      <x:c r="K216" s="9"/>
      <x:c r="L216" s="9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9"/>
      <x:c r="B217" s="9"/>
      <x:c r="C217" s="6" t="str">
        <x:f>IF(B217="","",VLOOKUP(B217,Customers!$A$5:$J$504,3,FALSE))</x:f>
      </x:c>
      <x:c r="D217" s="6" t="str">
        <x:f>IF(B217="","",VLOOKUP(B217,Customers!$A$5:$J$504,4,FALSE))</x:f>
      </x:c>
      <x:c r="E217" s="9"/>
      <x:c r="F217" s="43"/>
      <x:c r="G217" s="9"/>
      <x:c r="H217" s="47" t="str">
        <x:f>IF(A217="","",SUMIFS(Sales!$K$5:$K$504,Sales!$I$5:$I$504,A217,Sales!$L$5:$L$504,"Approved"))</x:f>
      </x:c>
      <x:c r="I217" s="47" t="str">
        <x:f>IF(A217="","",SUMIFS(Payouts!$G$5:$G$504,Payouts!$B$5:$B$504,A217,Payouts!$H$5:$H$504,"Paid"))</x:f>
      </x:c>
      <x:c r="J217" s="47" t="str">
        <x:f>IF(A217="","",H217-I217)</x:f>
      </x:c>
      <x:c r="K217" s="9"/>
      <x:c r="L217" s="9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9"/>
      <x:c r="B218" s="9"/>
      <x:c r="C218" s="6" t="str">
        <x:f>IF(B218="","",VLOOKUP(B218,Customers!$A$5:$J$504,3,FALSE))</x:f>
      </x:c>
      <x:c r="D218" s="6" t="str">
        <x:f>IF(B218="","",VLOOKUP(B218,Customers!$A$5:$J$504,4,FALSE))</x:f>
      </x:c>
      <x:c r="E218" s="9"/>
      <x:c r="F218" s="43"/>
      <x:c r="G218" s="9"/>
      <x:c r="H218" s="47" t="str">
        <x:f>IF(A218="","",SUMIFS(Sales!$K$5:$K$504,Sales!$I$5:$I$504,A218,Sales!$L$5:$L$504,"Approved"))</x:f>
      </x:c>
      <x:c r="I218" s="47" t="str">
        <x:f>IF(A218="","",SUMIFS(Payouts!$G$5:$G$504,Payouts!$B$5:$B$504,A218,Payouts!$H$5:$H$504,"Paid"))</x:f>
      </x:c>
      <x:c r="J218" s="47" t="str">
        <x:f>IF(A218="","",H218-I218)</x:f>
      </x:c>
      <x:c r="K218" s="9"/>
      <x:c r="L218" s="9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9"/>
      <x:c r="B219" s="9"/>
      <x:c r="C219" s="6" t="str">
        <x:f>IF(B219="","",VLOOKUP(B219,Customers!$A$5:$J$504,3,FALSE))</x:f>
      </x:c>
      <x:c r="D219" s="6" t="str">
        <x:f>IF(B219="","",VLOOKUP(B219,Customers!$A$5:$J$504,4,FALSE))</x:f>
      </x:c>
      <x:c r="E219" s="9"/>
      <x:c r="F219" s="43"/>
      <x:c r="G219" s="9"/>
      <x:c r="H219" s="47" t="str">
        <x:f>IF(A219="","",SUMIFS(Sales!$K$5:$K$504,Sales!$I$5:$I$504,A219,Sales!$L$5:$L$504,"Approved"))</x:f>
      </x:c>
      <x:c r="I219" s="47" t="str">
        <x:f>IF(A219="","",SUMIFS(Payouts!$G$5:$G$504,Payouts!$B$5:$B$504,A219,Payouts!$H$5:$H$504,"Paid"))</x:f>
      </x:c>
      <x:c r="J219" s="47" t="str">
        <x:f>IF(A219="","",H219-I219)</x:f>
      </x:c>
      <x:c r="K219" s="9"/>
      <x:c r="L219" s="9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9"/>
      <x:c r="B220" s="9"/>
      <x:c r="C220" s="6" t="str">
        <x:f>IF(B220="","",VLOOKUP(B220,Customers!$A$5:$J$504,3,FALSE))</x:f>
      </x:c>
      <x:c r="D220" s="6" t="str">
        <x:f>IF(B220="","",VLOOKUP(B220,Customers!$A$5:$J$504,4,FALSE))</x:f>
      </x:c>
      <x:c r="E220" s="9"/>
      <x:c r="F220" s="43"/>
      <x:c r="G220" s="9"/>
      <x:c r="H220" s="47" t="str">
        <x:f>IF(A220="","",SUMIFS(Sales!$K$5:$K$504,Sales!$I$5:$I$504,A220,Sales!$L$5:$L$504,"Approved"))</x:f>
      </x:c>
      <x:c r="I220" s="47" t="str">
        <x:f>IF(A220="","",SUMIFS(Payouts!$G$5:$G$504,Payouts!$B$5:$B$504,A220,Payouts!$H$5:$H$504,"Paid"))</x:f>
      </x:c>
      <x:c r="J220" s="47" t="str">
        <x:f>IF(A220="","",H220-I220)</x:f>
      </x:c>
      <x:c r="K220" s="9"/>
      <x:c r="L220" s="9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9"/>
      <x:c r="B221" s="9"/>
      <x:c r="C221" s="6" t="str">
        <x:f>IF(B221="","",VLOOKUP(B221,Customers!$A$5:$J$504,3,FALSE))</x:f>
      </x:c>
      <x:c r="D221" s="6" t="str">
        <x:f>IF(B221="","",VLOOKUP(B221,Customers!$A$5:$J$504,4,FALSE))</x:f>
      </x:c>
      <x:c r="E221" s="9"/>
      <x:c r="F221" s="43"/>
      <x:c r="G221" s="9"/>
      <x:c r="H221" s="47" t="str">
        <x:f>IF(A221="","",SUMIFS(Sales!$K$5:$K$504,Sales!$I$5:$I$504,A221,Sales!$L$5:$L$504,"Approved"))</x:f>
      </x:c>
      <x:c r="I221" s="47" t="str">
        <x:f>IF(A221="","",SUMIFS(Payouts!$G$5:$G$504,Payouts!$B$5:$B$504,A221,Payouts!$H$5:$H$504,"Paid"))</x:f>
      </x:c>
      <x:c r="J221" s="47" t="str">
        <x:f>IF(A221="","",H221-I221)</x:f>
      </x:c>
      <x:c r="K221" s="9"/>
      <x:c r="L221" s="9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9"/>
      <x:c r="B222" s="9"/>
      <x:c r="C222" s="6" t="str">
        <x:f>IF(B222="","",VLOOKUP(B222,Customers!$A$5:$J$504,3,FALSE))</x:f>
      </x:c>
      <x:c r="D222" s="6" t="str">
        <x:f>IF(B222="","",VLOOKUP(B222,Customers!$A$5:$J$504,4,FALSE))</x:f>
      </x:c>
      <x:c r="E222" s="9"/>
      <x:c r="F222" s="43"/>
      <x:c r="G222" s="9"/>
      <x:c r="H222" s="47" t="str">
        <x:f>IF(A222="","",SUMIFS(Sales!$K$5:$K$504,Sales!$I$5:$I$504,A222,Sales!$L$5:$L$504,"Approved"))</x:f>
      </x:c>
      <x:c r="I222" s="47" t="str">
        <x:f>IF(A222="","",SUMIFS(Payouts!$G$5:$G$504,Payouts!$B$5:$B$504,A222,Payouts!$H$5:$H$504,"Paid"))</x:f>
      </x:c>
      <x:c r="J222" s="47" t="str">
        <x:f>IF(A222="","",H222-I222)</x:f>
      </x:c>
      <x:c r="K222" s="9"/>
      <x:c r="L222" s="9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9"/>
      <x:c r="B223" s="9"/>
      <x:c r="C223" s="6" t="str">
        <x:f>IF(B223="","",VLOOKUP(B223,Customers!$A$5:$J$504,3,FALSE))</x:f>
      </x:c>
      <x:c r="D223" s="6" t="str">
        <x:f>IF(B223="","",VLOOKUP(B223,Customers!$A$5:$J$504,4,FALSE))</x:f>
      </x:c>
      <x:c r="E223" s="9"/>
      <x:c r="F223" s="43"/>
      <x:c r="G223" s="9"/>
      <x:c r="H223" s="47" t="str">
        <x:f>IF(A223="","",SUMIFS(Sales!$K$5:$K$504,Sales!$I$5:$I$504,A223,Sales!$L$5:$L$504,"Approved"))</x:f>
      </x:c>
      <x:c r="I223" s="47" t="str">
        <x:f>IF(A223="","",SUMIFS(Payouts!$G$5:$G$504,Payouts!$B$5:$B$504,A223,Payouts!$H$5:$H$504,"Paid"))</x:f>
      </x:c>
      <x:c r="J223" s="47" t="str">
        <x:f>IF(A223="","",H223-I223)</x:f>
      </x:c>
      <x:c r="K223" s="9"/>
      <x:c r="L223" s="9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9"/>
      <x:c r="B224" s="9"/>
      <x:c r="C224" s="6" t="str">
        <x:f>IF(B224="","",VLOOKUP(B224,Customers!$A$5:$J$504,3,FALSE))</x:f>
      </x:c>
      <x:c r="D224" s="6" t="str">
        <x:f>IF(B224="","",VLOOKUP(B224,Customers!$A$5:$J$504,4,FALSE))</x:f>
      </x:c>
      <x:c r="E224" s="9"/>
      <x:c r="F224" s="43"/>
      <x:c r="G224" s="9"/>
      <x:c r="H224" s="47" t="str">
        <x:f>IF(A224="","",SUMIFS(Sales!$K$5:$K$504,Sales!$I$5:$I$504,A224,Sales!$L$5:$L$504,"Approved"))</x:f>
      </x:c>
      <x:c r="I224" s="47" t="str">
        <x:f>IF(A224="","",SUMIFS(Payouts!$G$5:$G$504,Payouts!$B$5:$B$504,A224,Payouts!$H$5:$H$504,"Paid"))</x:f>
      </x:c>
      <x:c r="J224" s="47" t="str">
        <x:f>IF(A224="","",H224-I224)</x:f>
      </x:c>
      <x:c r="K224" s="9"/>
      <x:c r="L224" s="9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9"/>
      <x:c r="B225" s="9"/>
      <x:c r="C225" s="6" t="str">
        <x:f>IF(B225="","",VLOOKUP(B225,Customers!$A$5:$J$504,3,FALSE))</x:f>
      </x:c>
      <x:c r="D225" s="6" t="str">
        <x:f>IF(B225="","",VLOOKUP(B225,Customers!$A$5:$J$504,4,FALSE))</x:f>
      </x:c>
      <x:c r="E225" s="9"/>
      <x:c r="F225" s="43"/>
      <x:c r="G225" s="9"/>
      <x:c r="H225" s="47" t="str">
        <x:f>IF(A225="","",SUMIFS(Sales!$K$5:$K$504,Sales!$I$5:$I$504,A225,Sales!$L$5:$L$504,"Approved"))</x:f>
      </x:c>
      <x:c r="I225" s="47" t="str">
        <x:f>IF(A225="","",SUMIFS(Payouts!$G$5:$G$504,Payouts!$B$5:$B$504,A225,Payouts!$H$5:$H$504,"Paid"))</x:f>
      </x:c>
      <x:c r="J225" s="47" t="str">
        <x:f>IF(A225="","",H225-I225)</x:f>
      </x:c>
      <x:c r="K225" s="9"/>
      <x:c r="L225" s="9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9"/>
      <x:c r="B226" s="9"/>
      <x:c r="C226" s="6" t="str">
        <x:f>IF(B226="","",VLOOKUP(B226,Customers!$A$5:$J$504,3,FALSE))</x:f>
      </x:c>
      <x:c r="D226" s="6" t="str">
        <x:f>IF(B226="","",VLOOKUP(B226,Customers!$A$5:$J$504,4,FALSE))</x:f>
      </x:c>
      <x:c r="E226" s="9"/>
      <x:c r="F226" s="43"/>
      <x:c r="G226" s="9"/>
      <x:c r="H226" s="47" t="str">
        <x:f>IF(A226="","",SUMIFS(Sales!$K$5:$K$504,Sales!$I$5:$I$504,A226,Sales!$L$5:$L$504,"Approved"))</x:f>
      </x:c>
      <x:c r="I226" s="47" t="str">
        <x:f>IF(A226="","",SUMIFS(Payouts!$G$5:$G$504,Payouts!$B$5:$B$504,A226,Payouts!$H$5:$H$504,"Paid"))</x:f>
      </x:c>
      <x:c r="J226" s="47" t="str">
        <x:f>IF(A226="","",H226-I226)</x:f>
      </x:c>
      <x:c r="K226" s="9"/>
      <x:c r="L226" s="9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9"/>
      <x:c r="B227" s="9"/>
      <x:c r="C227" s="6" t="str">
        <x:f>IF(B227="","",VLOOKUP(B227,Customers!$A$5:$J$504,3,FALSE))</x:f>
      </x:c>
      <x:c r="D227" s="6" t="str">
        <x:f>IF(B227="","",VLOOKUP(B227,Customers!$A$5:$J$504,4,FALSE))</x:f>
      </x:c>
      <x:c r="E227" s="9"/>
      <x:c r="F227" s="43"/>
      <x:c r="G227" s="9"/>
      <x:c r="H227" s="47" t="str">
        <x:f>IF(A227="","",SUMIFS(Sales!$K$5:$K$504,Sales!$I$5:$I$504,A227,Sales!$L$5:$L$504,"Approved"))</x:f>
      </x:c>
      <x:c r="I227" s="47" t="str">
        <x:f>IF(A227="","",SUMIFS(Payouts!$G$5:$G$504,Payouts!$B$5:$B$504,A227,Payouts!$H$5:$H$504,"Paid"))</x:f>
      </x:c>
      <x:c r="J227" s="47" t="str">
        <x:f>IF(A227="","",H227-I227)</x:f>
      </x:c>
      <x:c r="K227" s="9"/>
      <x:c r="L227" s="9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9"/>
      <x:c r="B228" s="9"/>
      <x:c r="C228" s="6" t="str">
        <x:f>IF(B228="","",VLOOKUP(B228,Customers!$A$5:$J$504,3,FALSE))</x:f>
      </x:c>
      <x:c r="D228" s="6" t="str">
        <x:f>IF(B228="","",VLOOKUP(B228,Customers!$A$5:$J$504,4,FALSE))</x:f>
      </x:c>
      <x:c r="E228" s="9"/>
      <x:c r="F228" s="43"/>
      <x:c r="G228" s="9"/>
      <x:c r="H228" s="47" t="str">
        <x:f>IF(A228="","",SUMIFS(Sales!$K$5:$K$504,Sales!$I$5:$I$504,A228,Sales!$L$5:$L$504,"Approved"))</x:f>
      </x:c>
      <x:c r="I228" s="47" t="str">
        <x:f>IF(A228="","",SUMIFS(Payouts!$G$5:$G$504,Payouts!$B$5:$B$504,A228,Payouts!$H$5:$H$504,"Paid"))</x:f>
      </x:c>
      <x:c r="J228" s="47" t="str">
        <x:f>IF(A228="","",H228-I228)</x:f>
      </x:c>
      <x:c r="K228" s="9"/>
      <x:c r="L228" s="9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9"/>
      <x:c r="B229" s="9"/>
      <x:c r="C229" s="6" t="str">
        <x:f>IF(B229="","",VLOOKUP(B229,Customers!$A$5:$J$504,3,FALSE))</x:f>
      </x:c>
      <x:c r="D229" s="6" t="str">
        <x:f>IF(B229="","",VLOOKUP(B229,Customers!$A$5:$J$504,4,FALSE))</x:f>
      </x:c>
      <x:c r="E229" s="9"/>
      <x:c r="F229" s="43"/>
      <x:c r="G229" s="9"/>
      <x:c r="H229" s="47" t="str">
        <x:f>IF(A229="","",SUMIFS(Sales!$K$5:$K$504,Sales!$I$5:$I$504,A229,Sales!$L$5:$L$504,"Approved"))</x:f>
      </x:c>
      <x:c r="I229" s="47" t="str">
        <x:f>IF(A229="","",SUMIFS(Payouts!$G$5:$G$504,Payouts!$B$5:$B$504,A229,Payouts!$H$5:$H$504,"Paid"))</x:f>
      </x:c>
      <x:c r="J229" s="47" t="str">
        <x:f>IF(A229="","",H229-I229)</x:f>
      </x:c>
      <x:c r="K229" s="9"/>
      <x:c r="L229" s="9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9"/>
      <x:c r="B230" s="9"/>
      <x:c r="C230" s="6" t="str">
        <x:f>IF(B230="","",VLOOKUP(B230,Customers!$A$5:$J$504,3,FALSE))</x:f>
      </x:c>
      <x:c r="D230" s="6" t="str">
        <x:f>IF(B230="","",VLOOKUP(B230,Customers!$A$5:$J$504,4,FALSE))</x:f>
      </x:c>
      <x:c r="E230" s="9"/>
      <x:c r="F230" s="43"/>
      <x:c r="G230" s="9"/>
      <x:c r="H230" s="47" t="str">
        <x:f>IF(A230="","",SUMIFS(Sales!$K$5:$K$504,Sales!$I$5:$I$504,A230,Sales!$L$5:$L$504,"Approved"))</x:f>
      </x:c>
      <x:c r="I230" s="47" t="str">
        <x:f>IF(A230="","",SUMIFS(Payouts!$G$5:$G$504,Payouts!$B$5:$B$504,A230,Payouts!$H$5:$H$504,"Paid"))</x:f>
      </x:c>
      <x:c r="J230" s="47" t="str">
        <x:f>IF(A230="","",H230-I230)</x:f>
      </x:c>
      <x:c r="K230" s="9"/>
      <x:c r="L230" s="9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9"/>
      <x:c r="B231" s="9"/>
      <x:c r="C231" s="6" t="str">
        <x:f>IF(B231="","",VLOOKUP(B231,Customers!$A$5:$J$504,3,FALSE))</x:f>
      </x:c>
      <x:c r="D231" s="6" t="str">
        <x:f>IF(B231="","",VLOOKUP(B231,Customers!$A$5:$J$504,4,FALSE))</x:f>
      </x:c>
      <x:c r="E231" s="9"/>
      <x:c r="F231" s="43"/>
      <x:c r="G231" s="9"/>
      <x:c r="H231" s="47" t="str">
        <x:f>IF(A231="","",SUMIFS(Sales!$K$5:$K$504,Sales!$I$5:$I$504,A231,Sales!$L$5:$L$504,"Approved"))</x:f>
      </x:c>
      <x:c r="I231" s="47" t="str">
        <x:f>IF(A231="","",SUMIFS(Payouts!$G$5:$G$504,Payouts!$B$5:$B$504,A231,Payouts!$H$5:$H$504,"Paid"))</x:f>
      </x:c>
      <x:c r="J231" s="47" t="str">
        <x:f>IF(A231="","",H231-I231)</x:f>
      </x:c>
      <x:c r="K231" s="9"/>
      <x:c r="L231" s="9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9"/>
      <x:c r="B232" s="9"/>
      <x:c r="C232" s="6" t="str">
        <x:f>IF(B232="","",VLOOKUP(B232,Customers!$A$5:$J$504,3,FALSE))</x:f>
      </x:c>
      <x:c r="D232" s="6" t="str">
        <x:f>IF(B232="","",VLOOKUP(B232,Customers!$A$5:$J$504,4,FALSE))</x:f>
      </x:c>
      <x:c r="E232" s="9"/>
      <x:c r="F232" s="43"/>
      <x:c r="G232" s="9"/>
      <x:c r="H232" s="47" t="str">
        <x:f>IF(A232="","",SUMIFS(Sales!$K$5:$K$504,Sales!$I$5:$I$504,A232,Sales!$L$5:$L$504,"Approved"))</x:f>
      </x:c>
      <x:c r="I232" s="47" t="str">
        <x:f>IF(A232="","",SUMIFS(Payouts!$G$5:$G$504,Payouts!$B$5:$B$504,A232,Payouts!$H$5:$H$504,"Paid"))</x:f>
      </x:c>
      <x:c r="J232" s="47" t="str">
        <x:f>IF(A232="","",H232-I232)</x:f>
      </x:c>
      <x:c r="K232" s="9"/>
      <x:c r="L232" s="9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9"/>
      <x:c r="B233" s="9"/>
      <x:c r="C233" s="6" t="str">
        <x:f>IF(B233="","",VLOOKUP(B233,Customers!$A$5:$J$504,3,FALSE))</x:f>
      </x:c>
      <x:c r="D233" s="6" t="str">
        <x:f>IF(B233="","",VLOOKUP(B233,Customers!$A$5:$J$504,4,FALSE))</x:f>
      </x:c>
      <x:c r="E233" s="9"/>
      <x:c r="F233" s="43"/>
      <x:c r="G233" s="9"/>
      <x:c r="H233" s="47" t="str">
        <x:f>IF(A233="","",SUMIFS(Sales!$K$5:$K$504,Sales!$I$5:$I$504,A233,Sales!$L$5:$L$504,"Approved"))</x:f>
      </x:c>
      <x:c r="I233" s="47" t="str">
        <x:f>IF(A233="","",SUMIFS(Payouts!$G$5:$G$504,Payouts!$B$5:$B$504,A233,Payouts!$H$5:$H$504,"Paid"))</x:f>
      </x:c>
      <x:c r="J233" s="47" t="str">
        <x:f>IF(A233="","",H233-I233)</x:f>
      </x:c>
      <x:c r="K233" s="9"/>
      <x:c r="L233" s="9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9"/>
      <x:c r="B234" s="9"/>
      <x:c r="C234" s="6" t="str">
        <x:f>IF(B234="","",VLOOKUP(B234,Customers!$A$5:$J$504,3,FALSE))</x:f>
      </x:c>
      <x:c r="D234" s="6" t="str">
        <x:f>IF(B234="","",VLOOKUP(B234,Customers!$A$5:$J$504,4,FALSE))</x:f>
      </x:c>
      <x:c r="E234" s="9"/>
      <x:c r="F234" s="43"/>
      <x:c r="G234" s="9"/>
      <x:c r="H234" s="47" t="str">
        <x:f>IF(A234="","",SUMIFS(Sales!$K$5:$K$504,Sales!$I$5:$I$504,A234,Sales!$L$5:$L$504,"Approved"))</x:f>
      </x:c>
      <x:c r="I234" s="47" t="str">
        <x:f>IF(A234="","",SUMIFS(Payouts!$G$5:$G$504,Payouts!$B$5:$B$504,A234,Payouts!$H$5:$H$504,"Paid"))</x:f>
      </x:c>
      <x:c r="J234" s="47" t="str">
        <x:f>IF(A234="","",H234-I234)</x:f>
      </x:c>
      <x:c r="K234" s="9"/>
      <x:c r="L234" s="9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9"/>
      <x:c r="B235" s="9"/>
      <x:c r="C235" s="6" t="str">
        <x:f>IF(B235="","",VLOOKUP(B235,Customers!$A$5:$J$504,3,FALSE))</x:f>
      </x:c>
      <x:c r="D235" s="6" t="str">
        <x:f>IF(B235="","",VLOOKUP(B235,Customers!$A$5:$J$504,4,FALSE))</x:f>
      </x:c>
      <x:c r="E235" s="9"/>
      <x:c r="F235" s="43"/>
      <x:c r="G235" s="9"/>
      <x:c r="H235" s="47" t="str">
        <x:f>IF(A235="","",SUMIFS(Sales!$K$5:$K$504,Sales!$I$5:$I$504,A235,Sales!$L$5:$L$504,"Approved"))</x:f>
      </x:c>
      <x:c r="I235" s="47" t="str">
        <x:f>IF(A235="","",SUMIFS(Payouts!$G$5:$G$504,Payouts!$B$5:$B$504,A235,Payouts!$H$5:$H$504,"Paid"))</x:f>
      </x:c>
      <x:c r="J235" s="47" t="str">
        <x:f>IF(A235="","",H235-I235)</x:f>
      </x:c>
      <x:c r="K235" s="9"/>
      <x:c r="L235" s="9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9"/>
      <x:c r="B236" s="9"/>
      <x:c r="C236" s="6" t="str">
        <x:f>IF(B236="","",VLOOKUP(B236,Customers!$A$5:$J$504,3,FALSE))</x:f>
      </x:c>
      <x:c r="D236" s="6" t="str">
        <x:f>IF(B236="","",VLOOKUP(B236,Customers!$A$5:$J$504,4,FALSE))</x:f>
      </x:c>
      <x:c r="E236" s="9"/>
      <x:c r="F236" s="43"/>
      <x:c r="G236" s="9"/>
      <x:c r="H236" s="47" t="str">
        <x:f>IF(A236="","",SUMIFS(Sales!$K$5:$K$504,Sales!$I$5:$I$504,A236,Sales!$L$5:$L$504,"Approved"))</x:f>
      </x:c>
      <x:c r="I236" s="47" t="str">
        <x:f>IF(A236="","",SUMIFS(Payouts!$G$5:$G$504,Payouts!$B$5:$B$504,A236,Payouts!$H$5:$H$504,"Paid"))</x:f>
      </x:c>
      <x:c r="J236" s="47" t="str">
        <x:f>IF(A236="","",H236-I236)</x:f>
      </x:c>
      <x:c r="K236" s="9"/>
      <x:c r="L236" s="9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9"/>
      <x:c r="B237" s="9"/>
      <x:c r="C237" s="6" t="str">
        <x:f>IF(B237="","",VLOOKUP(B237,Customers!$A$5:$J$504,3,FALSE))</x:f>
      </x:c>
      <x:c r="D237" s="6" t="str">
        <x:f>IF(B237="","",VLOOKUP(B237,Customers!$A$5:$J$504,4,FALSE))</x:f>
      </x:c>
      <x:c r="E237" s="9"/>
      <x:c r="F237" s="43"/>
      <x:c r="G237" s="9"/>
      <x:c r="H237" s="47" t="str">
        <x:f>IF(A237="","",SUMIFS(Sales!$K$5:$K$504,Sales!$I$5:$I$504,A237,Sales!$L$5:$L$504,"Approved"))</x:f>
      </x:c>
      <x:c r="I237" s="47" t="str">
        <x:f>IF(A237="","",SUMIFS(Payouts!$G$5:$G$504,Payouts!$B$5:$B$504,A237,Payouts!$H$5:$H$504,"Paid"))</x:f>
      </x:c>
      <x:c r="J237" s="47" t="str">
        <x:f>IF(A237="","",H237-I237)</x:f>
      </x:c>
      <x:c r="K237" s="9"/>
      <x:c r="L237" s="9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9"/>
      <x:c r="B238" s="9"/>
      <x:c r="C238" s="6" t="str">
        <x:f>IF(B238="","",VLOOKUP(B238,Customers!$A$5:$J$504,3,FALSE))</x:f>
      </x:c>
      <x:c r="D238" s="6" t="str">
        <x:f>IF(B238="","",VLOOKUP(B238,Customers!$A$5:$J$504,4,FALSE))</x:f>
      </x:c>
      <x:c r="E238" s="9"/>
      <x:c r="F238" s="43"/>
      <x:c r="G238" s="9"/>
      <x:c r="H238" s="47" t="str">
        <x:f>IF(A238="","",SUMIFS(Sales!$K$5:$K$504,Sales!$I$5:$I$504,A238,Sales!$L$5:$L$504,"Approved"))</x:f>
      </x:c>
      <x:c r="I238" s="47" t="str">
        <x:f>IF(A238="","",SUMIFS(Payouts!$G$5:$G$504,Payouts!$B$5:$B$504,A238,Payouts!$H$5:$H$504,"Paid"))</x:f>
      </x:c>
      <x:c r="J238" s="47" t="str">
        <x:f>IF(A238="","",H238-I238)</x:f>
      </x:c>
      <x:c r="K238" s="9"/>
      <x:c r="L238" s="9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9"/>
      <x:c r="B239" s="9"/>
      <x:c r="C239" s="6" t="str">
        <x:f>IF(B239="","",VLOOKUP(B239,Customers!$A$5:$J$504,3,FALSE))</x:f>
      </x:c>
      <x:c r="D239" s="6" t="str">
        <x:f>IF(B239="","",VLOOKUP(B239,Customers!$A$5:$J$504,4,FALSE))</x:f>
      </x:c>
      <x:c r="E239" s="9"/>
      <x:c r="F239" s="43"/>
      <x:c r="G239" s="9"/>
      <x:c r="H239" s="47" t="str">
        <x:f>IF(A239="","",SUMIFS(Sales!$K$5:$K$504,Sales!$I$5:$I$504,A239,Sales!$L$5:$L$504,"Approved"))</x:f>
      </x:c>
      <x:c r="I239" s="47" t="str">
        <x:f>IF(A239="","",SUMIFS(Payouts!$G$5:$G$504,Payouts!$B$5:$B$504,A239,Payouts!$H$5:$H$504,"Paid"))</x:f>
      </x:c>
      <x:c r="J239" s="47" t="str">
        <x:f>IF(A239="","",H239-I239)</x:f>
      </x:c>
      <x:c r="K239" s="9"/>
      <x:c r="L239" s="9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9"/>
      <x:c r="B240" s="9"/>
      <x:c r="C240" s="6" t="str">
        <x:f>IF(B240="","",VLOOKUP(B240,Customers!$A$5:$J$504,3,FALSE))</x:f>
      </x:c>
      <x:c r="D240" s="6" t="str">
        <x:f>IF(B240="","",VLOOKUP(B240,Customers!$A$5:$J$504,4,FALSE))</x:f>
      </x:c>
      <x:c r="E240" s="9"/>
      <x:c r="F240" s="43"/>
      <x:c r="G240" s="9"/>
      <x:c r="H240" s="47" t="str">
        <x:f>IF(A240="","",SUMIFS(Sales!$K$5:$K$504,Sales!$I$5:$I$504,A240,Sales!$L$5:$L$504,"Approved"))</x:f>
      </x:c>
      <x:c r="I240" s="47" t="str">
        <x:f>IF(A240="","",SUMIFS(Payouts!$G$5:$G$504,Payouts!$B$5:$B$504,A240,Payouts!$H$5:$H$504,"Paid"))</x:f>
      </x:c>
      <x:c r="J240" s="47" t="str">
        <x:f>IF(A240="","",H240-I240)</x:f>
      </x:c>
      <x:c r="K240" s="9"/>
      <x:c r="L240" s="9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9"/>
      <x:c r="B241" s="9"/>
      <x:c r="C241" s="6" t="str">
        <x:f>IF(B241="","",VLOOKUP(B241,Customers!$A$5:$J$504,3,FALSE))</x:f>
      </x:c>
      <x:c r="D241" s="6" t="str">
        <x:f>IF(B241="","",VLOOKUP(B241,Customers!$A$5:$J$504,4,FALSE))</x:f>
      </x:c>
      <x:c r="E241" s="9"/>
      <x:c r="F241" s="43"/>
      <x:c r="G241" s="9"/>
      <x:c r="H241" s="47" t="str">
        <x:f>IF(A241="","",SUMIFS(Sales!$K$5:$K$504,Sales!$I$5:$I$504,A241,Sales!$L$5:$L$504,"Approved"))</x:f>
      </x:c>
      <x:c r="I241" s="47" t="str">
        <x:f>IF(A241="","",SUMIFS(Payouts!$G$5:$G$504,Payouts!$B$5:$B$504,A241,Payouts!$H$5:$H$504,"Paid"))</x:f>
      </x:c>
      <x:c r="J241" s="47" t="str">
        <x:f>IF(A241="","",H241-I241)</x:f>
      </x:c>
      <x:c r="K241" s="9"/>
      <x:c r="L241" s="9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9"/>
      <x:c r="B242" s="9"/>
      <x:c r="C242" s="6" t="str">
        <x:f>IF(B242="","",VLOOKUP(B242,Customers!$A$5:$J$504,3,FALSE))</x:f>
      </x:c>
      <x:c r="D242" s="6" t="str">
        <x:f>IF(B242="","",VLOOKUP(B242,Customers!$A$5:$J$504,4,FALSE))</x:f>
      </x:c>
      <x:c r="E242" s="9"/>
      <x:c r="F242" s="43"/>
      <x:c r="G242" s="9"/>
      <x:c r="H242" s="47" t="str">
        <x:f>IF(A242="","",SUMIFS(Sales!$K$5:$K$504,Sales!$I$5:$I$504,A242,Sales!$L$5:$L$504,"Approved"))</x:f>
      </x:c>
      <x:c r="I242" s="47" t="str">
        <x:f>IF(A242="","",SUMIFS(Payouts!$G$5:$G$504,Payouts!$B$5:$B$504,A242,Payouts!$H$5:$H$504,"Paid"))</x:f>
      </x:c>
      <x:c r="J242" s="47" t="str">
        <x:f>IF(A242="","",H242-I242)</x:f>
      </x:c>
      <x:c r="K242" s="9"/>
      <x:c r="L242" s="9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9"/>
      <x:c r="B243" s="9"/>
      <x:c r="C243" s="6" t="str">
        <x:f>IF(B243="","",VLOOKUP(B243,Customers!$A$5:$J$504,3,FALSE))</x:f>
      </x:c>
      <x:c r="D243" s="6" t="str">
        <x:f>IF(B243="","",VLOOKUP(B243,Customers!$A$5:$J$504,4,FALSE))</x:f>
      </x:c>
      <x:c r="E243" s="9"/>
      <x:c r="F243" s="43"/>
      <x:c r="G243" s="9"/>
      <x:c r="H243" s="47" t="str">
        <x:f>IF(A243="","",SUMIFS(Sales!$K$5:$K$504,Sales!$I$5:$I$504,A243,Sales!$L$5:$L$504,"Approved"))</x:f>
      </x:c>
      <x:c r="I243" s="47" t="str">
        <x:f>IF(A243="","",SUMIFS(Payouts!$G$5:$G$504,Payouts!$B$5:$B$504,A243,Payouts!$H$5:$H$504,"Paid"))</x:f>
      </x:c>
      <x:c r="J243" s="47" t="str">
        <x:f>IF(A243="","",H243-I243)</x:f>
      </x:c>
      <x:c r="K243" s="9"/>
      <x:c r="L243" s="9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9"/>
      <x:c r="B244" s="9"/>
      <x:c r="C244" s="6" t="str">
        <x:f>IF(B244="","",VLOOKUP(B244,Customers!$A$5:$J$504,3,FALSE))</x:f>
      </x:c>
      <x:c r="D244" s="6" t="str">
        <x:f>IF(B244="","",VLOOKUP(B244,Customers!$A$5:$J$504,4,FALSE))</x:f>
      </x:c>
      <x:c r="E244" s="9"/>
      <x:c r="F244" s="43"/>
      <x:c r="G244" s="9"/>
      <x:c r="H244" s="47" t="str">
        <x:f>IF(A244="","",SUMIFS(Sales!$K$5:$K$504,Sales!$I$5:$I$504,A244,Sales!$L$5:$L$504,"Approved"))</x:f>
      </x:c>
      <x:c r="I244" s="47" t="str">
        <x:f>IF(A244="","",SUMIFS(Payouts!$G$5:$G$504,Payouts!$B$5:$B$504,A244,Payouts!$H$5:$H$504,"Paid"))</x:f>
      </x:c>
      <x:c r="J244" s="47" t="str">
        <x:f>IF(A244="","",H244-I244)</x:f>
      </x:c>
      <x:c r="K244" s="9"/>
      <x:c r="L244" s="9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9"/>
      <x:c r="B245" s="9"/>
      <x:c r="C245" s="6" t="str">
        <x:f>IF(B245="","",VLOOKUP(B245,Customers!$A$5:$J$504,3,FALSE))</x:f>
      </x:c>
      <x:c r="D245" s="6" t="str">
        <x:f>IF(B245="","",VLOOKUP(B245,Customers!$A$5:$J$504,4,FALSE))</x:f>
      </x:c>
      <x:c r="E245" s="9"/>
      <x:c r="F245" s="43"/>
      <x:c r="G245" s="9"/>
      <x:c r="H245" s="47" t="str">
        <x:f>IF(A245="","",SUMIFS(Sales!$K$5:$K$504,Sales!$I$5:$I$504,A245,Sales!$L$5:$L$504,"Approved"))</x:f>
      </x:c>
      <x:c r="I245" s="47" t="str">
        <x:f>IF(A245="","",SUMIFS(Payouts!$G$5:$G$504,Payouts!$B$5:$B$504,A245,Payouts!$H$5:$H$504,"Paid"))</x:f>
      </x:c>
      <x:c r="J245" s="47" t="str">
        <x:f>IF(A245="","",H245-I245)</x:f>
      </x:c>
      <x:c r="K245" s="9"/>
      <x:c r="L245" s="9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9"/>
      <x:c r="B246" s="9"/>
      <x:c r="C246" s="6" t="str">
        <x:f>IF(B246="","",VLOOKUP(B246,Customers!$A$5:$J$504,3,FALSE))</x:f>
      </x:c>
      <x:c r="D246" s="6" t="str">
        <x:f>IF(B246="","",VLOOKUP(B246,Customers!$A$5:$J$504,4,FALSE))</x:f>
      </x:c>
      <x:c r="E246" s="9"/>
      <x:c r="F246" s="43"/>
      <x:c r="G246" s="9"/>
      <x:c r="H246" s="47" t="str">
        <x:f>IF(A246="","",SUMIFS(Sales!$K$5:$K$504,Sales!$I$5:$I$504,A246,Sales!$L$5:$L$504,"Approved"))</x:f>
      </x:c>
      <x:c r="I246" s="47" t="str">
        <x:f>IF(A246="","",SUMIFS(Payouts!$G$5:$G$504,Payouts!$B$5:$B$504,A246,Payouts!$H$5:$H$504,"Paid"))</x:f>
      </x:c>
      <x:c r="J246" s="47" t="str">
        <x:f>IF(A246="","",H246-I246)</x:f>
      </x:c>
      <x:c r="K246" s="9"/>
      <x:c r="L246" s="9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9"/>
      <x:c r="B247" s="9"/>
      <x:c r="C247" s="6" t="str">
        <x:f>IF(B247="","",VLOOKUP(B247,Customers!$A$5:$J$504,3,FALSE))</x:f>
      </x:c>
      <x:c r="D247" s="6" t="str">
        <x:f>IF(B247="","",VLOOKUP(B247,Customers!$A$5:$J$504,4,FALSE))</x:f>
      </x:c>
      <x:c r="E247" s="9"/>
      <x:c r="F247" s="43"/>
      <x:c r="G247" s="9"/>
      <x:c r="H247" s="47" t="str">
        <x:f>IF(A247="","",SUMIFS(Sales!$K$5:$K$504,Sales!$I$5:$I$504,A247,Sales!$L$5:$L$504,"Approved"))</x:f>
      </x:c>
      <x:c r="I247" s="47" t="str">
        <x:f>IF(A247="","",SUMIFS(Payouts!$G$5:$G$504,Payouts!$B$5:$B$504,A247,Payouts!$H$5:$H$504,"Paid"))</x:f>
      </x:c>
      <x:c r="J247" s="47" t="str">
        <x:f>IF(A247="","",H247-I247)</x:f>
      </x:c>
      <x:c r="K247" s="9"/>
      <x:c r="L247" s="9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9"/>
      <x:c r="B248" s="9"/>
      <x:c r="C248" s="6" t="str">
        <x:f>IF(B248="","",VLOOKUP(B248,Customers!$A$5:$J$504,3,FALSE))</x:f>
      </x:c>
      <x:c r="D248" s="6" t="str">
        <x:f>IF(B248="","",VLOOKUP(B248,Customers!$A$5:$J$504,4,FALSE))</x:f>
      </x:c>
      <x:c r="E248" s="9"/>
      <x:c r="F248" s="43"/>
      <x:c r="G248" s="9"/>
      <x:c r="H248" s="47" t="str">
        <x:f>IF(A248="","",SUMIFS(Sales!$K$5:$K$504,Sales!$I$5:$I$504,A248,Sales!$L$5:$L$504,"Approved"))</x:f>
      </x:c>
      <x:c r="I248" s="47" t="str">
        <x:f>IF(A248="","",SUMIFS(Payouts!$G$5:$G$504,Payouts!$B$5:$B$504,A248,Payouts!$H$5:$H$504,"Paid"))</x:f>
      </x:c>
      <x:c r="J248" s="47" t="str">
        <x:f>IF(A248="","",H248-I248)</x:f>
      </x:c>
      <x:c r="K248" s="9"/>
      <x:c r="L248" s="9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9"/>
      <x:c r="B249" s="9"/>
      <x:c r="C249" s="6" t="str">
        <x:f>IF(B249="","",VLOOKUP(B249,Customers!$A$5:$J$504,3,FALSE))</x:f>
      </x:c>
      <x:c r="D249" s="6" t="str">
        <x:f>IF(B249="","",VLOOKUP(B249,Customers!$A$5:$J$504,4,FALSE))</x:f>
      </x:c>
      <x:c r="E249" s="9"/>
      <x:c r="F249" s="43"/>
      <x:c r="G249" s="9"/>
      <x:c r="H249" s="47" t="str">
        <x:f>IF(A249="","",SUMIFS(Sales!$K$5:$K$504,Sales!$I$5:$I$504,A249,Sales!$L$5:$L$504,"Approved"))</x:f>
      </x:c>
      <x:c r="I249" s="47" t="str">
        <x:f>IF(A249="","",SUMIFS(Payouts!$G$5:$G$504,Payouts!$B$5:$B$504,A249,Payouts!$H$5:$H$504,"Paid"))</x:f>
      </x:c>
      <x:c r="J249" s="47" t="str">
        <x:f>IF(A249="","",H249-I249)</x:f>
      </x:c>
      <x:c r="K249" s="9"/>
      <x:c r="L249" s="9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9"/>
      <x:c r="B250" s="9"/>
      <x:c r="C250" s="6" t="str">
        <x:f>IF(B250="","",VLOOKUP(B250,Customers!$A$5:$J$504,3,FALSE))</x:f>
      </x:c>
      <x:c r="D250" s="6" t="str">
        <x:f>IF(B250="","",VLOOKUP(B250,Customers!$A$5:$J$504,4,FALSE))</x:f>
      </x:c>
      <x:c r="E250" s="9"/>
      <x:c r="F250" s="43"/>
      <x:c r="G250" s="9"/>
      <x:c r="H250" s="47" t="str">
        <x:f>IF(A250="","",SUMIFS(Sales!$K$5:$K$504,Sales!$I$5:$I$504,A250,Sales!$L$5:$L$504,"Approved"))</x:f>
      </x:c>
      <x:c r="I250" s="47" t="str">
        <x:f>IF(A250="","",SUMIFS(Payouts!$G$5:$G$504,Payouts!$B$5:$B$504,A250,Payouts!$H$5:$H$504,"Paid"))</x:f>
      </x:c>
      <x:c r="J250" s="47" t="str">
        <x:f>IF(A250="","",H250-I250)</x:f>
      </x:c>
      <x:c r="K250" s="9"/>
      <x:c r="L250" s="9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9"/>
      <x:c r="B251" s="9"/>
      <x:c r="C251" s="6" t="str">
        <x:f>IF(B251="","",VLOOKUP(B251,Customers!$A$5:$J$504,3,FALSE))</x:f>
      </x:c>
      <x:c r="D251" s="6" t="str">
        <x:f>IF(B251="","",VLOOKUP(B251,Customers!$A$5:$J$504,4,FALSE))</x:f>
      </x:c>
      <x:c r="E251" s="9"/>
      <x:c r="F251" s="43"/>
      <x:c r="G251" s="9"/>
      <x:c r="H251" s="47" t="str">
        <x:f>IF(A251="","",SUMIFS(Sales!$K$5:$K$504,Sales!$I$5:$I$504,A251,Sales!$L$5:$L$504,"Approved"))</x:f>
      </x:c>
      <x:c r="I251" s="47" t="str">
        <x:f>IF(A251="","",SUMIFS(Payouts!$G$5:$G$504,Payouts!$B$5:$B$504,A251,Payouts!$H$5:$H$504,"Paid"))</x:f>
      </x:c>
      <x:c r="J251" s="47" t="str">
        <x:f>IF(A251="","",H251-I251)</x:f>
      </x:c>
      <x:c r="K251" s="9"/>
      <x:c r="L251" s="9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9"/>
      <x:c r="B252" s="9"/>
      <x:c r="C252" s="6" t="str">
        <x:f>IF(B252="","",VLOOKUP(B252,Customers!$A$5:$J$504,3,FALSE))</x:f>
      </x:c>
      <x:c r="D252" s="6" t="str">
        <x:f>IF(B252="","",VLOOKUP(B252,Customers!$A$5:$J$504,4,FALSE))</x:f>
      </x:c>
      <x:c r="E252" s="9"/>
      <x:c r="F252" s="43"/>
      <x:c r="G252" s="9"/>
      <x:c r="H252" s="47" t="str">
        <x:f>IF(A252="","",SUMIFS(Sales!$K$5:$K$504,Sales!$I$5:$I$504,A252,Sales!$L$5:$L$504,"Approved"))</x:f>
      </x:c>
      <x:c r="I252" s="47" t="str">
        <x:f>IF(A252="","",SUMIFS(Payouts!$G$5:$G$504,Payouts!$B$5:$B$504,A252,Payouts!$H$5:$H$504,"Paid"))</x:f>
      </x:c>
      <x:c r="J252" s="47" t="str">
        <x:f>IF(A252="","",H252-I252)</x:f>
      </x:c>
      <x:c r="K252" s="9"/>
      <x:c r="L252" s="9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9"/>
      <x:c r="B253" s="9"/>
      <x:c r="C253" s="6" t="str">
        <x:f>IF(B253="","",VLOOKUP(B253,Customers!$A$5:$J$504,3,FALSE))</x:f>
      </x:c>
      <x:c r="D253" s="6" t="str">
        <x:f>IF(B253="","",VLOOKUP(B253,Customers!$A$5:$J$504,4,FALSE))</x:f>
      </x:c>
      <x:c r="E253" s="9"/>
      <x:c r="F253" s="43"/>
      <x:c r="G253" s="9"/>
      <x:c r="H253" s="47" t="str">
        <x:f>IF(A253="","",SUMIFS(Sales!$K$5:$K$504,Sales!$I$5:$I$504,A253,Sales!$L$5:$L$504,"Approved"))</x:f>
      </x:c>
      <x:c r="I253" s="47" t="str">
        <x:f>IF(A253="","",SUMIFS(Payouts!$G$5:$G$504,Payouts!$B$5:$B$504,A253,Payouts!$H$5:$H$504,"Paid"))</x:f>
      </x:c>
      <x:c r="J253" s="47" t="str">
        <x:f>IF(A253="","",H253-I253)</x:f>
      </x:c>
      <x:c r="K253" s="9"/>
      <x:c r="L253" s="9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9"/>
      <x:c r="B254" s="9"/>
      <x:c r="C254" s="6" t="str">
        <x:f>IF(B254="","",VLOOKUP(B254,Customers!$A$5:$J$504,3,FALSE))</x:f>
      </x:c>
      <x:c r="D254" s="6" t="str">
        <x:f>IF(B254="","",VLOOKUP(B254,Customers!$A$5:$J$504,4,FALSE))</x:f>
      </x:c>
      <x:c r="E254" s="9"/>
      <x:c r="F254" s="43"/>
      <x:c r="G254" s="9"/>
      <x:c r="H254" s="47" t="str">
        <x:f>IF(A254="","",SUMIFS(Sales!$K$5:$K$504,Sales!$I$5:$I$504,A254,Sales!$L$5:$L$504,"Approved"))</x:f>
      </x:c>
      <x:c r="I254" s="47" t="str">
        <x:f>IF(A254="","",SUMIFS(Payouts!$G$5:$G$504,Payouts!$B$5:$B$504,A254,Payouts!$H$5:$H$504,"Paid"))</x:f>
      </x:c>
      <x:c r="J254" s="47" t="str">
        <x:f>IF(A254="","",H254-I254)</x:f>
      </x:c>
      <x:c r="K254" s="9"/>
      <x:c r="L254" s="9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9"/>
      <x:c r="B255" s="9"/>
      <x:c r="C255" s="6" t="str">
        <x:f>IF(B255="","",VLOOKUP(B255,Customers!$A$5:$J$504,3,FALSE))</x:f>
      </x:c>
      <x:c r="D255" s="6" t="str">
        <x:f>IF(B255="","",VLOOKUP(B255,Customers!$A$5:$J$504,4,FALSE))</x:f>
      </x:c>
      <x:c r="E255" s="9"/>
      <x:c r="F255" s="43"/>
      <x:c r="G255" s="9"/>
      <x:c r="H255" s="47" t="str">
        <x:f>IF(A255="","",SUMIFS(Sales!$K$5:$K$504,Sales!$I$5:$I$504,A255,Sales!$L$5:$L$504,"Approved"))</x:f>
      </x:c>
      <x:c r="I255" s="47" t="str">
        <x:f>IF(A255="","",SUMIFS(Payouts!$G$5:$G$504,Payouts!$B$5:$B$504,A255,Payouts!$H$5:$H$504,"Paid"))</x:f>
      </x:c>
      <x:c r="J255" s="47" t="str">
        <x:f>IF(A255="","",H255-I255)</x:f>
      </x:c>
      <x:c r="K255" s="9"/>
      <x:c r="L255" s="9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9"/>
      <x:c r="B256" s="9"/>
      <x:c r="C256" s="6" t="str">
        <x:f>IF(B256="","",VLOOKUP(B256,Customers!$A$5:$J$504,3,FALSE))</x:f>
      </x:c>
      <x:c r="D256" s="6" t="str">
        <x:f>IF(B256="","",VLOOKUP(B256,Customers!$A$5:$J$504,4,FALSE))</x:f>
      </x:c>
      <x:c r="E256" s="9"/>
      <x:c r="F256" s="43"/>
      <x:c r="G256" s="9"/>
      <x:c r="H256" s="47" t="str">
        <x:f>IF(A256="","",SUMIFS(Sales!$K$5:$K$504,Sales!$I$5:$I$504,A256,Sales!$L$5:$L$504,"Approved"))</x:f>
      </x:c>
      <x:c r="I256" s="47" t="str">
        <x:f>IF(A256="","",SUMIFS(Payouts!$G$5:$G$504,Payouts!$B$5:$B$504,A256,Payouts!$H$5:$H$504,"Paid"))</x:f>
      </x:c>
      <x:c r="J256" s="47" t="str">
        <x:f>IF(A256="","",H256-I256)</x:f>
      </x:c>
      <x:c r="K256" s="9"/>
      <x:c r="L256" s="9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9"/>
      <x:c r="B257" s="9"/>
      <x:c r="C257" s="6" t="str">
        <x:f>IF(B257="","",VLOOKUP(B257,Customers!$A$5:$J$504,3,FALSE))</x:f>
      </x:c>
      <x:c r="D257" s="6" t="str">
        <x:f>IF(B257="","",VLOOKUP(B257,Customers!$A$5:$J$504,4,FALSE))</x:f>
      </x:c>
      <x:c r="E257" s="9"/>
      <x:c r="F257" s="43"/>
      <x:c r="G257" s="9"/>
      <x:c r="H257" s="47" t="str">
        <x:f>IF(A257="","",SUMIFS(Sales!$K$5:$K$504,Sales!$I$5:$I$504,A257,Sales!$L$5:$L$504,"Approved"))</x:f>
      </x:c>
      <x:c r="I257" s="47" t="str">
        <x:f>IF(A257="","",SUMIFS(Payouts!$G$5:$G$504,Payouts!$B$5:$B$504,A257,Payouts!$H$5:$H$504,"Paid"))</x:f>
      </x:c>
      <x:c r="J257" s="47" t="str">
        <x:f>IF(A257="","",H257-I257)</x:f>
      </x:c>
      <x:c r="K257" s="9"/>
      <x:c r="L257" s="9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9"/>
      <x:c r="B258" s="9"/>
      <x:c r="C258" s="6" t="str">
        <x:f>IF(B258="","",VLOOKUP(B258,Customers!$A$5:$J$504,3,FALSE))</x:f>
      </x:c>
      <x:c r="D258" s="6" t="str">
        <x:f>IF(B258="","",VLOOKUP(B258,Customers!$A$5:$J$504,4,FALSE))</x:f>
      </x:c>
      <x:c r="E258" s="9"/>
      <x:c r="F258" s="43"/>
      <x:c r="G258" s="9"/>
      <x:c r="H258" s="47" t="str">
        <x:f>IF(A258="","",SUMIFS(Sales!$K$5:$K$504,Sales!$I$5:$I$504,A258,Sales!$L$5:$L$504,"Approved"))</x:f>
      </x:c>
      <x:c r="I258" s="47" t="str">
        <x:f>IF(A258="","",SUMIFS(Payouts!$G$5:$G$504,Payouts!$B$5:$B$504,A258,Payouts!$H$5:$H$504,"Paid"))</x:f>
      </x:c>
      <x:c r="J258" s="47" t="str">
        <x:f>IF(A258="","",H258-I258)</x:f>
      </x:c>
      <x:c r="K258" s="9"/>
      <x:c r="L258" s="9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9"/>
      <x:c r="B259" s="9"/>
      <x:c r="C259" s="6" t="str">
        <x:f>IF(B259="","",VLOOKUP(B259,Customers!$A$5:$J$504,3,FALSE))</x:f>
      </x:c>
      <x:c r="D259" s="6" t="str">
        <x:f>IF(B259="","",VLOOKUP(B259,Customers!$A$5:$J$504,4,FALSE))</x:f>
      </x:c>
      <x:c r="E259" s="9"/>
      <x:c r="F259" s="43"/>
      <x:c r="G259" s="9"/>
      <x:c r="H259" s="47" t="str">
        <x:f>IF(A259="","",SUMIFS(Sales!$K$5:$K$504,Sales!$I$5:$I$504,A259,Sales!$L$5:$L$504,"Approved"))</x:f>
      </x:c>
      <x:c r="I259" s="47" t="str">
        <x:f>IF(A259="","",SUMIFS(Payouts!$G$5:$G$504,Payouts!$B$5:$B$504,A259,Payouts!$H$5:$H$504,"Paid"))</x:f>
      </x:c>
      <x:c r="J259" s="47" t="str">
        <x:f>IF(A259="","",H259-I259)</x:f>
      </x:c>
      <x:c r="K259" s="9"/>
      <x:c r="L259" s="9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9"/>
      <x:c r="B260" s="9"/>
      <x:c r="C260" s="6" t="str">
        <x:f>IF(B260="","",VLOOKUP(B260,Customers!$A$5:$J$504,3,FALSE))</x:f>
      </x:c>
      <x:c r="D260" s="6" t="str">
        <x:f>IF(B260="","",VLOOKUP(B260,Customers!$A$5:$J$504,4,FALSE))</x:f>
      </x:c>
      <x:c r="E260" s="9"/>
      <x:c r="F260" s="43"/>
      <x:c r="G260" s="9"/>
      <x:c r="H260" s="47" t="str">
        <x:f>IF(A260="","",SUMIFS(Sales!$K$5:$K$504,Sales!$I$5:$I$504,A260,Sales!$L$5:$L$504,"Approved"))</x:f>
      </x:c>
      <x:c r="I260" s="47" t="str">
        <x:f>IF(A260="","",SUMIFS(Payouts!$G$5:$G$504,Payouts!$B$5:$B$504,A260,Payouts!$H$5:$H$504,"Paid"))</x:f>
      </x:c>
      <x:c r="J260" s="47" t="str">
        <x:f>IF(A260="","",H260-I260)</x:f>
      </x:c>
      <x:c r="K260" s="9"/>
      <x:c r="L260" s="9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9"/>
      <x:c r="B261" s="9"/>
      <x:c r="C261" s="6" t="str">
        <x:f>IF(B261="","",VLOOKUP(B261,Customers!$A$5:$J$504,3,FALSE))</x:f>
      </x:c>
      <x:c r="D261" s="6" t="str">
        <x:f>IF(B261="","",VLOOKUP(B261,Customers!$A$5:$J$504,4,FALSE))</x:f>
      </x:c>
      <x:c r="E261" s="9"/>
      <x:c r="F261" s="43"/>
      <x:c r="G261" s="9"/>
      <x:c r="H261" s="47" t="str">
        <x:f>IF(A261="","",SUMIFS(Sales!$K$5:$K$504,Sales!$I$5:$I$504,A261,Sales!$L$5:$L$504,"Approved"))</x:f>
      </x:c>
      <x:c r="I261" s="47" t="str">
        <x:f>IF(A261="","",SUMIFS(Payouts!$G$5:$G$504,Payouts!$B$5:$B$504,A261,Payouts!$H$5:$H$504,"Paid"))</x:f>
      </x:c>
      <x:c r="J261" s="47" t="str">
        <x:f>IF(A261="","",H261-I261)</x:f>
      </x:c>
      <x:c r="K261" s="9"/>
      <x:c r="L261" s="9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9"/>
      <x:c r="B262" s="9"/>
      <x:c r="C262" s="6" t="str">
        <x:f>IF(B262="","",VLOOKUP(B262,Customers!$A$5:$J$504,3,FALSE))</x:f>
      </x:c>
      <x:c r="D262" s="6" t="str">
        <x:f>IF(B262="","",VLOOKUP(B262,Customers!$A$5:$J$504,4,FALSE))</x:f>
      </x:c>
      <x:c r="E262" s="9"/>
      <x:c r="F262" s="43"/>
      <x:c r="G262" s="9"/>
      <x:c r="H262" s="47" t="str">
        <x:f>IF(A262="","",SUMIFS(Sales!$K$5:$K$504,Sales!$I$5:$I$504,A262,Sales!$L$5:$L$504,"Approved"))</x:f>
      </x:c>
      <x:c r="I262" s="47" t="str">
        <x:f>IF(A262="","",SUMIFS(Payouts!$G$5:$G$504,Payouts!$B$5:$B$504,A262,Payouts!$H$5:$H$504,"Paid"))</x:f>
      </x:c>
      <x:c r="J262" s="47" t="str">
        <x:f>IF(A262="","",H262-I262)</x:f>
      </x:c>
      <x:c r="K262" s="9"/>
      <x:c r="L262" s="9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9"/>
      <x:c r="B263" s="9"/>
      <x:c r="C263" s="6" t="str">
        <x:f>IF(B263="","",VLOOKUP(B263,Customers!$A$5:$J$504,3,FALSE))</x:f>
      </x:c>
      <x:c r="D263" s="6" t="str">
        <x:f>IF(B263="","",VLOOKUP(B263,Customers!$A$5:$J$504,4,FALSE))</x:f>
      </x:c>
      <x:c r="E263" s="9"/>
      <x:c r="F263" s="43"/>
      <x:c r="G263" s="9"/>
      <x:c r="H263" s="47" t="str">
        <x:f>IF(A263="","",SUMIFS(Sales!$K$5:$K$504,Sales!$I$5:$I$504,A263,Sales!$L$5:$L$504,"Approved"))</x:f>
      </x:c>
      <x:c r="I263" s="47" t="str">
        <x:f>IF(A263="","",SUMIFS(Payouts!$G$5:$G$504,Payouts!$B$5:$B$504,A263,Payouts!$H$5:$H$504,"Paid"))</x:f>
      </x:c>
      <x:c r="J263" s="47" t="str">
        <x:f>IF(A263="","",H263-I263)</x:f>
      </x:c>
      <x:c r="K263" s="9"/>
      <x:c r="L263" s="9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9"/>
      <x:c r="B264" s="9"/>
      <x:c r="C264" s="6" t="str">
        <x:f>IF(B264="","",VLOOKUP(B264,Customers!$A$5:$J$504,3,FALSE))</x:f>
      </x:c>
      <x:c r="D264" s="6" t="str">
        <x:f>IF(B264="","",VLOOKUP(B264,Customers!$A$5:$J$504,4,FALSE))</x:f>
      </x:c>
      <x:c r="E264" s="9"/>
      <x:c r="F264" s="43"/>
      <x:c r="G264" s="9"/>
      <x:c r="H264" s="47" t="str">
        <x:f>IF(A264="","",SUMIFS(Sales!$K$5:$K$504,Sales!$I$5:$I$504,A264,Sales!$L$5:$L$504,"Approved"))</x:f>
      </x:c>
      <x:c r="I264" s="47" t="str">
        <x:f>IF(A264="","",SUMIFS(Payouts!$G$5:$G$504,Payouts!$B$5:$B$504,A264,Payouts!$H$5:$H$504,"Paid"))</x:f>
      </x:c>
      <x:c r="J264" s="47" t="str">
        <x:f>IF(A264="","",H264-I264)</x:f>
      </x:c>
      <x:c r="K264" s="9"/>
      <x:c r="L264" s="9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9"/>
      <x:c r="B265" s="9"/>
      <x:c r="C265" s="6" t="str">
        <x:f>IF(B265="","",VLOOKUP(B265,Customers!$A$5:$J$504,3,FALSE))</x:f>
      </x:c>
      <x:c r="D265" s="6" t="str">
        <x:f>IF(B265="","",VLOOKUP(B265,Customers!$A$5:$J$504,4,FALSE))</x:f>
      </x:c>
      <x:c r="E265" s="9"/>
      <x:c r="F265" s="43"/>
      <x:c r="G265" s="9"/>
      <x:c r="H265" s="47" t="str">
        <x:f>IF(A265="","",SUMIFS(Sales!$K$5:$K$504,Sales!$I$5:$I$504,A265,Sales!$L$5:$L$504,"Approved"))</x:f>
      </x:c>
      <x:c r="I265" s="47" t="str">
        <x:f>IF(A265="","",SUMIFS(Payouts!$G$5:$G$504,Payouts!$B$5:$B$504,A265,Payouts!$H$5:$H$504,"Paid"))</x:f>
      </x:c>
      <x:c r="J265" s="47" t="str">
        <x:f>IF(A265="","",H265-I265)</x:f>
      </x:c>
      <x:c r="K265" s="9"/>
      <x:c r="L265" s="9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9"/>
      <x:c r="B266" s="9"/>
      <x:c r="C266" s="6" t="str">
        <x:f>IF(B266="","",VLOOKUP(B266,Customers!$A$5:$J$504,3,FALSE))</x:f>
      </x:c>
      <x:c r="D266" s="6" t="str">
        <x:f>IF(B266="","",VLOOKUP(B266,Customers!$A$5:$J$504,4,FALSE))</x:f>
      </x:c>
      <x:c r="E266" s="9"/>
      <x:c r="F266" s="43"/>
      <x:c r="G266" s="9"/>
      <x:c r="H266" s="47" t="str">
        <x:f>IF(A266="","",SUMIFS(Sales!$K$5:$K$504,Sales!$I$5:$I$504,A266,Sales!$L$5:$L$504,"Approved"))</x:f>
      </x:c>
      <x:c r="I266" s="47" t="str">
        <x:f>IF(A266="","",SUMIFS(Payouts!$G$5:$G$504,Payouts!$B$5:$B$504,A266,Payouts!$H$5:$H$504,"Paid"))</x:f>
      </x:c>
      <x:c r="J266" s="47" t="str">
        <x:f>IF(A266="","",H266-I266)</x:f>
      </x:c>
      <x:c r="K266" s="9"/>
      <x:c r="L266" s="9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9"/>
      <x:c r="B267" s="9"/>
      <x:c r="C267" s="6" t="str">
        <x:f>IF(B267="","",VLOOKUP(B267,Customers!$A$5:$J$504,3,FALSE))</x:f>
      </x:c>
      <x:c r="D267" s="6" t="str">
        <x:f>IF(B267="","",VLOOKUP(B267,Customers!$A$5:$J$504,4,FALSE))</x:f>
      </x:c>
      <x:c r="E267" s="9"/>
      <x:c r="F267" s="43"/>
      <x:c r="G267" s="9"/>
      <x:c r="H267" s="47" t="str">
        <x:f>IF(A267="","",SUMIFS(Sales!$K$5:$K$504,Sales!$I$5:$I$504,A267,Sales!$L$5:$L$504,"Approved"))</x:f>
      </x:c>
      <x:c r="I267" s="47" t="str">
        <x:f>IF(A267="","",SUMIFS(Payouts!$G$5:$G$504,Payouts!$B$5:$B$504,A267,Payouts!$H$5:$H$504,"Paid"))</x:f>
      </x:c>
      <x:c r="J267" s="47" t="str">
        <x:f>IF(A267="","",H267-I267)</x:f>
      </x:c>
      <x:c r="K267" s="9"/>
      <x:c r="L267" s="9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9"/>
      <x:c r="B268" s="9"/>
      <x:c r="C268" s="6" t="str">
        <x:f>IF(B268="","",VLOOKUP(B268,Customers!$A$5:$J$504,3,FALSE))</x:f>
      </x:c>
      <x:c r="D268" s="6" t="str">
        <x:f>IF(B268="","",VLOOKUP(B268,Customers!$A$5:$J$504,4,FALSE))</x:f>
      </x:c>
      <x:c r="E268" s="9"/>
      <x:c r="F268" s="43"/>
      <x:c r="G268" s="9"/>
      <x:c r="H268" s="47" t="str">
        <x:f>IF(A268="","",SUMIFS(Sales!$K$5:$K$504,Sales!$I$5:$I$504,A268,Sales!$L$5:$L$504,"Approved"))</x:f>
      </x:c>
      <x:c r="I268" s="47" t="str">
        <x:f>IF(A268="","",SUMIFS(Payouts!$G$5:$G$504,Payouts!$B$5:$B$504,A268,Payouts!$H$5:$H$504,"Paid"))</x:f>
      </x:c>
      <x:c r="J268" s="47" t="str">
        <x:f>IF(A268="","",H268-I268)</x:f>
      </x:c>
      <x:c r="K268" s="9"/>
      <x:c r="L268" s="9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9"/>
      <x:c r="B269" s="9"/>
      <x:c r="C269" s="6" t="str">
        <x:f>IF(B269="","",VLOOKUP(B269,Customers!$A$5:$J$504,3,FALSE))</x:f>
      </x:c>
      <x:c r="D269" s="6" t="str">
        <x:f>IF(B269="","",VLOOKUP(B269,Customers!$A$5:$J$504,4,FALSE))</x:f>
      </x:c>
      <x:c r="E269" s="9"/>
      <x:c r="F269" s="43"/>
      <x:c r="G269" s="9"/>
      <x:c r="H269" s="47" t="str">
        <x:f>IF(A269="","",SUMIFS(Sales!$K$5:$K$504,Sales!$I$5:$I$504,A269,Sales!$L$5:$L$504,"Approved"))</x:f>
      </x:c>
      <x:c r="I269" s="47" t="str">
        <x:f>IF(A269="","",SUMIFS(Payouts!$G$5:$G$504,Payouts!$B$5:$B$504,A269,Payouts!$H$5:$H$504,"Paid"))</x:f>
      </x:c>
      <x:c r="J269" s="47" t="str">
        <x:f>IF(A269="","",H269-I269)</x:f>
      </x:c>
      <x:c r="K269" s="9"/>
      <x:c r="L269" s="9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9"/>
      <x:c r="B270" s="9"/>
      <x:c r="C270" s="6" t="str">
        <x:f>IF(B270="","",VLOOKUP(B270,Customers!$A$5:$J$504,3,FALSE))</x:f>
      </x:c>
      <x:c r="D270" s="6" t="str">
        <x:f>IF(B270="","",VLOOKUP(B270,Customers!$A$5:$J$504,4,FALSE))</x:f>
      </x:c>
      <x:c r="E270" s="9"/>
      <x:c r="F270" s="43"/>
      <x:c r="G270" s="9"/>
      <x:c r="H270" s="47" t="str">
        <x:f>IF(A270="","",SUMIFS(Sales!$K$5:$K$504,Sales!$I$5:$I$504,A270,Sales!$L$5:$L$504,"Approved"))</x:f>
      </x:c>
      <x:c r="I270" s="47" t="str">
        <x:f>IF(A270="","",SUMIFS(Payouts!$G$5:$G$504,Payouts!$B$5:$B$504,A270,Payouts!$H$5:$H$504,"Paid"))</x:f>
      </x:c>
      <x:c r="J270" s="47" t="str">
        <x:f>IF(A270="","",H270-I270)</x:f>
      </x:c>
      <x:c r="K270" s="9"/>
      <x:c r="L270" s="9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9"/>
      <x:c r="B271" s="9"/>
      <x:c r="C271" s="6" t="str">
        <x:f>IF(B271="","",VLOOKUP(B271,Customers!$A$5:$J$504,3,FALSE))</x:f>
      </x:c>
      <x:c r="D271" s="6" t="str">
        <x:f>IF(B271="","",VLOOKUP(B271,Customers!$A$5:$J$504,4,FALSE))</x:f>
      </x:c>
      <x:c r="E271" s="9"/>
      <x:c r="F271" s="43"/>
      <x:c r="G271" s="9"/>
      <x:c r="H271" s="47" t="str">
        <x:f>IF(A271="","",SUMIFS(Sales!$K$5:$K$504,Sales!$I$5:$I$504,A271,Sales!$L$5:$L$504,"Approved"))</x:f>
      </x:c>
      <x:c r="I271" s="47" t="str">
        <x:f>IF(A271="","",SUMIFS(Payouts!$G$5:$G$504,Payouts!$B$5:$B$504,A271,Payouts!$H$5:$H$504,"Paid"))</x:f>
      </x:c>
      <x:c r="J271" s="47" t="str">
        <x:f>IF(A271="","",H271-I271)</x:f>
      </x:c>
      <x:c r="K271" s="9"/>
      <x:c r="L271" s="9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9"/>
      <x:c r="B272" s="9"/>
      <x:c r="C272" s="6" t="str">
        <x:f>IF(B272="","",VLOOKUP(B272,Customers!$A$5:$J$504,3,FALSE))</x:f>
      </x:c>
      <x:c r="D272" s="6" t="str">
        <x:f>IF(B272="","",VLOOKUP(B272,Customers!$A$5:$J$504,4,FALSE))</x:f>
      </x:c>
      <x:c r="E272" s="9"/>
      <x:c r="F272" s="43"/>
      <x:c r="G272" s="9"/>
      <x:c r="H272" s="47" t="str">
        <x:f>IF(A272="","",SUMIFS(Sales!$K$5:$K$504,Sales!$I$5:$I$504,A272,Sales!$L$5:$L$504,"Approved"))</x:f>
      </x:c>
      <x:c r="I272" s="47" t="str">
        <x:f>IF(A272="","",SUMIFS(Payouts!$G$5:$G$504,Payouts!$B$5:$B$504,A272,Payouts!$H$5:$H$504,"Paid"))</x:f>
      </x:c>
      <x:c r="J272" s="47" t="str">
        <x:f>IF(A272="","",H272-I272)</x:f>
      </x:c>
      <x:c r="K272" s="9"/>
      <x:c r="L272" s="9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9"/>
      <x:c r="B273" s="9"/>
      <x:c r="C273" s="6" t="str">
        <x:f>IF(B273="","",VLOOKUP(B273,Customers!$A$5:$J$504,3,FALSE))</x:f>
      </x:c>
      <x:c r="D273" s="6" t="str">
        <x:f>IF(B273="","",VLOOKUP(B273,Customers!$A$5:$J$504,4,FALSE))</x:f>
      </x:c>
      <x:c r="E273" s="9"/>
      <x:c r="F273" s="43"/>
      <x:c r="G273" s="9"/>
      <x:c r="H273" s="47" t="str">
        <x:f>IF(A273="","",SUMIFS(Sales!$K$5:$K$504,Sales!$I$5:$I$504,A273,Sales!$L$5:$L$504,"Approved"))</x:f>
      </x:c>
      <x:c r="I273" s="47" t="str">
        <x:f>IF(A273="","",SUMIFS(Payouts!$G$5:$G$504,Payouts!$B$5:$B$504,A273,Payouts!$H$5:$H$504,"Paid"))</x:f>
      </x:c>
      <x:c r="J273" s="47" t="str">
        <x:f>IF(A273="","",H273-I273)</x:f>
      </x:c>
      <x:c r="K273" s="9"/>
      <x:c r="L273" s="9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9"/>
      <x:c r="B274" s="9"/>
      <x:c r="C274" s="6" t="str">
        <x:f>IF(B274="","",VLOOKUP(B274,Customers!$A$5:$J$504,3,FALSE))</x:f>
      </x:c>
      <x:c r="D274" s="6" t="str">
        <x:f>IF(B274="","",VLOOKUP(B274,Customers!$A$5:$J$504,4,FALSE))</x:f>
      </x:c>
      <x:c r="E274" s="9"/>
      <x:c r="F274" s="43"/>
      <x:c r="G274" s="9"/>
      <x:c r="H274" s="47" t="str">
        <x:f>IF(A274="","",SUMIFS(Sales!$K$5:$K$504,Sales!$I$5:$I$504,A274,Sales!$L$5:$L$504,"Approved"))</x:f>
      </x:c>
      <x:c r="I274" s="47" t="str">
        <x:f>IF(A274="","",SUMIFS(Payouts!$G$5:$G$504,Payouts!$B$5:$B$504,A274,Payouts!$H$5:$H$504,"Paid"))</x:f>
      </x:c>
      <x:c r="J274" s="47" t="str">
        <x:f>IF(A274="","",H274-I274)</x:f>
      </x:c>
      <x:c r="K274" s="9"/>
      <x:c r="L274" s="9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9"/>
      <x:c r="B275" s="9"/>
      <x:c r="C275" s="6" t="str">
        <x:f>IF(B275="","",VLOOKUP(B275,Customers!$A$5:$J$504,3,FALSE))</x:f>
      </x:c>
      <x:c r="D275" s="6" t="str">
        <x:f>IF(B275="","",VLOOKUP(B275,Customers!$A$5:$J$504,4,FALSE))</x:f>
      </x:c>
      <x:c r="E275" s="9"/>
      <x:c r="F275" s="43"/>
      <x:c r="G275" s="9"/>
      <x:c r="H275" s="47" t="str">
        <x:f>IF(A275="","",SUMIFS(Sales!$K$5:$K$504,Sales!$I$5:$I$504,A275,Sales!$L$5:$L$504,"Approved"))</x:f>
      </x:c>
      <x:c r="I275" s="47" t="str">
        <x:f>IF(A275="","",SUMIFS(Payouts!$G$5:$G$504,Payouts!$B$5:$B$504,A275,Payouts!$H$5:$H$504,"Paid"))</x:f>
      </x:c>
      <x:c r="J275" s="47" t="str">
        <x:f>IF(A275="","",H275-I275)</x:f>
      </x:c>
      <x:c r="K275" s="9"/>
      <x:c r="L275" s="9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9"/>
      <x:c r="B276" s="9"/>
      <x:c r="C276" s="6" t="str">
        <x:f>IF(B276="","",VLOOKUP(B276,Customers!$A$5:$J$504,3,FALSE))</x:f>
      </x:c>
      <x:c r="D276" s="6" t="str">
        <x:f>IF(B276="","",VLOOKUP(B276,Customers!$A$5:$J$504,4,FALSE))</x:f>
      </x:c>
      <x:c r="E276" s="9"/>
      <x:c r="F276" s="43"/>
      <x:c r="G276" s="9"/>
      <x:c r="H276" s="47" t="str">
        <x:f>IF(A276="","",SUMIFS(Sales!$K$5:$K$504,Sales!$I$5:$I$504,A276,Sales!$L$5:$L$504,"Approved"))</x:f>
      </x:c>
      <x:c r="I276" s="47" t="str">
        <x:f>IF(A276="","",SUMIFS(Payouts!$G$5:$G$504,Payouts!$B$5:$B$504,A276,Payouts!$H$5:$H$504,"Paid"))</x:f>
      </x:c>
      <x:c r="J276" s="47" t="str">
        <x:f>IF(A276="","",H276-I276)</x:f>
      </x:c>
      <x:c r="K276" s="9"/>
      <x:c r="L276" s="9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9"/>
      <x:c r="B277" s="9"/>
      <x:c r="C277" s="6" t="str">
        <x:f>IF(B277="","",VLOOKUP(B277,Customers!$A$5:$J$504,3,FALSE))</x:f>
      </x:c>
      <x:c r="D277" s="6" t="str">
        <x:f>IF(B277="","",VLOOKUP(B277,Customers!$A$5:$J$504,4,FALSE))</x:f>
      </x:c>
      <x:c r="E277" s="9"/>
      <x:c r="F277" s="43"/>
      <x:c r="G277" s="9"/>
      <x:c r="H277" s="47" t="str">
        <x:f>IF(A277="","",SUMIFS(Sales!$K$5:$K$504,Sales!$I$5:$I$504,A277,Sales!$L$5:$L$504,"Approved"))</x:f>
      </x:c>
      <x:c r="I277" s="47" t="str">
        <x:f>IF(A277="","",SUMIFS(Payouts!$G$5:$G$504,Payouts!$B$5:$B$504,A277,Payouts!$H$5:$H$504,"Paid"))</x:f>
      </x:c>
      <x:c r="J277" s="47" t="str">
        <x:f>IF(A277="","",H277-I277)</x:f>
      </x:c>
      <x:c r="K277" s="9"/>
      <x:c r="L277" s="9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9"/>
      <x:c r="B278" s="9"/>
      <x:c r="C278" s="6" t="str">
        <x:f>IF(B278="","",VLOOKUP(B278,Customers!$A$5:$J$504,3,FALSE))</x:f>
      </x:c>
      <x:c r="D278" s="6" t="str">
        <x:f>IF(B278="","",VLOOKUP(B278,Customers!$A$5:$J$504,4,FALSE))</x:f>
      </x:c>
      <x:c r="E278" s="9"/>
      <x:c r="F278" s="43"/>
      <x:c r="G278" s="9"/>
      <x:c r="H278" s="47" t="str">
        <x:f>IF(A278="","",SUMIFS(Sales!$K$5:$K$504,Sales!$I$5:$I$504,A278,Sales!$L$5:$L$504,"Approved"))</x:f>
      </x:c>
      <x:c r="I278" s="47" t="str">
        <x:f>IF(A278="","",SUMIFS(Payouts!$G$5:$G$504,Payouts!$B$5:$B$504,A278,Payouts!$H$5:$H$504,"Paid"))</x:f>
      </x:c>
      <x:c r="J278" s="47" t="str">
        <x:f>IF(A278="","",H278-I278)</x:f>
      </x:c>
      <x:c r="K278" s="9"/>
      <x:c r="L278" s="9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9"/>
      <x:c r="B279" s="9"/>
      <x:c r="C279" s="6" t="str">
        <x:f>IF(B279="","",VLOOKUP(B279,Customers!$A$5:$J$504,3,FALSE))</x:f>
      </x:c>
      <x:c r="D279" s="6" t="str">
        <x:f>IF(B279="","",VLOOKUP(B279,Customers!$A$5:$J$504,4,FALSE))</x:f>
      </x:c>
      <x:c r="E279" s="9"/>
      <x:c r="F279" s="43"/>
      <x:c r="G279" s="9"/>
      <x:c r="H279" s="47" t="str">
        <x:f>IF(A279="","",SUMIFS(Sales!$K$5:$K$504,Sales!$I$5:$I$504,A279,Sales!$L$5:$L$504,"Approved"))</x:f>
      </x:c>
      <x:c r="I279" s="47" t="str">
        <x:f>IF(A279="","",SUMIFS(Payouts!$G$5:$G$504,Payouts!$B$5:$B$504,A279,Payouts!$H$5:$H$504,"Paid"))</x:f>
      </x:c>
      <x:c r="J279" s="47" t="str">
        <x:f>IF(A279="","",H279-I279)</x:f>
      </x:c>
      <x:c r="K279" s="9"/>
      <x:c r="L279" s="9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9"/>
      <x:c r="B280" s="9"/>
      <x:c r="C280" s="6" t="str">
        <x:f>IF(B280="","",VLOOKUP(B280,Customers!$A$5:$J$504,3,FALSE))</x:f>
      </x:c>
      <x:c r="D280" s="6" t="str">
        <x:f>IF(B280="","",VLOOKUP(B280,Customers!$A$5:$J$504,4,FALSE))</x:f>
      </x:c>
      <x:c r="E280" s="9"/>
      <x:c r="F280" s="43"/>
      <x:c r="G280" s="9"/>
      <x:c r="H280" s="47" t="str">
        <x:f>IF(A280="","",SUMIFS(Sales!$K$5:$K$504,Sales!$I$5:$I$504,A280,Sales!$L$5:$L$504,"Approved"))</x:f>
      </x:c>
      <x:c r="I280" s="47" t="str">
        <x:f>IF(A280="","",SUMIFS(Payouts!$G$5:$G$504,Payouts!$B$5:$B$504,A280,Payouts!$H$5:$H$504,"Paid"))</x:f>
      </x:c>
      <x:c r="J280" s="47" t="str">
        <x:f>IF(A280="","",H280-I280)</x:f>
      </x:c>
      <x:c r="K280" s="9"/>
      <x:c r="L280" s="9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9"/>
      <x:c r="B281" s="9"/>
      <x:c r="C281" s="6" t="str">
        <x:f>IF(B281="","",VLOOKUP(B281,Customers!$A$5:$J$504,3,FALSE))</x:f>
      </x:c>
      <x:c r="D281" s="6" t="str">
        <x:f>IF(B281="","",VLOOKUP(B281,Customers!$A$5:$J$504,4,FALSE))</x:f>
      </x:c>
      <x:c r="E281" s="9"/>
      <x:c r="F281" s="43"/>
      <x:c r="G281" s="9"/>
      <x:c r="H281" s="47" t="str">
        <x:f>IF(A281="","",SUMIFS(Sales!$K$5:$K$504,Sales!$I$5:$I$504,A281,Sales!$L$5:$L$504,"Approved"))</x:f>
      </x:c>
      <x:c r="I281" s="47" t="str">
        <x:f>IF(A281="","",SUMIFS(Payouts!$G$5:$G$504,Payouts!$B$5:$B$504,A281,Payouts!$H$5:$H$504,"Paid"))</x:f>
      </x:c>
      <x:c r="J281" s="47" t="str">
        <x:f>IF(A281="","",H281-I281)</x:f>
      </x:c>
      <x:c r="K281" s="9"/>
      <x:c r="L281" s="9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9"/>
      <x:c r="B282" s="9"/>
      <x:c r="C282" s="6" t="str">
        <x:f>IF(B282="","",VLOOKUP(B282,Customers!$A$5:$J$504,3,FALSE))</x:f>
      </x:c>
      <x:c r="D282" s="6" t="str">
        <x:f>IF(B282="","",VLOOKUP(B282,Customers!$A$5:$J$504,4,FALSE))</x:f>
      </x:c>
      <x:c r="E282" s="9"/>
      <x:c r="F282" s="43"/>
      <x:c r="G282" s="9"/>
      <x:c r="H282" s="47" t="str">
        <x:f>IF(A282="","",SUMIFS(Sales!$K$5:$K$504,Sales!$I$5:$I$504,A282,Sales!$L$5:$L$504,"Approved"))</x:f>
      </x:c>
      <x:c r="I282" s="47" t="str">
        <x:f>IF(A282="","",SUMIFS(Payouts!$G$5:$G$504,Payouts!$B$5:$B$504,A282,Payouts!$H$5:$H$504,"Paid"))</x:f>
      </x:c>
      <x:c r="J282" s="47" t="str">
        <x:f>IF(A282="","",H282-I282)</x:f>
      </x:c>
      <x:c r="K282" s="9"/>
      <x:c r="L282" s="9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9"/>
      <x:c r="B283" s="9"/>
      <x:c r="C283" s="6" t="str">
        <x:f>IF(B283="","",VLOOKUP(B283,Customers!$A$5:$J$504,3,FALSE))</x:f>
      </x:c>
      <x:c r="D283" s="6" t="str">
        <x:f>IF(B283="","",VLOOKUP(B283,Customers!$A$5:$J$504,4,FALSE))</x:f>
      </x:c>
      <x:c r="E283" s="9"/>
      <x:c r="F283" s="43"/>
      <x:c r="G283" s="9"/>
      <x:c r="H283" s="47" t="str">
        <x:f>IF(A283="","",SUMIFS(Sales!$K$5:$K$504,Sales!$I$5:$I$504,A283,Sales!$L$5:$L$504,"Approved"))</x:f>
      </x:c>
      <x:c r="I283" s="47" t="str">
        <x:f>IF(A283="","",SUMIFS(Payouts!$G$5:$G$504,Payouts!$B$5:$B$504,A283,Payouts!$H$5:$H$504,"Paid"))</x:f>
      </x:c>
      <x:c r="J283" s="47" t="str">
        <x:f>IF(A283="","",H283-I283)</x:f>
      </x:c>
      <x:c r="K283" s="9"/>
      <x:c r="L283" s="9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9"/>
      <x:c r="B284" s="9"/>
      <x:c r="C284" s="6" t="str">
        <x:f>IF(B284="","",VLOOKUP(B284,Customers!$A$5:$J$504,3,FALSE))</x:f>
      </x:c>
      <x:c r="D284" s="6" t="str">
        <x:f>IF(B284="","",VLOOKUP(B284,Customers!$A$5:$J$504,4,FALSE))</x:f>
      </x:c>
      <x:c r="E284" s="9"/>
      <x:c r="F284" s="43"/>
      <x:c r="G284" s="9"/>
      <x:c r="H284" s="47" t="str">
        <x:f>IF(A284="","",SUMIFS(Sales!$K$5:$K$504,Sales!$I$5:$I$504,A284,Sales!$L$5:$L$504,"Approved"))</x:f>
      </x:c>
      <x:c r="I284" s="47" t="str">
        <x:f>IF(A284="","",SUMIFS(Payouts!$G$5:$G$504,Payouts!$B$5:$B$504,A284,Payouts!$H$5:$H$504,"Paid"))</x:f>
      </x:c>
      <x:c r="J284" s="47" t="str">
        <x:f>IF(A284="","",H284-I284)</x:f>
      </x:c>
      <x:c r="K284" s="9"/>
      <x:c r="L284" s="9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9"/>
      <x:c r="B285" s="9"/>
      <x:c r="C285" s="6" t="str">
        <x:f>IF(B285="","",VLOOKUP(B285,Customers!$A$5:$J$504,3,FALSE))</x:f>
      </x:c>
      <x:c r="D285" s="6" t="str">
        <x:f>IF(B285="","",VLOOKUP(B285,Customers!$A$5:$J$504,4,FALSE))</x:f>
      </x:c>
      <x:c r="E285" s="9"/>
      <x:c r="F285" s="43"/>
      <x:c r="G285" s="9"/>
      <x:c r="H285" s="47" t="str">
        <x:f>IF(A285="","",SUMIFS(Sales!$K$5:$K$504,Sales!$I$5:$I$504,A285,Sales!$L$5:$L$504,"Approved"))</x:f>
      </x:c>
      <x:c r="I285" s="47" t="str">
        <x:f>IF(A285="","",SUMIFS(Payouts!$G$5:$G$504,Payouts!$B$5:$B$504,A285,Payouts!$H$5:$H$504,"Paid"))</x:f>
      </x:c>
      <x:c r="J285" s="47" t="str">
        <x:f>IF(A285="","",H285-I285)</x:f>
      </x:c>
      <x:c r="K285" s="9"/>
      <x:c r="L285" s="9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9"/>
      <x:c r="B286" s="9"/>
      <x:c r="C286" s="6" t="str">
        <x:f>IF(B286="","",VLOOKUP(B286,Customers!$A$5:$J$504,3,FALSE))</x:f>
      </x:c>
      <x:c r="D286" s="6" t="str">
        <x:f>IF(B286="","",VLOOKUP(B286,Customers!$A$5:$J$504,4,FALSE))</x:f>
      </x:c>
      <x:c r="E286" s="9"/>
      <x:c r="F286" s="43"/>
      <x:c r="G286" s="9"/>
      <x:c r="H286" s="47" t="str">
        <x:f>IF(A286="","",SUMIFS(Sales!$K$5:$K$504,Sales!$I$5:$I$504,A286,Sales!$L$5:$L$504,"Approved"))</x:f>
      </x:c>
      <x:c r="I286" s="47" t="str">
        <x:f>IF(A286="","",SUMIFS(Payouts!$G$5:$G$504,Payouts!$B$5:$B$504,A286,Payouts!$H$5:$H$504,"Paid"))</x:f>
      </x:c>
      <x:c r="J286" s="47" t="str">
        <x:f>IF(A286="","",H286-I286)</x:f>
      </x:c>
      <x:c r="K286" s="9"/>
      <x:c r="L286" s="9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9"/>
      <x:c r="B287" s="9"/>
      <x:c r="C287" s="6" t="str">
        <x:f>IF(B287="","",VLOOKUP(B287,Customers!$A$5:$J$504,3,FALSE))</x:f>
      </x:c>
      <x:c r="D287" s="6" t="str">
        <x:f>IF(B287="","",VLOOKUP(B287,Customers!$A$5:$J$504,4,FALSE))</x:f>
      </x:c>
      <x:c r="E287" s="9"/>
      <x:c r="F287" s="43"/>
      <x:c r="G287" s="9"/>
      <x:c r="H287" s="47" t="str">
        <x:f>IF(A287="","",SUMIFS(Sales!$K$5:$K$504,Sales!$I$5:$I$504,A287,Sales!$L$5:$L$504,"Approved"))</x:f>
      </x:c>
      <x:c r="I287" s="47" t="str">
        <x:f>IF(A287="","",SUMIFS(Payouts!$G$5:$G$504,Payouts!$B$5:$B$504,A287,Payouts!$H$5:$H$504,"Paid"))</x:f>
      </x:c>
      <x:c r="J287" s="47" t="str">
        <x:f>IF(A287="","",H287-I287)</x:f>
      </x:c>
      <x:c r="K287" s="9"/>
      <x:c r="L287" s="9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9"/>
      <x:c r="B288" s="9"/>
      <x:c r="C288" s="6" t="str">
        <x:f>IF(B288="","",VLOOKUP(B288,Customers!$A$5:$J$504,3,FALSE))</x:f>
      </x:c>
      <x:c r="D288" s="6" t="str">
        <x:f>IF(B288="","",VLOOKUP(B288,Customers!$A$5:$J$504,4,FALSE))</x:f>
      </x:c>
      <x:c r="E288" s="9"/>
      <x:c r="F288" s="43"/>
      <x:c r="G288" s="9"/>
      <x:c r="H288" s="47" t="str">
        <x:f>IF(A288="","",SUMIFS(Sales!$K$5:$K$504,Sales!$I$5:$I$504,A288,Sales!$L$5:$L$504,"Approved"))</x:f>
      </x:c>
      <x:c r="I288" s="47" t="str">
        <x:f>IF(A288="","",SUMIFS(Payouts!$G$5:$G$504,Payouts!$B$5:$B$504,A288,Payouts!$H$5:$H$504,"Paid"))</x:f>
      </x:c>
      <x:c r="J288" s="47" t="str">
        <x:f>IF(A288="","",H288-I288)</x:f>
      </x:c>
      <x:c r="K288" s="9"/>
      <x:c r="L288" s="9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9"/>
      <x:c r="B289" s="9"/>
      <x:c r="C289" s="6" t="str">
        <x:f>IF(B289="","",VLOOKUP(B289,Customers!$A$5:$J$504,3,FALSE))</x:f>
      </x:c>
      <x:c r="D289" s="6" t="str">
        <x:f>IF(B289="","",VLOOKUP(B289,Customers!$A$5:$J$504,4,FALSE))</x:f>
      </x:c>
      <x:c r="E289" s="9"/>
      <x:c r="F289" s="43"/>
      <x:c r="G289" s="9"/>
      <x:c r="H289" s="47" t="str">
        <x:f>IF(A289="","",SUMIFS(Sales!$K$5:$K$504,Sales!$I$5:$I$504,A289,Sales!$L$5:$L$504,"Approved"))</x:f>
      </x:c>
      <x:c r="I289" s="47" t="str">
        <x:f>IF(A289="","",SUMIFS(Payouts!$G$5:$G$504,Payouts!$B$5:$B$504,A289,Payouts!$H$5:$H$504,"Paid"))</x:f>
      </x:c>
      <x:c r="J289" s="47" t="str">
        <x:f>IF(A289="","",H289-I289)</x:f>
      </x:c>
      <x:c r="K289" s="9"/>
      <x:c r="L289" s="9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9"/>
      <x:c r="B290" s="9"/>
      <x:c r="C290" s="6" t="str">
        <x:f>IF(B290="","",VLOOKUP(B290,Customers!$A$5:$J$504,3,FALSE))</x:f>
      </x:c>
      <x:c r="D290" s="6" t="str">
        <x:f>IF(B290="","",VLOOKUP(B290,Customers!$A$5:$J$504,4,FALSE))</x:f>
      </x:c>
      <x:c r="E290" s="9"/>
      <x:c r="F290" s="43"/>
      <x:c r="G290" s="9"/>
      <x:c r="H290" s="47" t="str">
        <x:f>IF(A290="","",SUMIFS(Sales!$K$5:$K$504,Sales!$I$5:$I$504,A290,Sales!$L$5:$L$504,"Approved"))</x:f>
      </x:c>
      <x:c r="I290" s="47" t="str">
        <x:f>IF(A290="","",SUMIFS(Payouts!$G$5:$G$504,Payouts!$B$5:$B$504,A290,Payouts!$H$5:$H$504,"Paid"))</x:f>
      </x:c>
      <x:c r="J290" s="47" t="str">
        <x:f>IF(A290="","",H290-I290)</x:f>
      </x:c>
      <x:c r="K290" s="9"/>
      <x:c r="L290" s="9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9"/>
      <x:c r="B291" s="9"/>
      <x:c r="C291" s="6" t="str">
        <x:f>IF(B291="","",VLOOKUP(B291,Customers!$A$5:$J$504,3,FALSE))</x:f>
      </x:c>
      <x:c r="D291" s="6" t="str">
        <x:f>IF(B291="","",VLOOKUP(B291,Customers!$A$5:$J$504,4,FALSE))</x:f>
      </x:c>
      <x:c r="E291" s="9"/>
      <x:c r="F291" s="43"/>
      <x:c r="G291" s="9"/>
      <x:c r="H291" s="47" t="str">
        <x:f>IF(A291="","",SUMIFS(Sales!$K$5:$K$504,Sales!$I$5:$I$504,A291,Sales!$L$5:$L$504,"Approved"))</x:f>
      </x:c>
      <x:c r="I291" s="47" t="str">
        <x:f>IF(A291="","",SUMIFS(Payouts!$G$5:$G$504,Payouts!$B$5:$B$504,A291,Payouts!$H$5:$H$504,"Paid"))</x:f>
      </x:c>
      <x:c r="J291" s="47" t="str">
        <x:f>IF(A291="","",H291-I291)</x:f>
      </x:c>
      <x:c r="K291" s="9"/>
      <x:c r="L291" s="9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9"/>
      <x:c r="B292" s="9"/>
      <x:c r="C292" s="6" t="str">
        <x:f>IF(B292="","",VLOOKUP(B292,Customers!$A$5:$J$504,3,FALSE))</x:f>
      </x:c>
      <x:c r="D292" s="6" t="str">
        <x:f>IF(B292="","",VLOOKUP(B292,Customers!$A$5:$J$504,4,FALSE))</x:f>
      </x:c>
      <x:c r="E292" s="9"/>
      <x:c r="F292" s="43"/>
      <x:c r="G292" s="9"/>
      <x:c r="H292" s="47" t="str">
        <x:f>IF(A292="","",SUMIFS(Sales!$K$5:$K$504,Sales!$I$5:$I$504,A292,Sales!$L$5:$L$504,"Approved"))</x:f>
      </x:c>
      <x:c r="I292" s="47" t="str">
        <x:f>IF(A292="","",SUMIFS(Payouts!$G$5:$G$504,Payouts!$B$5:$B$504,A292,Payouts!$H$5:$H$504,"Paid"))</x:f>
      </x:c>
      <x:c r="J292" s="47" t="str">
        <x:f>IF(A292="","",H292-I292)</x:f>
      </x:c>
      <x:c r="K292" s="9"/>
      <x:c r="L292" s="9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9"/>
      <x:c r="B293" s="9"/>
      <x:c r="C293" s="6" t="str">
        <x:f>IF(B293="","",VLOOKUP(B293,Customers!$A$5:$J$504,3,FALSE))</x:f>
      </x:c>
      <x:c r="D293" s="6" t="str">
        <x:f>IF(B293="","",VLOOKUP(B293,Customers!$A$5:$J$504,4,FALSE))</x:f>
      </x:c>
      <x:c r="E293" s="9"/>
      <x:c r="F293" s="43"/>
      <x:c r="G293" s="9"/>
      <x:c r="H293" s="47" t="str">
        <x:f>IF(A293="","",SUMIFS(Sales!$K$5:$K$504,Sales!$I$5:$I$504,A293,Sales!$L$5:$L$504,"Approved"))</x:f>
      </x:c>
      <x:c r="I293" s="47" t="str">
        <x:f>IF(A293="","",SUMIFS(Payouts!$G$5:$G$504,Payouts!$B$5:$B$504,A293,Payouts!$H$5:$H$504,"Paid"))</x:f>
      </x:c>
      <x:c r="J293" s="47" t="str">
        <x:f>IF(A293="","",H293-I293)</x:f>
      </x:c>
      <x:c r="K293" s="9"/>
      <x:c r="L293" s="9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9"/>
      <x:c r="B294" s="9"/>
      <x:c r="C294" s="6" t="str">
        <x:f>IF(B294="","",VLOOKUP(B294,Customers!$A$5:$J$504,3,FALSE))</x:f>
      </x:c>
      <x:c r="D294" s="6" t="str">
        <x:f>IF(B294="","",VLOOKUP(B294,Customers!$A$5:$J$504,4,FALSE))</x:f>
      </x:c>
      <x:c r="E294" s="9"/>
      <x:c r="F294" s="43"/>
      <x:c r="G294" s="9"/>
      <x:c r="H294" s="47" t="str">
        <x:f>IF(A294="","",SUMIFS(Sales!$K$5:$K$504,Sales!$I$5:$I$504,A294,Sales!$L$5:$L$504,"Approved"))</x:f>
      </x:c>
      <x:c r="I294" s="47" t="str">
        <x:f>IF(A294="","",SUMIFS(Payouts!$G$5:$G$504,Payouts!$B$5:$B$504,A294,Payouts!$H$5:$H$504,"Paid"))</x:f>
      </x:c>
      <x:c r="J294" s="47" t="str">
        <x:f>IF(A294="","",H294-I294)</x:f>
      </x:c>
      <x:c r="K294" s="9"/>
      <x:c r="L294" s="9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9"/>
      <x:c r="B295" s="9"/>
      <x:c r="C295" s="6" t="str">
        <x:f>IF(B295="","",VLOOKUP(B295,Customers!$A$5:$J$504,3,FALSE))</x:f>
      </x:c>
      <x:c r="D295" s="6" t="str">
        <x:f>IF(B295="","",VLOOKUP(B295,Customers!$A$5:$J$504,4,FALSE))</x:f>
      </x:c>
      <x:c r="E295" s="9"/>
      <x:c r="F295" s="43"/>
      <x:c r="G295" s="9"/>
      <x:c r="H295" s="47" t="str">
        <x:f>IF(A295="","",SUMIFS(Sales!$K$5:$K$504,Sales!$I$5:$I$504,A295,Sales!$L$5:$L$504,"Approved"))</x:f>
      </x:c>
      <x:c r="I295" s="47" t="str">
        <x:f>IF(A295="","",SUMIFS(Payouts!$G$5:$G$504,Payouts!$B$5:$B$504,A295,Payouts!$H$5:$H$504,"Paid"))</x:f>
      </x:c>
      <x:c r="J295" s="47" t="str">
        <x:f>IF(A295="","",H295-I295)</x:f>
      </x:c>
      <x:c r="K295" s="9"/>
      <x:c r="L295" s="9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9"/>
      <x:c r="B296" s="9"/>
      <x:c r="C296" s="6" t="str">
        <x:f>IF(B296="","",VLOOKUP(B296,Customers!$A$5:$J$504,3,FALSE))</x:f>
      </x:c>
      <x:c r="D296" s="6" t="str">
        <x:f>IF(B296="","",VLOOKUP(B296,Customers!$A$5:$J$504,4,FALSE))</x:f>
      </x:c>
      <x:c r="E296" s="9"/>
      <x:c r="F296" s="43"/>
      <x:c r="G296" s="9"/>
      <x:c r="H296" s="47" t="str">
        <x:f>IF(A296="","",SUMIFS(Sales!$K$5:$K$504,Sales!$I$5:$I$504,A296,Sales!$L$5:$L$504,"Approved"))</x:f>
      </x:c>
      <x:c r="I296" s="47" t="str">
        <x:f>IF(A296="","",SUMIFS(Payouts!$G$5:$G$504,Payouts!$B$5:$B$504,A296,Payouts!$H$5:$H$504,"Paid"))</x:f>
      </x:c>
      <x:c r="J296" s="47" t="str">
        <x:f>IF(A296="","",H296-I296)</x:f>
      </x:c>
      <x:c r="K296" s="9"/>
      <x:c r="L296" s="9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9"/>
      <x:c r="B297" s="9"/>
      <x:c r="C297" s="6" t="str">
        <x:f>IF(B297="","",VLOOKUP(B297,Customers!$A$5:$J$504,3,FALSE))</x:f>
      </x:c>
      <x:c r="D297" s="6" t="str">
        <x:f>IF(B297="","",VLOOKUP(B297,Customers!$A$5:$J$504,4,FALSE))</x:f>
      </x:c>
      <x:c r="E297" s="9"/>
      <x:c r="F297" s="43"/>
      <x:c r="G297" s="9"/>
      <x:c r="H297" s="47" t="str">
        <x:f>IF(A297="","",SUMIFS(Sales!$K$5:$K$504,Sales!$I$5:$I$504,A297,Sales!$L$5:$L$504,"Approved"))</x:f>
      </x:c>
      <x:c r="I297" s="47" t="str">
        <x:f>IF(A297="","",SUMIFS(Payouts!$G$5:$G$504,Payouts!$B$5:$B$504,A297,Payouts!$H$5:$H$504,"Paid"))</x:f>
      </x:c>
      <x:c r="J297" s="47" t="str">
        <x:f>IF(A297="","",H297-I297)</x:f>
      </x:c>
      <x:c r="K297" s="9"/>
      <x:c r="L297" s="9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9"/>
      <x:c r="B298" s="9"/>
      <x:c r="C298" s="6" t="str">
        <x:f>IF(B298="","",VLOOKUP(B298,Customers!$A$5:$J$504,3,FALSE))</x:f>
      </x:c>
      <x:c r="D298" s="6" t="str">
        <x:f>IF(B298="","",VLOOKUP(B298,Customers!$A$5:$J$504,4,FALSE))</x:f>
      </x:c>
      <x:c r="E298" s="9"/>
      <x:c r="F298" s="43"/>
      <x:c r="G298" s="9"/>
      <x:c r="H298" s="47" t="str">
        <x:f>IF(A298="","",SUMIFS(Sales!$K$5:$K$504,Sales!$I$5:$I$504,A298,Sales!$L$5:$L$504,"Approved"))</x:f>
      </x:c>
      <x:c r="I298" s="47" t="str">
        <x:f>IF(A298="","",SUMIFS(Payouts!$G$5:$G$504,Payouts!$B$5:$B$504,A298,Payouts!$H$5:$H$504,"Paid"))</x:f>
      </x:c>
      <x:c r="J298" s="47" t="str">
        <x:f>IF(A298="","",H298-I298)</x:f>
      </x:c>
      <x:c r="K298" s="9"/>
      <x:c r="L298" s="9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9"/>
      <x:c r="B299" s="9"/>
      <x:c r="C299" s="6" t="str">
        <x:f>IF(B299="","",VLOOKUP(B299,Customers!$A$5:$J$504,3,FALSE))</x:f>
      </x:c>
      <x:c r="D299" s="6" t="str">
        <x:f>IF(B299="","",VLOOKUP(B299,Customers!$A$5:$J$504,4,FALSE))</x:f>
      </x:c>
      <x:c r="E299" s="9"/>
      <x:c r="F299" s="43"/>
      <x:c r="G299" s="9"/>
      <x:c r="H299" s="47" t="str">
        <x:f>IF(A299="","",SUMIFS(Sales!$K$5:$K$504,Sales!$I$5:$I$504,A299,Sales!$L$5:$L$504,"Approved"))</x:f>
      </x:c>
      <x:c r="I299" s="47" t="str">
        <x:f>IF(A299="","",SUMIFS(Payouts!$G$5:$G$504,Payouts!$B$5:$B$504,A299,Payouts!$H$5:$H$504,"Paid"))</x:f>
      </x:c>
      <x:c r="J299" s="47" t="str">
        <x:f>IF(A299="","",H299-I299)</x:f>
      </x:c>
      <x:c r="K299" s="9"/>
      <x:c r="L299" s="9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9"/>
      <x:c r="B300" s="9"/>
      <x:c r="C300" s="6" t="str">
        <x:f>IF(B300="","",VLOOKUP(B300,Customers!$A$5:$J$504,3,FALSE))</x:f>
      </x:c>
      <x:c r="D300" s="6" t="str">
        <x:f>IF(B300="","",VLOOKUP(B300,Customers!$A$5:$J$504,4,FALSE))</x:f>
      </x:c>
      <x:c r="E300" s="9"/>
      <x:c r="F300" s="43"/>
      <x:c r="G300" s="9"/>
      <x:c r="H300" s="47" t="str">
        <x:f>IF(A300="","",SUMIFS(Sales!$K$5:$K$504,Sales!$I$5:$I$504,A300,Sales!$L$5:$L$504,"Approved"))</x:f>
      </x:c>
      <x:c r="I300" s="47" t="str">
        <x:f>IF(A300="","",SUMIFS(Payouts!$G$5:$G$504,Payouts!$B$5:$B$504,A300,Payouts!$H$5:$H$504,"Paid"))</x:f>
      </x:c>
      <x:c r="J300" s="47" t="str">
        <x:f>IF(A300="","",H300-I300)</x:f>
      </x:c>
      <x:c r="K300" s="9"/>
      <x:c r="L300" s="9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9"/>
      <x:c r="B301" s="9"/>
      <x:c r="C301" s="6" t="str">
        <x:f>IF(B301="","",VLOOKUP(B301,Customers!$A$5:$J$504,3,FALSE))</x:f>
      </x:c>
      <x:c r="D301" s="6" t="str">
        <x:f>IF(B301="","",VLOOKUP(B301,Customers!$A$5:$J$504,4,FALSE))</x:f>
      </x:c>
      <x:c r="E301" s="9"/>
      <x:c r="F301" s="43"/>
      <x:c r="G301" s="9"/>
      <x:c r="H301" s="47" t="str">
        <x:f>IF(A301="","",SUMIFS(Sales!$K$5:$K$504,Sales!$I$5:$I$504,A301,Sales!$L$5:$L$504,"Approved"))</x:f>
      </x:c>
      <x:c r="I301" s="47" t="str">
        <x:f>IF(A301="","",SUMIFS(Payouts!$G$5:$G$504,Payouts!$B$5:$B$504,A301,Payouts!$H$5:$H$504,"Paid"))</x:f>
      </x:c>
      <x:c r="J301" s="47" t="str">
        <x:f>IF(A301="","",H301-I301)</x:f>
      </x:c>
      <x:c r="K301" s="9"/>
      <x:c r="L301" s="9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9"/>
      <x:c r="B302" s="9"/>
      <x:c r="C302" s="6" t="str">
        <x:f>IF(B302="","",VLOOKUP(B302,Customers!$A$5:$J$504,3,FALSE))</x:f>
      </x:c>
      <x:c r="D302" s="6" t="str">
        <x:f>IF(B302="","",VLOOKUP(B302,Customers!$A$5:$J$504,4,FALSE))</x:f>
      </x:c>
      <x:c r="E302" s="9"/>
      <x:c r="F302" s="43"/>
      <x:c r="G302" s="9"/>
      <x:c r="H302" s="47" t="str">
        <x:f>IF(A302="","",SUMIFS(Sales!$K$5:$K$504,Sales!$I$5:$I$504,A302,Sales!$L$5:$L$504,"Approved"))</x:f>
      </x:c>
      <x:c r="I302" s="47" t="str">
        <x:f>IF(A302="","",SUMIFS(Payouts!$G$5:$G$504,Payouts!$B$5:$B$504,A302,Payouts!$H$5:$H$504,"Paid"))</x:f>
      </x:c>
      <x:c r="J302" s="47" t="str">
        <x:f>IF(A302="","",H302-I302)</x:f>
      </x:c>
      <x:c r="K302" s="9"/>
      <x:c r="L302" s="9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9"/>
      <x:c r="B303" s="9"/>
      <x:c r="C303" s="6" t="str">
        <x:f>IF(B303="","",VLOOKUP(B303,Customers!$A$5:$J$504,3,FALSE))</x:f>
      </x:c>
      <x:c r="D303" s="6" t="str">
        <x:f>IF(B303="","",VLOOKUP(B303,Customers!$A$5:$J$504,4,FALSE))</x:f>
      </x:c>
      <x:c r="E303" s="9"/>
      <x:c r="F303" s="43"/>
      <x:c r="G303" s="9"/>
      <x:c r="H303" s="47" t="str">
        <x:f>IF(A303="","",SUMIFS(Sales!$K$5:$K$504,Sales!$I$5:$I$504,A303,Sales!$L$5:$L$504,"Approved"))</x:f>
      </x:c>
      <x:c r="I303" s="47" t="str">
        <x:f>IF(A303="","",SUMIFS(Payouts!$G$5:$G$504,Payouts!$B$5:$B$504,A303,Payouts!$H$5:$H$504,"Paid"))</x:f>
      </x:c>
      <x:c r="J303" s="47" t="str">
        <x:f>IF(A303="","",H303-I303)</x:f>
      </x:c>
      <x:c r="K303" s="9"/>
      <x:c r="L303" s="9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9"/>
      <x:c r="B304" s="9"/>
      <x:c r="C304" s="6" t="str">
        <x:f>IF(B304="","",VLOOKUP(B304,Customers!$A$5:$J$504,3,FALSE))</x:f>
      </x:c>
      <x:c r="D304" s="6" t="str">
        <x:f>IF(B304="","",VLOOKUP(B304,Customers!$A$5:$J$504,4,FALSE))</x:f>
      </x:c>
      <x:c r="E304" s="9"/>
      <x:c r="F304" s="43"/>
      <x:c r="G304" s="9"/>
      <x:c r="H304" s="47" t="str">
        <x:f>IF(A304="","",SUMIFS(Sales!$K$5:$K$504,Sales!$I$5:$I$504,A304,Sales!$L$5:$L$504,"Approved"))</x:f>
      </x:c>
      <x:c r="I304" s="47" t="str">
        <x:f>IF(A304="","",SUMIFS(Payouts!$G$5:$G$504,Payouts!$B$5:$B$504,A304,Payouts!$H$5:$H$504,"Paid"))</x:f>
      </x:c>
      <x:c r="J304" s="47" t="str">
        <x:f>IF(A304="","",H304-I304)</x:f>
      </x:c>
      <x:c r="K304" s="9"/>
      <x:c r="L304" s="9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9"/>
      <x:c r="B305" s="9"/>
      <x:c r="C305" s="6" t="str">
        <x:f>IF(B305="","",VLOOKUP(B305,Customers!$A$5:$J$504,3,FALSE))</x:f>
      </x:c>
      <x:c r="D305" s="6" t="str">
        <x:f>IF(B305="","",VLOOKUP(B305,Customers!$A$5:$J$504,4,FALSE))</x:f>
      </x:c>
      <x:c r="E305" s="9"/>
      <x:c r="F305" s="43"/>
      <x:c r="G305" s="9"/>
      <x:c r="H305" s="47" t="str">
        <x:f>IF(A305="","",SUMIFS(Sales!$K$5:$K$504,Sales!$I$5:$I$504,A305,Sales!$L$5:$L$504,"Approved"))</x:f>
      </x:c>
      <x:c r="I305" s="47" t="str">
        <x:f>IF(A305="","",SUMIFS(Payouts!$G$5:$G$504,Payouts!$B$5:$B$504,A305,Payouts!$H$5:$H$504,"Paid"))</x:f>
      </x:c>
      <x:c r="J305" s="47" t="str">
        <x:f>IF(A305="","",H305-I305)</x:f>
      </x:c>
      <x:c r="K305" s="9"/>
      <x:c r="L305" s="9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9"/>
      <x:c r="B306" s="9"/>
      <x:c r="C306" s="6" t="str">
        <x:f>IF(B306="","",VLOOKUP(B306,Customers!$A$5:$J$504,3,FALSE))</x:f>
      </x:c>
      <x:c r="D306" s="6" t="str">
        <x:f>IF(B306="","",VLOOKUP(B306,Customers!$A$5:$J$504,4,FALSE))</x:f>
      </x:c>
      <x:c r="E306" s="9"/>
      <x:c r="F306" s="43"/>
      <x:c r="G306" s="9"/>
      <x:c r="H306" s="47" t="str">
        <x:f>IF(A306="","",SUMIFS(Sales!$K$5:$K$504,Sales!$I$5:$I$504,A306,Sales!$L$5:$L$504,"Approved"))</x:f>
      </x:c>
      <x:c r="I306" s="47" t="str">
        <x:f>IF(A306="","",SUMIFS(Payouts!$G$5:$G$504,Payouts!$B$5:$B$504,A306,Payouts!$H$5:$H$504,"Paid"))</x:f>
      </x:c>
      <x:c r="J306" s="47" t="str">
        <x:f>IF(A306="","",H306-I306)</x:f>
      </x:c>
      <x:c r="K306" s="9"/>
      <x:c r="L306" s="9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9"/>
      <x:c r="B307" s="9"/>
      <x:c r="C307" s="6" t="str">
        <x:f>IF(B307="","",VLOOKUP(B307,Customers!$A$5:$J$504,3,FALSE))</x:f>
      </x:c>
      <x:c r="D307" s="6" t="str">
        <x:f>IF(B307="","",VLOOKUP(B307,Customers!$A$5:$J$504,4,FALSE))</x:f>
      </x:c>
      <x:c r="E307" s="9"/>
      <x:c r="F307" s="43"/>
      <x:c r="G307" s="9"/>
      <x:c r="H307" s="47" t="str">
        <x:f>IF(A307="","",SUMIFS(Sales!$K$5:$K$504,Sales!$I$5:$I$504,A307,Sales!$L$5:$L$504,"Approved"))</x:f>
      </x:c>
      <x:c r="I307" s="47" t="str">
        <x:f>IF(A307="","",SUMIFS(Payouts!$G$5:$G$504,Payouts!$B$5:$B$504,A307,Payouts!$H$5:$H$504,"Paid"))</x:f>
      </x:c>
      <x:c r="J307" s="47" t="str">
        <x:f>IF(A307="","",H307-I307)</x:f>
      </x:c>
      <x:c r="K307" s="9"/>
      <x:c r="L307" s="9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9"/>
      <x:c r="B308" s="9"/>
      <x:c r="C308" s="6" t="str">
        <x:f>IF(B308="","",VLOOKUP(B308,Customers!$A$5:$J$504,3,FALSE))</x:f>
      </x:c>
      <x:c r="D308" s="6" t="str">
        <x:f>IF(B308="","",VLOOKUP(B308,Customers!$A$5:$J$504,4,FALSE))</x:f>
      </x:c>
      <x:c r="E308" s="9"/>
      <x:c r="F308" s="43"/>
      <x:c r="G308" s="9"/>
      <x:c r="H308" s="47" t="str">
        <x:f>IF(A308="","",SUMIFS(Sales!$K$5:$K$504,Sales!$I$5:$I$504,A308,Sales!$L$5:$L$504,"Approved"))</x:f>
      </x:c>
      <x:c r="I308" s="47" t="str">
        <x:f>IF(A308="","",SUMIFS(Payouts!$G$5:$G$504,Payouts!$B$5:$B$504,A308,Payouts!$H$5:$H$504,"Paid"))</x:f>
      </x:c>
      <x:c r="J308" s="47" t="str">
        <x:f>IF(A308="","",H308-I308)</x:f>
      </x:c>
      <x:c r="K308" s="9"/>
      <x:c r="L308" s="9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9"/>
      <x:c r="B309" s="9"/>
      <x:c r="C309" s="6" t="str">
        <x:f>IF(B309="","",VLOOKUP(B309,Customers!$A$5:$J$504,3,FALSE))</x:f>
      </x:c>
      <x:c r="D309" s="6" t="str">
        <x:f>IF(B309="","",VLOOKUP(B309,Customers!$A$5:$J$504,4,FALSE))</x:f>
      </x:c>
      <x:c r="E309" s="9"/>
      <x:c r="F309" s="43"/>
      <x:c r="G309" s="9"/>
      <x:c r="H309" s="47" t="str">
        <x:f>IF(A309="","",SUMIFS(Sales!$K$5:$K$504,Sales!$I$5:$I$504,A309,Sales!$L$5:$L$504,"Approved"))</x:f>
      </x:c>
      <x:c r="I309" s="47" t="str">
        <x:f>IF(A309="","",SUMIFS(Payouts!$G$5:$G$504,Payouts!$B$5:$B$504,A309,Payouts!$H$5:$H$504,"Paid"))</x:f>
      </x:c>
      <x:c r="J309" s="47" t="str">
        <x:f>IF(A309="","",H309-I309)</x:f>
      </x:c>
      <x:c r="K309" s="9"/>
      <x:c r="L309" s="9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9"/>
      <x:c r="B310" s="9"/>
      <x:c r="C310" s="6" t="str">
        <x:f>IF(B310="","",VLOOKUP(B310,Customers!$A$5:$J$504,3,FALSE))</x:f>
      </x:c>
      <x:c r="D310" s="6" t="str">
        <x:f>IF(B310="","",VLOOKUP(B310,Customers!$A$5:$J$504,4,FALSE))</x:f>
      </x:c>
      <x:c r="E310" s="9"/>
      <x:c r="F310" s="43"/>
      <x:c r="G310" s="9"/>
      <x:c r="H310" s="47" t="str">
        <x:f>IF(A310="","",SUMIFS(Sales!$K$5:$K$504,Sales!$I$5:$I$504,A310,Sales!$L$5:$L$504,"Approved"))</x:f>
      </x:c>
      <x:c r="I310" s="47" t="str">
        <x:f>IF(A310="","",SUMIFS(Payouts!$G$5:$G$504,Payouts!$B$5:$B$504,A310,Payouts!$H$5:$H$504,"Paid"))</x:f>
      </x:c>
      <x:c r="J310" s="47" t="str">
        <x:f>IF(A310="","",H310-I310)</x:f>
      </x:c>
      <x:c r="K310" s="9"/>
      <x:c r="L310" s="9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9"/>
      <x:c r="B311" s="9"/>
      <x:c r="C311" s="6" t="str">
        <x:f>IF(B311="","",VLOOKUP(B311,Customers!$A$5:$J$504,3,FALSE))</x:f>
      </x:c>
      <x:c r="D311" s="6" t="str">
        <x:f>IF(B311="","",VLOOKUP(B311,Customers!$A$5:$J$504,4,FALSE))</x:f>
      </x:c>
      <x:c r="E311" s="9"/>
      <x:c r="F311" s="43"/>
      <x:c r="G311" s="9"/>
      <x:c r="H311" s="47" t="str">
        <x:f>IF(A311="","",SUMIFS(Sales!$K$5:$K$504,Sales!$I$5:$I$504,A311,Sales!$L$5:$L$504,"Approved"))</x:f>
      </x:c>
      <x:c r="I311" s="47" t="str">
        <x:f>IF(A311="","",SUMIFS(Payouts!$G$5:$G$504,Payouts!$B$5:$B$504,A311,Payouts!$H$5:$H$504,"Paid"))</x:f>
      </x:c>
      <x:c r="J311" s="47" t="str">
        <x:f>IF(A311="","",H311-I311)</x:f>
      </x:c>
      <x:c r="K311" s="9"/>
      <x:c r="L311" s="9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9"/>
      <x:c r="B312" s="9"/>
      <x:c r="C312" s="6" t="str">
        <x:f>IF(B312="","",VLOOKUP(B312,Customers!$A$5:$J$504,3,FALSE))</x:f>
      </x:c>
      <x:c r="D312" s="6" t="str">
        <x:f>IF(B312="","",VLOOKUP(B312,Customers!$A$5:$J$504,4,FALSE))</x:f>
      </x:c>
      <x:c r="E312" s="9"/>
      <x:c r="F312" s="43"/>
      <x:c r="G312" s="9"/>
      <x:c r="H312" s="47" t="str">
        <x:f>IF(A312="","",SUMIFS(Sales!$K$5:$K$504,Sales!$I$5:$I$504,A312,Sales!$L$5:$L$504,"Approved"))</x:f>
      </x:c>
      <x:c r="I312" s="47" t="str">
        <x:f>IF(A312="","",SUMIFS(Payouts!$G$5:$G$504,Payouts!$B$5:$B$504,A312,Payouts!$H$5:$H$504,"Paid"))</x:f>
      </x:c>
      <x:c r="J312" s="47" t="str">
        <x:f>IF(A312="","",H312-I312)</x:f>
      </x:c>
      <x:c r="K312" s="9"/>
      <x:c r="L312" s="9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9"/>
      <x:c r="B313" s="9"/>
      <x:c r="C313" s="6" t="str">
        <x:f>IF(B313="","",VLOOKUP(B313,Customers!$A$5:$J$504,3,FALSE))</x:f>
      </x:c>
      <x:c r="D313" s="6" t="str">
        <x:f>IF(B313="","",VLOOKUP(B313,Customers!$A$5:$J$504,4,FALSE))</x:f>
      </x:c>
      <x:c r="E313" s="9"/>
      <x:c r="F313" s="43"/>
      <x:c r="G313" s="9"/>
      <x:c r="H313" s="47" t="str">
        <x:f>IF(A313="","",SUMIFS(Sales!$K$5:$K$504,Sales!$I$5:$I$504,A313,Sales!$L$5:$L$504,"Approved"))</x:f>
      </x:c>
      <x:c r="I313" s="47" t="str">
        <x:f>IF(A313="","",SUMIFS(Payouts!$G$5:$G$504,Payouts!$B$5:$B$504,A313,Payouts!$H$5:$H$504,"Paid"))</x:f>
      </x:c>
      <x:c r="J313" s="47" t="str">
        <x:f>IF(A313="","",H313-I313)</x:f>
      </x:c>
      <x:c r="K313" s="9"/>
      <x:c r="L313" s="9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9"/>
      <x:c r="B314" s="9"/>
      <x:c r="C314" s="6" t="str">
        <x:f>IF(B314="","",VLOOKUP(B314,Customers!$A$5:$J$504,3,FALSE))</x:f>
      </x:c>
      <x:c r="D314" s="6" t="str">
        <x:f>IF(B314="","",VLOOKUP(B314,Customers!$A$5:$J$504,4,FALSE))</x:f>
      </x:c>
      <x:c r="E314" s="9"/>
      <x:c r="F314" s="43"/>
      <x:c r="G314" s="9"/>
      <x:c r="H314" s="47" t="str">
        <x:f>IF(A314="","",SUMIFS(Sales!$K$5:$K$504,Sales!$I$5:$I$504,A314,Sales!$L$5:$L$504,"Approved"))</x:f>
      </x:c>
      <x:c r="I314" s="47" t="str">
        <x:f>IF(A314="","",SUMIFS(Payouts!$G$5:$G$504,Payouts!$B$5:$B$504,A314,Payouts!$H$5:$H$504,"Paid"))</x:f>
      </x:c>
      <x:c r="J314" s="47" t="str">
        <x:f>IF(A314="","",H314-I314)</x:f>
      </x:c>
      <x:c r="K314" s="9"/>
      <x:c r="L314" s="9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9"/>
      <x:c r="B315" s="9"/>
      <x:c r="C315" s="6" t="str">
        <x:f>IF(B315="","",VLOOKUP(B315,Customers!$A$5:$J$504,3,FALSE))</x:f>
      </x:c>
      <x:c r="D315" s="6" t="str">
        <x:f>IF(B315="","",VLOOKUP(B315,Customers!$A$5:$J$504,4,FALSE))</x:f>
      </x:c>
      <x:c r="E315" s="9"/>
      <x:c r="F315" s="43"/>
      <x:c r="G315" s="9"/>
      <x:c r="H315" s="47" t="str">
        <x:f>IF(A315="","",SUMIFS(Sales!$K$5:$K$504,Sales!$I$5:$I$504,A315,Sales!$L$5:$L$504,"Approved"))</x:f>
      </x:c>
      <x:c r="I315" s="47" t="str">
        <x:f>IF(A315="","",SUMIFS(Payouts!$G$5:$G$504,Payouts!$B$5:$B$504,A315,Payouts!$H$5:$H$504,"Paid"))</x:f>
      </x:c>
      <x:c r="J315" s="47" t="str">
        <x:f>IF(A315="","",H315-I315)</x:f>
      </x:c>
      <x:c r="K315" s="9"/>
      <x:c r="L315" s="9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9"/>
      <x:c r="B316" s="9"/>
      <x:c r="C316" s="6" t="str">
        <x:f>IF(B316="","",VLOOKUP(B316,Customers!$A$5:$J$504,3,FALSE))</x:f>
      </x:c>
      <x:c r="D316" s="6" t="str">
        <x:f>IF(B316="","",VLOOKUP(B316,Customers!$A$5:$J$504,4,FALSE))</x:f>
      </x:c>
      <x:c r="E316" s="9"/>
      <x:c r="F316" s="43"/>
      <x:c r="G316" s="9"/>
      <x:c r="H316" s="47" t="str">
        <x:f>IF(A316="","",SUMIFS(Sales!$K$5:$K$504,Sales!$I$5:$I$504,A316,Sales!$L$5:$L$504,"Approved"))</x:f>
      </x:c>
      <x:c r="I316" s="47" t="str">
        <x:f>IF(A316="","",SUMIFS(Payouts!$G$5:$G$504,Payouts!$B$5:$B$504,A316,Payouts!$H$5:$H$504,"Paid"))</x:f>
      </x:c>
      <x:c r="J316" s="47" t="str">
        <x:f>IF(A316="","",H316-I316)</x:f>
      </x:c>
      <x:c r="K316" s="9"/>
      <x:c r="L316" s="9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9"/>
      <x:c r="B317" s="9"/>
      <x:c r="C317" s="6" t="str">
        <x:f>IF(B317="","",VLOOKUP(B317,Customers!$A$5:$J$504,3,FALSE))</x:f>
      </x:c>
      <x:c r="D317" s="6" t="str">
        <x:f>IF(B317="","",VLOOKUP(B317,Customers!$A$5:$J$504,4,FALSE))</x:f>
      </x:c>
      <x:c r="E317" s="9"/>
      <x:c r="F317" s="43"/>
      <x:c r="G317" s="9"/>
      <x:c r="H317" s="47" t="str">
        <x:f>IF(A317="","",SUMIFS(Sales!$K$5:$K$504,Sales!$I$5:$I$504,A317,Sales!$L$5:$L$504,"Approved"))</x:f>
      </x:c>
      <x:c r="I317" s="47" t="str">
        <x:f>IF(A317="","",SUMIFS(Payouts!$G$5:$G$504,Payouts!$B$5:$B$504,A317,Payouts!$H$5:$H$504,"Paid"))</x:f>
      </x:c>
      <x:c r="J317" s="47" t="str">
        <x:f>IF(A317="","",H317-I317)</x:f>
      </x:c>
      <x:c r="K317" s="9"/>
      <x:c r="L317" s="9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9"/>
      <x:c r="B318" s="9"/>
      <x:c r="C318" s="6" t="str">
        <x:f>IF(B318="","",VLOOKUP(B318,Customers!$A$5:$J$504,3,FALSE))</x:f>
      </x:c>
      <x:c r="D318" s="6" t="str">
        <x:f>IF(B318="","",VLOOKUP(B318,Customers!$A$5:$J$504,4,FALSE))</x:f>
      </x:c>
      <x:c r="E318" s="9"/>
      <x:c r="F318" s="43"/>
      <x:c r="G318" s="9"/>
      <x:c r="H318" s="47" t="str">
        <x:f>IF(A318="","",SUMIFS(Sales!$K$5:$K$504,Sales!$I$5:$I$504,A318,Sales!$L$5:$L$504,"Approved"))</x:f>
      </x:c>
      <x:c r="I318" s="47" t="str">
        <x:f>IF(A318="","",SUMIFS(Payouts!$G$5:$G$504,Payouts!$B$5:$B$504,A318,Payouts!$H$5:$H$504,"Paid"))</x:f>
      </x:c>
      <x:c r="J318" s="47" t="str">
        <x:f>IF(A318="","",H318-I318)</x:f>
      </x:c>
      <x:c r="K318" s="9"/>
      <x:c r="L318" s="9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9"/>
      <x:c r="B319" s="9"/>
      <x:c r="C319" s="6" t="str">
        <x:f>IF(B319="","",VLOOKUP(B319,Customers!$A$5:$J$504,3,FALSE))</x:f>
      </x:c>
      <x:c r="D319" s="6" t="str">
        <x:f>IF(B319="","",VLOOKUP(B319,Customers!$A$5:$J$504,4,FALSE))</x:f>
      </x:c>
      <x:c r="E319" s="9"/>
      <x:c r="F319" s="43"/>
      <x:c r="G319" s="9"/>
      <x:c r="H319" s="47" t="str">
        <x:f>IF(A319="","",SUMIFS(Sales!$K$5:$K$504,Sales!$I$5:$I$504,A319,Sales!$L$5:$L$504,"Approved"))</x:f>
      </x:c>
      <x:c r="I319" s="47" t="str">
        <x:f>IF(A319="","",SUMIFS(Payouts!$G$5:$G$504,Payouts!$B$5:$B$504,A319,Payouts!$H$5:$H$504,"Paid"))</x:f>
      </x:c>
      <x:c r="J319" s="47" t="str">
        <x:f>IF(A319="","",H319-I319)</x:f>
      </x:c>
      <x:c r="K319" s="9"/>
      <x:c r="L319" s="9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9"/>
      <x:c r="B320" s="9"/>
      <x:c r="C320" s="6" t="str">
        <x:f>IF(B320="","",VLOOKUP(B320,Customers!$A$5:$J$504,3,FALSE))</x:f>
      </x:c>
      <x:c r="D320" s="6" t="str">
        <x:f>IF(B320="","",VLOOKUP(B320,Customers!$A$5:$J$504,4,FALSE))</x:f>
      </x:c>
      <x:c r="E320" s="9"/>
      <x:c r="F320" s="43"/>
      <x:c r="G320" s="9"/>
      <x:c r="H320" s="47" t="str">
        <x:f>IF(A320="","",SUMIFS(Sales!$K$5:$K$504,Sales!$I$5:$I$504,A320,Sales!$L$5:$L$504,"Approved"))</x:f>
      </x:c>
      <x:c r="I320" s="47" t="str">
        <x:f>IF(A320="","",SUMIFS(Payouts!$G$5:$G$504,Payouts!$B$5:$B$504,A320,Payouts!$H$5:$H$504,"Paid"))</x:f>
      </x:c>
      <x:c r="J320" s="47" t="str">
        <x:f>IF(A320="","",H320-I320)</x:f>
      </x:c>
      <x:c r="K320" s="9"/>
      <x:c r="L320" s="9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9"/>
      <x:c r="B321" s="9"/>
      <x:c r="C321" s="6" t="str">
        <x:f>IF(B321="","",VLOOKUP(B321,Customers!$A$5:$J$504,3,FALSE))</x:f>
      </x:c>
      <x:c r="D321" s="6" t="str">
        <x:f>IF(B321="","",VLOOKUP(B321,Customers!$A$5:$J$504,4,FALSE))</x:f>
      </x:c>
      <x:c r="E321" s="9"/>
      <x:c r="F321" s="43"/>
      <x:c r="G321" s="9"/>
      <x:c r="H321" s="47" t="str">
        <x:f>IF(A321="","",SUMIFS(Sales!$K$5:$K$504,Sales!$I$5:$I$504,A321,Sales!$L$5:$L$504,"Approved"))</x:f>
      </x:c>
      <x:c r="I321" s="47" t="str">
        <x:f>IF(A321="","",SUMIFS(Payouts!$G$5:$G$504,Payouts!$B$5:$B$504,A321,Payouts!$H$5:$H$504,"Paid"))</x:f>
      </x:c>
      <x:c r="J321" s="47" t="str">
        <x:f>IF(A321="","",H321-I321)</x:f>
      </x:c>
      <x:c r="K321" s="9"/>
      <x:c r="L321" s="9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9"/>
      <x:c r="B322" s="9"/>
      <x:c r="C322" s="6" t="str">
        <x:f>IF(B322="","",VLOOKUP(B322,Customers!$A$5:$J$504,3,FALSE))</x:f>
      </x:c>
      <x:c r="D322" s="6" t="str">
        <x:f>IF(B322="","",VLOOKUP(B322,Customers!$A$5:$J$504,4,FALSE))</x:f>
      </x:c>
      <x:c r="E322" s="9"/>
      <x:c r="F322" s="43"/>
      <x:c r="G322" s="9"/>
      <x:c r="H322" s="47" t="str">
        <x:f>IF(A322="","",SUMIFS(Sales!$K$5:$K$504,Sales!$I$5:$I$504,A322,Sales!$L$5:$L$504,"Approved"))</x:f>
      </x:c>
      <x:c r="I322" s="47" t="str">
        <x:f>IF(A322="","",SUMIFS(Payouts!$G$5:$G$504,Payouts!$B$5:$B$504,A322,Payouts!$H$5:$H$504,"Paid"))</x:f>
      </x:c>
      <x:c r="J322" s="47" t="str">
        <x:f>IF(A322="","",H322-I322)</x:f>
      </x:c>
      <x:c r="K322" s="9"/>
      <x:c r="L322" s="9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9"/>
      <x:c r="B323" s="9"/>
      <x:c r="C323" s="6" t="str">
        <x:f>IF(B323="","",VLOOKUP(B323,Customers!$A$5:$J$504,3,FALSE))</x:f>
      </x:c>
      <x:c r="D323" s="6" t="str">
        <x:f>IF(B323="","",VLOOKUP(B323,Customers!$A$5:$J$504,4,FALSE))</x:f>
      </x:c>
      <x:c r="E323" s="9"/>
      <x:c r="F323" s="43"/>
      <x:c r="G323" s="9"/>
      <x:c r="H323" s="47" t="str">
        <x:f>IF(A323="","",SUMIFS(Sales!$K$5:$K$504,Sales!$I$5:$I$504,A323,Sales!$L$5:$L$504,"Approved"))</x:f>
      </x:c>
      <x:c r="I323" s="47" t="str">
        <x:f>IF(A323="","",SUMIFS(Payouts!$G$5:$G$504,Payouts!$B$5:$B$504,A323,Payouts!$H$5:$H$504,"Paid"))</x:f>
      </x:c>
      <x:c r="J323" s="47" t="str">
        <x:f>IF(A323="","",H323-I323)</x:f>
      </x:c>
      <x:c r="K323" s="9"/>
      <x:c r="L323" s="9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9"/>
      <x:c r="B324" s="9"/>
      <x:c r="C324" s="6" t="str">
        <x:f>IF(B324="","",VLOOKUP(B324,Customers!$A$5:$J$504,3,FALSE))</x:f>
      </x:c>
      <x:c r="D324" s="6" t="str">
        <x:f>IF(B324="","",VLOOKUP(B324,Customers!$A$5:$J$504,4,FALSE))</x:f>
      </x:c>
      <x:c r="E324" s="9"/>
      <x:c r="F324" s="43"/>
      <x:c r="G324" s="9"/>
      <x:c r="H324" s="47" t="str">
        <x:f>IF(A324="","",SUMIFS(Sales!$K$5:$K$504,Sales!$I$5:$I$504,A324,Sales!$L$5:$L$504,"Approved"))</x:f>
      </x:c>
      <x:c r="I324" s="47" t="str">
        <x:f>IF(A324="","",SUMIFS(Payouts!$G$5:$G$504,Payouts!$B$5:$B$504,A324,Payouts!$H$5:$H$504,"Paid"))</x:f>
      </x:c>
      <x:c r="J324" s="47" t="str">
        <x:f>IF(A324="","",H324-I324)</x:f>
      </x:c>
      <x:c r="K324" s="9"/>
      <x:c r="L324" s="9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9"/>
      <x:c r="B325" s="9"/>
      <x:c r="C325" s="6" t="str">
        <x:f>IF(B325="","",VLOOKUP(B325,Customers!$A$5:$J$504,3,FALSE))</x:f>
      </x:c>
      <x:c r="D325" s="6" t="str">
        <x:f>IF(B325="","",VLOOKUP(B325,Customers!$A$5:$J$504,4,FALSE))</x:f>
      </x:c>
      <x:c r="E325" s="9"/>
      <x:c r="F325" s="43"/>
      <x:c r="G325" s="9"/>
      <x:c r="H325" s="47" t="str">
        <x:f>IF(A325="","",SUMIFS(Sales!$K$5:$K$504,Sales!$I$5:$I$504,A325,Sales!$L$5:$L$504,"Approved"))</x:f>
      </x:c>
      <x:c r="I325" s="47" t="str">
        <x:f>IF(A325="","",SUMIFS(Payouts!$G$5:$G$504,Payouts!$B$5:$B$504,A325,Payouts!$H$5:$H$504,"Paid"))</x:f>
      </x:c>
      <x:c r="J325" s="47" t="str">
        <x:f>IF(A325="","",H325-I325)</x:f>
      </x:c>
      <x:c r="K325" s="9"/>
      <x:c r="L325" s="9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9"/>
      <x:c r="B326" s="9"/>
      <x:c r="C326" s="6" t="str">
        <x:f>IF(B326="","",VLOOKUP(B326,Customers!$A$5:$J$504,3,FALSE))</x:f>
      </x:c>
      <x:c r="D326" s="6" t="str">
        <x:f>IF(B326="","",VLOOKUP(B326,Customers!$A$5:$J$504,4,FALSE))</x:f>
      </x:c>
      <x:c r="E326" s="9"/>
      <x:c r="F326" s="43"/>
      <x:c r="G326" s="9"/>
      <x:c r="H326" s="47" t="str">
        <x:f>IF(A326="","",SUMIFS(Sales!$K$5:$K$504,Sales!$I$5:$I$504,A326,Sales!$L$5:$L$504,"Approved"))</x:f>
      </x:c>
      <x:c r="I326" s="47" t="str">
        <x:f>IF(A326="","",SUMIFS(Payouts!$G$5:$G$504,Payouts!$B$5:$B$504,A326,Payouts!$H$5:$H$504,"Paid"))</x:f>
      </x:c>
      <x:c r="J326" s="47" t="str">
        <x:f>IF(A326="","",H326-I326)</x:f>
      </x:c>
      <x:c r="K326" s="9"/>
      <x:c r="L326" s="9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9"/>
      <x:c r="B327" s="9"/>
      <x:c r="C327" s="6" t="str">
        <x:f>IF(B327="","",VLOOKUP(B327,Customers!$A$5:$J$504,3,FALSE))</x:f>
      </x:c>
      <x:c r="D327" s="6" t="str">
        <x:f>IF(B327="","",VLOOKUP(B327,Customers!$A$5:$J$504,4,FALSE))</x:f>
      </x:c>
      <x:c r="E327" s="9"/>
      <x:c r="F327" s="43"/>
      <x:c r="G327" s="9"/>
      <x:c r="H327" s="47" t="str">
        <x:f>IF(A327="","",SUMIFS(Sales!$K$5:$K$504,Sales!$I$5:$I$504,A327,Sales!$L$5:$L$504,"Approved"))</x:f>
      </x:c>
      <x:c r="I327" s="47" t="str">
        <x:f>IF(A327="","",SUMIFS(Payouts!$G$5:$G$504,Payouts!$B$5:$B$504,A327,Payouts!$H$5:$H$504,"Paid"))</x:f>
      </x:c>
      <x:c r="J327" s="47" t="str">
        <x:f>IF(A327="","",H327-I327)</x:f>
      </x:c>
      <x:c r="K327" s="9"/>
      <x:c r="L327" s="9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9"/>
      <x:c r="B328" s="9"/>
      <x:c r="C328" s="6" t="str">
        <x:f>IF(B328="","",VLOOKUP(B328,Customers!$A$5:$J$504,3,FALSE))</x:f>
      </x:c>
      <x:c r="D328" s="6" t="str">
        <x:f>IF(B328="","",VLOOKUP(B328,Customers!$A$5:$J$504,4,FALSE))</x:f>
      </x:c>
      <x:c r="E328" s="9"/>
      <x:c r="F328" s="43"/>
      <x:c r="G328" s="9"/>
      <x:c r="H328" s="47" t="str">
        <x:f>IF(A328="","",SUMIFS(Sales!$K$5:$K$504,Sales!$I$5:$I$504,A328,Sales!$L$5:$L$504,"Approved"))</x:f>
      </x:c>
      <x:c r="I328" s="47" t="str">
        <x:f>IF(A328="","",SUMIFS(Payouts!$G$5:$G$504,Payouts!$B$5:$B$504,A328,Payouts!$H$5:$H$504,"Paid"))</x:f>
      </x:c>
      <x:c r="J328" s="47" t="str">
        <x:f>IF(A328="","",H328-I328)</x:f>
      </x:c>
      <x:c r="K328" s="9"/>
      <x:c r="L328" s="9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9"/>
      <x:c r="B329" s="9"/>
      <x:c r="C329" s="6" t="str">
        <x:f>IF(B329="","",VLOOKUP(B329,Customers!$A$5:$J$504,3,FALSE))</x:f>
      </x:c>
      <x:c r="D329" s="6" t="str">
        <x:f>IF(B329="","",VLOOKUP(B329,Customers!$A$5:$J$504,4,FALSE))</x:f>
      </x:c>
      <x:c r="E329" s="9"/>
      <x:c r="F329" s="43"/>
      <x:c r="G329" s="9"/>
      <x:c r="H329" s="47" t="str">
        <x:f>IF(A329="","",SUMIFS(Sales!$K$5:$K$504,Sales!$I$5:$I$504,A329,Sales!$L$5:$L$504,"Approved"))</x:f>
      </x:c>
      <x:c r="I329" s="47" t="str">
        <x:f>IF(A329="","",SUMIFS(Payouts!$G$5:$G$504,Payouts!$B$5:$B$504,A329,Payouts!$H$5:$H$504,"Paid"))</x:f>
      </x:c>
      <x:c r="J329" s="47" t="str">
        <x:f>IF(A329="","",H329-I329)</x:f>
      </x:c>
      <x:c r="K329" s="9"/>
      <x:c r="L329" s="9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9"/>
      <x:c r="B330" s="9"/>
      <x:c r="C330" s="6" t="str">
        <x:f>IF(B330="","",VLOOKUP(B330,Customers!$A$5:$J$504,3,FALSE))</x:f>
      </x:c>
      <x:c r="D330" s="6" t="str">
        <x:f>IF(B330="","",VLOOKUP(B330,Customers!$A$5:$J$504,4,FALSE))</x:f>
      </x:c>
      <x:c r="E330" s="9"/>
      <x:c r="F330" s="43"/>
      <x:c r="G330" s="9"/>
      <x:c r="H330" s="47" t="str">
        <x:f>IF(A330="","",SUMIFS(Sales!$K$5:$K$504,Sales!$I$5:$I$504,A330,Sales!$L$5:$L$504,"Approved"))</x:f>
      </x:c>
      <x:c r="I330" s="47" t="str">
        <x:f>IF(A330="","",SUMIFS(Payouts!$G$5:$G$504,Payouts!$B$5:$B$504,A330,Payouts!$H$5:$H$504,"Paid"))</x:f>
      </x:c>
      <x:c r="J330" s="47" t="str">
        <x:f>IF(A330="","",H330-I330)</x:f>
      </x:c>
      <x:c r="K330" s="9"/>
      <x:c r="L330" s="9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9"/>
      <x:c r="B331" s="9"/>
      <x:c r="C331" s="6" t="str">
        <x:f>IF(B331="","",VLOOKUP(B331,Customers!$A$5:$J$504,3,FALSE))</x:f>
      </x:c>
      <x:c r="D331" s="6" t="str">
        <x:f>IF(B331="","",VLOOKUP(B331,Customers!$A$5:$J$504,4,FALSE))</x:f>
      </x:c>
      <x:c r="E331" s="9"/>
      <x:c r="F331" s="43"/>
      <x:c r="G331" s="9"/>
      <x:c r="H331" s="47" t="str">
        <x:f>IF(A331="","",SUMIFS(Sales!$K$5:$K$504,Sales!$I$5:$I$504,A331,Sales!$L$5:$L$504,"Approved"))</x:f>
      </x:c>
      <x:c r="I331" s="47" t="str">
        <x:f>IF(A331="","",SUMIFS(Payouts!$G$5:$G$504,Payouts!$B$5:$B$504,A331,Payouts!$H$5:$H$504,"Paid"))</x:f>
      </x:c>
      <x:c r="J331" s="47" t="str">
        <x:f>IF(A331="","",H331-I331)</x:f>
      </x:c>
      <x:c r="K331" s="9"/>
      <x:c r="L331" s="9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9"/>
      <x:c r="B332" s="9"/>
      <x:c r="C332" s="6" t="str">
        <x:f>IF(B332="","",VLOOKUP(B332,Customers!$A$5:$J$504,3,FALSE))</x:f>
      </x:c>
      <x:c r="D332" s="6" t="str">
        <x:f>IF(B332="","",VLOOKUP(B332,Customers!$A$5:$J$504,4,FALSE))</x:f>
      </x:c>
      <x:c r="E332" s="9"/>
      <x:c r="F332" s="43"/>
      <x:c r="G332" s="9"/>
      <x:c r="H332" s="47" t="str">
        <x:f>IF(A332="","",SUMIFS(Sales!$K$5:$K$504,Sales!$I$5:$I$504,A332,Sales!$L$5:$L$504,"Approved"))</x:f>
      </x:c>
      <x:c r="I332" s="47" t="str">
        <x:f>IF(A332="","",SUMIFS(Payouts!$G$5:$G$504,Payouts!$B$5:$B$504,A332,Payouts!$H$5:$H$504,"Paid"))</x:f>
      </x:c>
      <x:c r="J332" s="47" t="str">
        <x:f>IF(A332="","",H332-I332)</x:f>
      </x:c>
      <x:c r="K332" s="9"/>
      <x:c r="L332" s="9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9"/>
      <x:c r="B333" s="9"/>
      <x:c r="C333" s="6" t="str">
        <x:f>IF(B333="","",VLOOKUP(B333,Customers!$A$5:$J$504,3,FALSE))</x:f>
      </x:c>
      <x:c r="D333" s="6" t="str">
        <x:f>IF(B333="","",VLOOKUP(B333,Customers!$A$5:$J$504,4,FALSE))</x:f>
      </x:c>
      <x:c r="E333" s="9"/>
      <x:c r="F333" s="43"/>
      <x:c r="G333" s="9"/>
      <x:c r="H333" s="47" t="str">
        <x:f>IF(A333="","",SUMIFS(Sales!$K$5:$K$504,Sales!$I$5:$I$504,A333,Sales!$L$5:$L$504,"Approved"))</x:f>
      </x:c>
      <x:c r="I333" s="47" t="str">
        <x:f>IF(A333="","",SUMIFS(Payouts!$G$5:$G$504,Payouts!$B$5:$B$504,A333,Payouts!$H$5:$H$504,"Paid"))</x:f>
      </x:c>
      <x:c r="J333" s="47" t="str">
        <x:f>IF(A333="","",H333-I333)</x:f>
      </x:c>
      <x:c r="K333" s="9"/>
      <x:c r="L333" s="9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9"/>
      <x:c r="B334" s="9"/>
      <x:c r="C334" s="6" t="str">
        <x:f>IF(B334="","",VLOOKUP(B334,Customers!$A$5:$J$504,3,FALSE))</x:f>
      </x:c>
      <x:c r="D334" s="6" t="str">
        <x:f>IF(B334="","",VLOOKUP(B334,Customers!$A$5:$J$504,4,FALSE))</x:f>
      </x:c>
      <x:c r="E334" s="9"/>
      <x:c r="F334" s="43"/>
      <x:c r="G334" s="9"/>
      <x:c r="H334" s="47" t="str">
        <x:f>IF(A334="","",SUMIFS(Sales!$K$5:$K$504,Sales!$I$5:$I$504,A334,Sales!$L$5:$L$504,"Approved"))</x:f>
      </x:c>
      <x:c r="I334" s="47" t="str">
        <x:f>IF(A334="","",SUMIFS(Payouts!$G$5:$G$504,Payouts!$B$5:$B$504,A334,Payouts!$H$5:$H$504,"Paid"))</x:f>
      </x:c>
      <x:c r="J334" s="47" t="str">
        <x:f>IF(A334="","",H334-I334)</x:f>
      </x:c>
      <x:c r="K334" s="9"/>
      <x:c r="L334" s="9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9"/>
      <x:c r="B335" s="9"/>
      <x:c r="C335" s="6" t="str">
        <x:f>IF(B335="","",VLOOKUP(B335,Customers!$A$5:$J$504,3,FALSE))</x:f>
      </x:c>
      <x:c r="D335" s="6" t="str">
        <x:f>IF(B335="","",VLOOKUP(B335,Customers!$A$5:$J$504,4,FALSE))</x:f>
      </x:c>
      <x:c r="E335" s="9"/>
      <x:c r="F335" s="43"/>
      <x:c r="G335" s="9"/>
      <x:c r="H335" s="47" t="str">
        <x:f>IF(A335="","",SUMIFS(Sales!$K$5:$K$504,Sales!$I$5:$I$504,A335,Sales!$L$5:$L$504,"Approved"))</x:f>
      </x:c>
      <x:c r="I335" s="47" t="str">
        <x:f>IF(A335="","",SUMIFS(Payouts!$G$5:$G$504,Payouts!$B$5:$B$504,A335,Payouts!$H$5:$H$504,"Paid"))</x:f>
      </x:c>
      <x:c r="J335" s="47" t="str">
        <x:f>IF(A335="","",H335-I335)</x:f>
      </x:c>
      <x:c r="K335" s="9"/>
      <x:c r="L335" s="9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9"/>
      <x:c r="B336" s="9"/>
      <x:c r="C336" s="6" t="str">
        <x:f>IF(B336="","",VLOOKUP(B336,Customers!$A$5:$J$504,3,FALSE))</x:f>
      </x:c>
      <x:c r="D336" s="6" t="str">
        <x:f>IF(B336="","",VLOOKUP(B336,Customers!$A$5:$J$504,4,FALSE))</x:f>
      </x:c>
      <x:c r="E336" s="9"/>
      <x:c r="F336" s="43"/>
      <x:c r="G336" s="9"/>
      <x:c r="H336" s="47" t="str">
        <x:f>IF(A336="","",SUMIFS(Sales!$K$5:$K$504,Sales!$I$5:$I$504,A336,Sales!$L$5:$L$504,"Approved"))</x:f>
      </x:c>
      <x:c r="I336" s="47" t="str">
        <x:f>IF(A336="","",SUMIFS(Payouts!$G$5:$G$504,Payouts!$B$5:$B$504,A336,Payouts!$H$5:$H$504,"Paid"))</x:f>
      </x:c>
      <x:c r="J336" s="47" t="str">
        <x:f>IF(A336="","",H336-I336)</x:f>
      </x:c>
      <x:c r="K336" s="9"/>
      <x:c r="L336" s="9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9"/>
      <x:c r="B337" s="9"/>
      <x:c r="C337" s="6" t="str">
        <x:f>IF(B337="","",VLOOKUP(B337,Customers!$A$5:$J$504,3,FALSE))</x:f>
      </x:c>
      <x:c r="D337" s="6" t="str">
        <x:f>IF(B337="","",VLOOKUP(B337,Customers!$A$5:$J$504,4,FALSE))</x:f>
      </x:c>
      <x:c r="E337" s="9"/>
      <x:c r="F337" s="43"/>
      <x:c r="G337" s="9"/>
      <x:c r="H337" s="47" t="str">
        <x:f>IF(A337="","",SUMIFS(Sales!$K$5:$K$504,Sales!$I$5:$I$504,A337,Sales!$L$5:$L$504,"Approved"))</x:f>
      </x:c>
      <x:c r="I337" s="47" t="str">
        <x:f>IF(A337="","",SUMIFS(Payouts!$G$5:$G$504,Payouts!$B$5:$B$504,A337,Payouts!$H$5:$H$504,"Paid"))</x:f>
      </x:c>
      <x:c r="J337" s="47" t="str">
        <x:f>IF(A337="","",H337-I337)</x:f>
      </x:c>
      <x:c r="K337" s="9"/>
      <x:c r="L337" s="9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9"/>
      <x:c r="B338" s="9"/>
      <x:c r="C338" s="6" t="str">
        <x:f>IF(B338="","",VLOOKUP(B338,Customers!$A$5:$J$504,3,FALSE))</x:f>
      </x:c>
      <x:c r="D338" s="6" t="str">
        <x:f>IF(B338="","",VLOOKUP(B338,Customers!$A$5:$J$504,4,FALSE))</x:f>
      </x:c>
      <x:c r="E338" s="9"/>
      <x:c r="F338" s="43"/>
      <x:c r="G338" s="9"/>
      <x:c r="H338" s="47" t="str">
        <x:f>IF(A338="","",SUMIFS(Sales!$K$5:$K$504,Sales!$I$5:$I$504,A338,Sales!$L$5:$L$504,"Approved"))</x:f>
      </x:c>
      <x:c r="I338" s="47" t="str">
        <x:f>IF(A338="","",SUMIFS(Payouts!$G$5:$G$504,Payouts!$B$5:$B$504,A338,Payouts!$H$5:$H$504,"Paid"))</x:f>
      </x:c>
      <x:c r="J338" s="47" t="str">
        <x:f>IF(A338="","",H338-I338)</x:f>
      </x:c>
      <x:c r="K338" s="9"/>
      <x:c r="L338" s="9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9"/>
      <x:c r="B339" s="9"/>
      <x:c r="C339" s="6" t="str">
        <x:f>IF(B339="","",VLOOKUP(B339,Customers!$A$5:$J$504,3,FALSE))</x:f>
      </x:c>
      <x:c r="D339" s="6" t="str">
        <x:f>IF(B339="","",VLOOKUP(B339,Customers!$A$5:$J$504,4,FALSE))</x:f>
      </x:c>
      <x:c r="E339" s="9"/>
      <x:c r="F339" s="43"/>
      <x:c r="G339" s="9"/>
      <x:c r="H339" s="47" t="str">
        <x:f>IF(A339="","",SUMIFS(Sales!$K$5:$K$504,Sales!$I$5:$I$504,A339,Sales!$L$5:$L$504,"Approved"))</x:f>
      </x:c>
      <x:c r="I339" s="47" t="str">
        <x:f>IF(A339="","",SUMIFS(Payouts!$G$5:$G$504,Payouts!$B$5:$B$504,A339,Payouts!$H$5:$H$504,"Paid"))</x:f>
      </x:c>
      <x:c r="J339" s="47" t="str">
        <x:f>IF(A339="","",H339-I339)</x:f>
      </x:c>
      <x:c r="K339" s="9"/>
      <x:c r="L339" s="9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9"/>
      <x:c r="B340" s="9"/>
      <x:c r="C340" s="6" t="str">
        <x:f>IF(B340="","",VLOOKUP(B340,Customers!$A$5:$J$504,3,FALSE))</x:f>
      </x:c>
      <x:c r="D340" s="6" t="str">
        <x:f>IF(B340="","",VLOOKUP(B340,Customers!$A$5:$J$504,4,FALSE))</x:f>
      </x:c>
      <x:c r="E340" s="9"/>
      <x:c r="F340" s="43"/>
      <x:c r="G340" s="9"/>
      <x:c r="H340" s="47" t="str">
        <x:f>IF(A340="","",SUMIFS(Sales!$K$5:$K$504,Sales!$I$5:$I$504,A340,Sales!$L$5:$L$504,"Approved"))</x:f>
      </x:c>
      <x:c r="I340" s="47" t="str">
        <x:f>IF(A340="","",SUMIFS(Payouts!$G$5:$G$504,Payouts!$B$5:$B$504,A340,Payouts!$H$5:$H$504,"Paid"))</x:f>
      </x:c>
      <x:c r="J340" s="47" t="str">
        <x:f>IF(A340="","",H340-I340)</x:f>
      </x:c>
      <x:c r="K340" s="9"/>
      <x:c r="L340" s="9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9"/>
      <x:c r="B341" s="9"/>
      <x:c r="C341" s="6" t="str">
        <x:f>IF(B341="","",VLOOKUP(B341,Customers!$A$5:$J$504,3,FALSE))</x:f>
      </x:c>
      <x:c r="D341" s="6" t="str">
        <x:f>IF(B341="","",VLOOKUP(B341,Customers!$A$5:$J$504,4,FALSE))</x:f>
      </x:c>
      <x:c r="E341" s="9"/>
      <x:c r="F341" s="43"/>
      <x:c r="G341" s="9"/>
      <x:c r="H341" s="47" t="str">
        <x:f>IF(A341="","",SUMIFS(Sales!$K$5:$K$504,Sales!$I$5:$I$504,A341,Sales!$L$5:$L$504,"Approved"))</x:f>
      </x:c>
      <x:c r="I341" s="47" t="str">
        <x:f>IF(A341="","",SUMIFS(Payouts!$G$5:$G$504,Payouts!$B$5:$B$504,A341,Payouts!$H$5:$H$504,"Paid"))</x:f>
      </x:c>
      <x:c r="J341" s="47" t="str">
        <x:f>IF(A341="","",H341-I341)</x:f>
      </x:c>
      <x:c r="K341" s="9"/>
      <x:c r="L341" s="9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9"/>
      <x:c r="B342" s="9"/>
      <x:c r="C342" s="6" t="str">
        <x:f>IF(B342="","",VLOOKUP(B342,Customers!$A$5:$J$504,3,FALSE))</x:f>
      </x:c>
      <x:c r="D342" s="6" t="str">
        <x:f>IF(B342="","",VLOOKUP(B342,Customers!$A$5:$J$504,4,FALSE))</x:f>
      </x:c>
      <x:c r="E342" s="9"/>
      <x:c r="F342" s="43"/>
      <x:c r="G342" s="9"/>
      <x:c r="H342" s="47" t="str">
        <x:f>IF(A342="","",SUMIFS(Sales!$K$5:$K$504,Sales!$I$5:$I$504,A342,Sales!$L$5:$L$504,"Approved"))</x:f>
      </x:c>
      <x:c r="I342" s="47" t="str">
        <x:f>IF(A342="","",SUMIFS(Payouts!$G$5:$G$504,Payouts!$B$5:$B$504,A342,Payouts!$H$5:$H$504,"Paid"))</x:f>
      </x:c>
      <x:c r="J342" s="47" t="str">
        <x:f>IF(A342="","",H342-I342)</x:f>
      </x:c>
      <x:c r="K342" s="9"/>
      <x:c r="L342" s="9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9"/>
      <x:c r="B343" s="9"/>
      <x:c r="C343" s="6" t="str">
        <x:f>IF(B343="","",VLOOKUP(B343,Customers!$A$5:$J$504,3,FALSE))</x:f>
      </x:c>
      <x:c r="D343" s="6" t="str">
        <x:f>IF(B343="","",VLOOKUP(B343,Customers!$A$5:$J$504,4,FALSE))</x:f>
      </x:c>
      <x:c r="E343" s="9"/>
      <x:c r="F343" s="43"/>
      <x:c r="G343" s="9"/>
      <x:c r="H343" s="47" t="str">
        <x:f>IF(A343="","",SUMIFS(Sales!$K$5:$K$504,Sales!$I$5:$I$504,A343,Sales!$L$5:$L$504,"Approved"))</x:f>
      </x:c>
      <x:c r="I343" s="47" t="str">
        <x:f>IF(A343="","",SUMIFS(Payouts!$G$5:$G$504,Payouts!$B$5:$B$504,A343,Payouts!$H$5:$H$504,"Paid"))</x:f>
      </x:c>
      <x:c r="J343" s="47" t="str">
        <x:f>IF(A343="","",H343-I343)</x:f>
      </x:c>
      <x:c r="K343" s="9"/>
      <x:c r="L343" s="9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9"/>
      <x:c r="B344" s="9"/>
      <x:c r="C344" s="6" t="str">
        <x:f>IF(B344="","",VLOOKUP(B344,Customers!$A$5:$J$504,3,FALSE))</x:f>
      </x:c>
      <x:c r="D344" s="6" t="str">
        <x:f>IF(B344="","",VLOOKUP(B344,Customers!$A$5:$J$504,4,FALSE))</x:f>
      </x:c>
      <x:c r="E344" s="9"/>
      <x:c r="F344" s="43"/>
      <x:c r="G344" s="9"/>
      <x:c r="H344" s="47" t="str">
        <x:f>IF(A344="","",SUMIFS(Sales!$K$5:$K$504,Sales!$I$5:$I$504,A344,Sales!$L$5:$L$504,"Approved"))</x:f>
      </x:c>
      <x:c r="I344" s="47" t="str">
        <x:f>IF(A344="","",SUMIFS(Payouts!$G$5:$G$504,Payouts!$B$5:$B$504,A344,Payouts!$H$5:$H$504,"Paid"))</x:f>
      </x:c>
      <x:c r="J344" s="47" t="str">
        <x:f>IF(A344="","",H344-I344)</x:f>
      </x:c>
      <x:c r="K344" s="9"/>
      <x:c r="L344" s="9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9"/>
      <x:c r="B345" s="9"/>
      <x:c r="C345" s="6" t="str">
        <x:f>IF(B345="","",VLOOKUP(B345,Customers!$A$5:$J$504,3,FALSE))</x:f>
      </x:c>
      <x:c r="D345" s="6" t="str">
        <x:f>IF(B345="","",VLOOKUP(B345,Customers!$A$5:$J$504,4,FALSE))</x:f>
      </x:c>
      <x:c r="E345" s="9"/>
      <x:c r="F345" s="43"/>
      <x:c r="G345" s="9"/>
      <x:c r="H345" s="47" t="str">
        <x:f>IF(A345="","",SUMIFS(Sales!$K$5:$K$504,Sales!$I$5:$I$504,A345,Sales!$L$5:$L$504,"Approved"))</x:f>
      </x:c>
      <x:c r="I345" s="47" t="str">
        <x:f>IF(A345="","",SUMIFS(Payouts!$G$5:$G$504,Payouts!$B$5:$B$504,A345,Payouts!$H$5:$H$504,"Paid"))</x:f>
      </x:c>
      <x:c r="J345" s="47" t="str">
        <x:f>IF(A345="","",H345-I345)</x:f>
      </x:c>
      <x:c r="K345" s="9"/>
      <x:c r="L345" s="9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9"/>
      <x:c r="B346" s="9"/>
      <x:c r="C346" s="6" t="str">
        <x:f>IF(B346="","",VLOOKUP(B346,Customers!$A$5:$J$504,3,FALSE))</x:f>
      </x:c>
      <x:c r="D346" s="6" t="str">
        <x:f>IF(B346="","",VLOOKUP(B346,Customers!$A$5:$J$504,4,FALSE))</x:f>
      </x:c>
      <x:c r="E346" s="9"/>
      <x:c r="F346" s="43"/>
      <x:c r="G346" s="9"/>
      <x:c r="H346" s="47" t="str">
        <x:f>IF(A346="","",SUMIFS(Sales!$K$5:$K$504,Sales!$I$5:$I$504,A346,Sales!$L$5:$L$504,"Approved"))</x:f>
      </x:c>
      <x:c r="I346" s="47" t="str">
        <x:f>IF(A346="","",SUMIFS(Payouts!$G$5:$G$504,Payouts!$B$5:$B$504,A346,Payouts!$H$5:$H$504,"Paid"))</x:f>
      </x:c>
      <x:c r="J346" s="47" t="str">
        <x:f>IF(A346="","",H346-I346)</x:f>
      </x:c>
      <x:c r="K346" s="9"/>
      <x:c r="L346" s="9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9"/>
      <x:c r="B347" s="9"/>
      <x:c r="C347" s="6" t="str">
        <x:f>IF(B347="","",VLOOKUP(B347,Customers!$A$5:$J$504,3,FALSE))</x:f>
      </x:c>
      <x:c r="D347" s="6" t="str">
        <x:f>IF(B347="","",VLOOKUP(B347,Customers!$A$5:$J$504,4,FALSE))</x:f>
      </x:c>
      <x:c r="E347" s="9"/>
      <x:c r="F347" s="43"/>
      <x:c r="G347" s="9"/>
      <x:c r="H347" s="47" t="str">
        <x:f>IF(A347="","",SUMIFS(Sales!$K$5:$K$504,Sales!$I$5:$I$504,A347,Sales!$L$5:$L$504,"Approved"))</x:f>
      </x:c>
      <x:c r="I347" s="47" t="str">
        <x:f>IF(A347="","",SUMIFS(Payouts!$G$5:$G$504,Payouts!$B$5:$B$504,A347,Payouts!$H$5:$H$504,"Paid"))</x:f>
      </x:c>
      <x:c r="J347" s="47" t="str">
        <x:f>IF(A347="","",H347-I347)</x:f>
      </x:c>
      <x:c r="K347" s="9"/>
      <x:c r="L347" s="9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9"/>
      <x:c r="B348" s="9"/>
      <x:c r="C348" s="6" t="str">
        <x:f>IF(B348="","",VLOOKUP(B348,Customers!$A$5:$J$504,3,FALSE))</x:f>
      </x:c>
      <x:c r="D348" s="6" t="str">
        <x:f>IF(B348="","",VLOOKUP(B348,Customers!$A$5:$J$504,4,FALSE))</x:f>
      </x:c>
      <x:c r="E348" s="9"/>
      <x:c r="F348" s="43"/>
      <x:c r="G348" s="9"/>
      <x:c r="H348" s="47" t="str">
        <x:f>IF(A348="","",SUMIFS(Sales!$K$5:$K$504,Sales!$I$5:$I$504,A348,Sales!$L$5:$L$504,"Approved"))</x:f>
      </x:c>
      <x:c r="I348" s="47" t="str">
        <x:f>IF(A348="","",SUMIFS(Payouts!$G$5:$G$504,Payouts!$B$5:$B$504,A348,Payouts!$H$5:$H$504,"Paid"))</x:f>
      </x:c>
      <x:c r="J348" s="47" t="str">
        <x:f>IF(A348="","",H348-I348)</x:f>
      </x:c>
      <x:c r="K348" s="9"/>
      <x:c r="L348" s="9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9"/>
      <x:c r="B349" s="9"/>
      <x:c r="C349" s="6" t="str">
        <x:f>IF(B349="","",VLOOKUP(B349,Customers!$A$5:$J$504,3,FALSE))</x:f>
      </x:c>
      <x:c r="D349" s="6" t="str">
        <x:f>IF(B349="","",VLOOKUP(B349,Customers!$A$5:$J$504,4,FALSE))</x:f>
      </x:c>
      <x:c r="E349" s="9"/>
      <x:c r="F349" s="43"/>
      <x:c r="G349" s="9"/>
      <x:c r="H349" s="47" t="str">
        <x:f>IF(A349="","",SUMIFS(Sales!$K$5:$K$504,Sales!$I$5:$I$504,A349,Sales!$L$5:$L$504,"Approved"))</x:f>
      </x:c>
      <x:c r="I349" s="47" t="str">
        <x:f>IF(A349="","",SUMIFS(Payouts!$G$5:$G$504,Payouts!$B$5:$B$504,A349,Payouts!$H$5:$H$504,"Paid"))</x:f>
      </x:c>
      <x:c r="J349" s="47" t="str">
        <x:f>IF(A349="","",H349-I349)</x:f>
      </x:c>
      <x:c r="K349" s="9"/>
      <x:c r="L349" s="9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9"/>
      <x:c r="B350" s="9"/>
      <x:c r="C350" s="6" t="str">
        <x:f>IF(B350="","",VLOOKUP(B350,Customers!$A$5:$J$504,3,FALSE))</x:f>
      </x:c>
      <x:c r="D350" s="6" t="str">
        <x:f>IF(B350="","",VLOOKUP(B350,Customers!$A$5:$J$504,4,FALSE))</x:f>
      </x:c>
      <x:c r="E350" s="9"/>
      <x:c r="F350" s="43"/>
      <x:c r="G350" s="9"/>
      <x:c r="H350" s="47" t="str">
        <x:f>IF(A350="","",SUMIFS(Sales!$K$5:$K$504,Sales!$I$5:$I$504,A350,Sales!$L$5:$L$504,"Approved"))</x:f>
      </x:c>
      <x:c r="I350" s="47" t="str">
        <x:f>IF(A350="","",SUMIFS(Payouts!$G$5:$G$504,Payouts!$B$5:$B$504,A350,Payouts!$H$5:$H$504,"Paid"))</x:f>
      </x:c>
      <x:c r="J350" s="47" t="str">
        <x:f>IF(A350="","",H350-I350)</x:f>
      </x:c>
      <x:c r="K350" s="9"/>
      <x:c r="L350" s="9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9"/>
      <x:c r="B351" s="9"/>
      <x:c r="C351" s="6" t="str">
        <x:f>IF(B351="","",VLOOKUP(B351,Customers!$A$5:$J$504,3,FALSE))</x:f>
      </x:c>
      <x:c r="D351" s="6" t="str">
        <x:f>IF(B351="","",VLOOKUP(B351,Customers!$A$5:$J$504,4,FALSE))</x:f>
      </x:c>
      <x:c r="E351" s="9"/>
      <x:c r="F351" s="43"/>
      <x:c r="G351" s="9"/>
      <x:c r="H351" s="47" t="str">
        <x:f>IF(A351="","",SUMIFS(Sales!$K$5:$K$504,Sales!$I$5:$I$504,A351,Sales!$L$5:$L$504,"Approved"))</x:f>
      </x:c>
      <x:c r="I351" s="47" t="str">
        <x:f>IF(A351="","",SUMIFS(Payouts!$G$5:$G$504,Payouts!$B$5:$B$504,A351,Payouts!$H$5:$H$504,"Paid"))</x:f>
      </x:c>
      <x:c r="J351" s="47" t="str">
        <x:f>IF(A351="","",H351-I351)</x:f>
      </x:c>
      <x:c r="K351" s="9"/>
      <x:c r="L351" s="9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9"/>
      <x:c r="B352" s="9"/>
      <x:c r="C352" s="6" t="str">
        <x:f>IF(B352="","",VLOOKUP(B352,Customers!$A$5:$J$504,3,FALSE))</x:f>
      </x:c>
      <x:c r="D352" s="6" t="str">
        <x:f>IF(B352="","",VLOOKUP(B352,Customers!$A$5:$J$504,4,FALSE))</x:f>
      </x:c>
      <x:c r="E352" s="9"/>
      <x:c r="F352" s="43"/>
      <x:c r="G352" s="9"/>
      <x:c r="H352" s="47" t="str">
        <x:f>IF(A352="","",SUMIFS(Sales!$K$5:$K$504,Sales!$I$5:$I$504,A352,Sales!$L$5:$L$504,"Approved"))</x:f>
      </x:c>
      <x:c r="I352" s="47" t="str">
        <x:f>IF(A352="","",SUMIFS(Payouts!$G$5:$G$504,Payouts!$B$5:$B$504,A352,Payouts!$H$5:$H$504,"Paid"))</x:f>
      </x:c>
      <x:c r="J352" s="47" t="str">
        <x:f>IF(A352="","",H352-I352)</x:f>
      </x:c>
      <x:c r="K352" s="9"/>
      <x:c r="L352" s="9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9"/>
      <x:c r="B353" s="9"/>
      <x:c r="C353" s="6" t="str">
        <x:f>IF(B353="","",VLOOKUP(B353,Customers!$A$5:$J$504,3,FALSE))</x:f>
      </x:c>
      <x:c r="D353" s="6" t="str">
        <x:f>IF(B353="","",VLOOKUP(B353,Customers!$A$5:$J$504,4,FALSE))</x:f>
      </x:c>
      <x:c r="E353" s="9"/>
      <x:c r="F353" s="43"/>
      <x:c r="G353" s="9"/>
      <x:c r="H353" s="47" t="str">
        <x:f>IF(A353="","",SUMIFS(Sales!$K$5:$K$504,Sales!$I$5:$I$504,A353,Sales!$L$5:$L$504,"Approved"))</x:f>
      </x:c>
      <x:c r="I353" s="47" t="str">
        <x:f>IF(A353="","",SUMIFS(Payouts!$G$5:$G$504,Payouts!$B$5:$B$504,A353,Payouts!$H$5:$H$504,"Paid"))</x:f>
      </x:c>
      <x:c r="J353" s="47" t="str">
        <x:f>IF(A353="","",H353-I353)</x:f>
      </x:c>
      <x:c r="K353" s="9"/>
      <x:c r="L353" s="9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9"/>
      <x:c r="B354" s="9"/>
      <x:c r="C354" s="6" t="str">
        <x:f>IF(B354="","",VLOOKUP(B354,Customers!$A$5:$J$504,3,FALSE))</x:f>
      </x:c>
      <x:c r="D354" s="6" t="str">
        <x:f>IF(B354="","",VLOOKUP(B354,Customers!$A$5:$J$504,4,FALSE))</x:f>
      </x:c>
      <x:c r="E354" s="9"/>
      <x:c r="F354" s="43"/>
      <x:c r="G354" s="9"/>
      <x:c r="H354" s="47" t="str">
        <x:f>IF(A354="","",SUMIFS(Sales!$K$5:$K$504,Sales!$I$5:$I$504,A354,Sales!$L$5:$L$504,"Approved"))</x:f>
      </x:c>
      <x:c r="I354" s="47" t="str">
        <x:f>IF(A354="","",SUMIFS(Payouts!$G$5:$G$504,Payouts!$B$5:$B$504,A354,Payouts!$H$5:$H$504,"Paid"))</x:f>
      </x:c>
      <x:c r="J354" s="47" t="str">
        <x:f>IF(A354="","",H354-I354)</x:f>
      </x:c>
      <x:c r="K354" s="9"/>
      <x:c r="L354" s="9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9"/>
      <x:c r="B355" s="9"/>
      <x:c r="C355" s="6" t="str">
        <x:f>IF(B355="","",VLOOKUP(B355,Customers!$A$5:$J$504,3,FALSE))</x:f>
      </x:c>
      <x:c r="D355" s="6" t="str">
        <x:f>IF(B355="","",VLOOKUP(B355,Customers!$A$5:$J$504,4,FALSE))</x:f>
      </x:c>
      <x:c r="E355" s="9"/>
      <x:c r="F355" s="43"/>
      <x:c r="G355" s="9"/>
      <x:c r="H355" s="47" t="str">
        <x:f>IF(A355="","",SUMIFS(Sales!$K$5:$K$504,Sales!$I$5:$I$504,A355,Sales!$L$5:$L$504,"Approved"))</x:f>
      </x:c>
      <x:c r="I355" s="47" t="str">
        <x:f>IF(A355="","",SUMIFS(Payouts!$G$5:$G$504,Payouts!$B$5:$B$504,A355,Payouts!$H$5:$H$504,"Paid"))</x:f>
      </x:c>
      <x:c r="J355" s="47" t="str">
        <x:f>IF(A355="","",H355-I355)</x:f>
      </x:c>
      <x:c r="K355" s="9"/>
      <x:c r="L355" s="9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9"/>
      <x:c r="B356" s="9"/>
      <x:c r="C356" s="6" t="str">
        <x:f>IF(B356="","",VLOOKUP(B356,Customers!$A$5:$J$504,3,FALSE))</x:f>
      </x:c>
      <x:c r="D356" s="6" t="str">
        <x:f>IF(B356="","",VLOOKUP(B356,Customers!$A$5:$J$504,4,FALSE))</x:f>
      </x:c>
      <x:c r="E356" s="9"/>
      <x:c r="F356" s="43"/>
      <x:c r="G356" s="9"/>
      <x:c r="H356" s="47" t="str">
        <x:f>IF(A356="","",SUMIFS(Sales!$K$5:$K$504,Sales!$I$5:$I$504,A356,Sales!$L$5:$L$504,"Approved"))</x:f>
      </x:c>
      <x:c r="I356" s="47" t="str">
        <x:f>IF(A356="","",SUMIFS(Payouts!$G$5:$G$504,Payouts!$B$5:$B$504,A356,Payouts!$H$5:$H$504,"Paid"))</x:f>
      </x:c>
      <x:c r="J356" s="47" t="str">
        <x:f>IF(A356="","",H356-I356)</x:f>
      </x:c>
      <x:c r="K356" s="9"/>
      <x:c r="L356" s="9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9"/>
      <x:c r="B357" s="9"/>
      <x:c r="C357" s="6" t="str">
        <x:f>IF(B357="","",VLOOKUP(B357,Customers!$A$5:$J$504,3,FALSE))</x:f>
      </x:c>
      <x:c r="D357" s="6" t="str">
        <x:f>IF(B357="","",VLOOKUP(B357,Customers!$A$5:$J$504,4,FALSE))</x:f>
      </x:c>
      <x:c r="E357" s="9"/>
      <x:c r="F357" s="43"/>
      <x:c r="G357" s="9"/>
      <x:c r="H357" s="47" t="str">
        <x:f>IF(A357="","",SUMIFS(Sales!$K$5:$K$504,Sales!$I$5:$I$504,A357,Sales!$L$5:$L$504,"Approved"))</x:f>
      </x:c>
      <x:c r="I357" s="47" t="str">
        <x:f>IF(A357="","",SUMIFS(Payouts!$G$5:$G$504,Payouts!$B$5:$B$504,A357,Payouts!$H$5:$H$504,"Paid"))</x:f>
      </x:c>
      <x:c r="J357" s="47" t="str">
        <x:f>IF(A357="","",H357-I357)</x:f>
      </x:c>
      <x:c r="K357" s="9"/>
      <x:c r="L357" s="9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9"/>
      <x:c r="B358" s="9"/>
      <x:c r="C358" s="6" t="str">
        <x:f>IF(B358="","",VLOOKUP(B358,Customers!$A$5:$J$504,3,FALSE))</x:f>
      </x:c>
      <x:c r="D358" s="6" t="str">
        <x:f>IF(B358="","",VLOOKUP(B358,Customers!$A$5:$J$504,4,FALSE))</x:f>
      </x:c>
      <x:c r="E358" s="9"/>
      <x:c r="F358" s="43"/>
      <x:c r="G358" s="9"/>
      <x:c r="H358" s="47" t="str">
        <x:f>IF(A358="","",SUMIFS(Sales!$K$5:$K$504,Sales!$I$5:$I$504,A358,Sales!$L$5:$L$504,"Approved"))</x:f>
      </x:c>
      <x:c r="I358" s="47" t="str">
        <x:f>IF(A358="","",SUMIFS(Payouts!$G$5:$G$504,Payouts!$B$5:$B$504,A358,Payouts!$H$5:$H$504,"Paid"))</x:f>
      </x:c>
      <x:c r="J358" s="47" t="str">
        <x:f>IF(A358="","",H358-I358)</x:f>
      </x:c>
      <x:c r="K358" s="9"/>
      <x:c r="L358" s="9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9"/>
      <x:c r="B359" s="9"/>
      <x:c r="C359" s="6" t="str">
        <x:f>IF(B359="","",VLOOKUP(B359,Customers!$A$5:$J$504,3,FALSE))</x:f>
      </x:c>
      <x:c r="D359" s="6" t="str">
        <x:f>IF(B359="","",VLOOKUP(B359,Customers!$A$5:$J$504,4,FALSE))</x:f>
      </x:c>
      <x:c r="E359" s="9"/>
      <x:c r="F359" s="43"/>
      <x:c r="G359" s="9"/>
      <x:c r="H359" s="47" t="str">
        <x:f>IF(A359="","",SUMIFS(Sales!$K$5:$K$504,Sales!$I$5:$I$504,A359,Sales!$L$5:$L$504,"Approved"))</x:f>
      </x:c>
      <x:c r="I359" s="47" t="str">
        <x:f>IF(A359="","",SUMIFS(Payouts!$G$5:$G$504,Payouts!$B$5:$B$504,A359,Payouts!$H$5:$H$504,"Paid"))</x:f>
      </x:c>
      <x:c r="J359" s="47" t="str">
        <x:f>IF(A359="","",H359-I359)</x:f>
      </x:c>
      <x:c r="K359" s="9"/>
      <x:c r="L359" s="9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9"/>
      <x:c r="B360" s="9"/>
      <x:c r="C360" s="6" t="str">
        <x:f>IF(B360="","",VLOOKUP(B360,Customers!$A$5:$J$504,3,FALSE))</x:f>
      </x:c>
      <x:c r="D360" s="6" t="str">
        <x:f>IF(B360="","",VLOOKUP(B360,Customers!$A$5:$J$504,4,FALSE))</x:f>
      </x:c>
      <x:c r="E360" s="9"/>
      <x:c r="F360" s="43"/>
      <x:c r="G360" s="9"/>
      <x:c r="H360" s="47" t="str">
        <x:f>IF(A360="","",SUMIFS(Sales!$K$5:$K$504,Sales!$I$5:$I$504,A360,Sales!$L$5:$L$504,"Approved"))</x:f>
      </x:c>
      <x:c r="I360" s="47" t="str">
        <x:f>IF(A360="","",SUMIFS(Payouts!$G$5:$G$504,Payouts!$B$5:$B$504,A360,Payouts!$H$5:$H$504,"Paid"))</x:f>
      </x:c>
      <x:c r="J360" s="47" t="str">
        <x:f>IF(A360="","",H360-I360)</x:f>
      </x:c>
      <x:c r="K360" s="9"/>
      <x:c r="L360" s="9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9"/>
      <x:c r="B361" s="9"/>
      <x:c r="C361" s="6" t="str">
        <x:f>IF(B361="","",VLOOKUP(B361,Customers!$A$5:$J$504,3,FALSE))</x:f>
      </x:c>
      <x:c r="D361" s="6" t="str">
        <x:f>IF(B361="","",VLOOKUP(B361,Customers!$A$5:$J$504,4,FALSE))</x:f>
      </x:c>
      <x:c r="E361" s="9"/>
      <x:c r="F361" s="43"/>
      <x:c r="G361" s="9"/>
      <x:c r="H361" s="47" t="str">
        <x:f>IF(A361="","",SUMIFS(Sales!$K$5:$K$504,Sales!$I$5:$I$504,A361,Sales!$L$5:$L$504,"Approved"))</x:f>
      </x:c>
      <x:c r="I361" s="47" t="str">
        <x:f>IF(A361="","",SUMIFS(Payouts!$G$5:$G$504,Payouts!$B$5:$B$504,A361,Payouts!$H$5:$H$504,"Paid"))</x:f>
      </x:c>
      <x:c r="J361" s="47" t="str">
        <x:f>IF(A361="","",H361-I361)</x:f>
      </x:c>
      <x:c r="K361" s="9"/>
      <x:c r="L361" s="9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9"/>
      <x:c r="B362" s="9"/>
      <x:c r="C362" s="6" t="str">
        <x:f>IF(B362="","",VLOOKUP(B362,Customers!$A$5:$J$504,3,FALSE))</x:f>
      </x:c>
      <x:c r="D362" s="6" t="str">
        <x:f>IF(B362="","",VLOOKUP(B362,Customers!$A$5:$J$504,4,FALSE))</x:f>
      </x:c>
      <x:c r="E362" s="9"/>
      <x:c r="F362" s="43"/>
      <x:c r="G362" s="9"/>
      <x:c r="H362" s="47" t="str">
        <x:f>IF(A362="","",SUMIFS(Sales!$K$5:$K$504,Sales!$I$5:$I$504,A362,Sales!$L$5:$L$504,"Approved"))</x:f>
      </x:c>
      <x:c r="I362" s="47" t="str">
        <x:f>IF(A362="","",SUMIFS(Payouts!$G$5:$G$504,Payouts!$B$5:$B$504,A362,Payouts!$H$5:$H$504,"Paid"))</x:f>
      </x:c>
      <x:c r="J362" s="47" t="str">
        <x:f>IF(A362="","",H362-I362)</x:f>
      </x:c>
      <x:c r="K362" s="9"/>
      <x:c r="L362" s="9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9"/>
      <x:c r="B363" s="9"/>
      <x:c r="C363" s="6" t="str">
        <x:f>IF(B363="","",VLOOKUP(B363,Customers!$A$5:$J$504,3,FALSE))</x:f>
      </x:c>
      <x:c r="D363" s="6" t="str">
        <x:f>IF(B363="","",VLOOKUP(B363,Customers!$A$5:$J$504,4,FALSE))</x:f>
      </x:c>
      <x:c r="E363" s="9"/>
      <x:c r="F363" s="43"/>
      <x:c r="G363" s="9"/>
      <x:c r="H363" s="47" t="str">
        <x:f>IF(A363="","",SUMIFS(Sales!$K$5:$K$504,Sales!$I$5:$I$504,A363,Sales!$L$5:$L$504,"Approved"))</x:f>
      </x:c>
      <x:c r="I363" s="47" t="str">
        <x:f>IF(A363="","",SUMIFS(Payouts!$G$5:$G$504,Payouts!$B$5:$B$504,A363,Payouts!$H$5:$H$504,"Paid"))</x:f>
      </x:c>
      <x:c r="J363" s="47" t="str">
        <x:f>IF(A363="","",H363-I363)</x:f>
      </x:c>
      <x:c r="K363" s="9"/>
      <x:c r="L363" s="9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9"/>
      <x:c r="B364" s="9"/>
      <x:c r="C364" s="6" t="str">
        <x:f>IF(B364="","",VLOOKUP(B364,Customers!$A$5:$J$504,3,FALSE))</x:f>
      </x:c>
      <x:c r="D364" s="6" t="str">
        <x:f>IF(B364="","",VLOOKUP(B364,Customers!$A$5:$J$504,4,FALSE))</x:f>
      </x:c>
      <x:c r="E364" s="9"/>
      <x:c r="F364" s="43"/>
      <x:c r="G364" s="9"/>
      <x:c r="H364" s="47" t="str">
        <x:f>IF(A364="","",SUMIFS(Sales!$K$5:$K$504,Sales!$I$5:$I$504,A364,Sales!$L$5:$L$504,"Approved"))</x:f>
      </x:c>
      <x:c r="I364" s="47" t="str">
        <x:f>IF(A364="","",SUMIFS(Payouts!$G$5:$G$504,Payouts!$B$5:$B$504,A364,Payouts!$H$5:$H$504,"Paid"))</x:f>
      </x:c>
      <x:c r="J364" s="47" t="str">
        <x:f>IF(A364="","",H364-I364)</x:f>
      </x:c>
      <x:c r="K364" s="9"/>
      <x:c r="L364" s="9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9"/>
      <x:c r="B365" s="9"/>
      <x:c r="C365" s="6" t="str">
        <x:f>IF(B365="","",VLOOKUP(B365,Customers!$A$5:$J$504,3,FALSE))</x:f>
      </x:c>
      <x:c r="D365" s="6" t="str">
        <x:f>IF(B365="","",VLOOKUP(B365,Customers!$A$5:$J$504,4,FALSE))</x:f>
      </x:c>
      <x:c r="E365" s="9"/>
      <x:c r="F365" s="43"/>
      <x:c r="G365" s="9"/>
      <x:c r="H365" s="47" t="str">
        <x:f>IF(A365="","",SUMIFS(Sales!$K$5:$K$504,Sales!$I$5:$I$504,A365,Sales!$L$5:$L$504,"Approved"))</x:f>
      </x:c>
      <x:c r="I365" s="47" t="str">
        <x:f>IF(A365="","",SUMIFS(Payouts!$G$5:$G$504,Payouts!$B$5:$B$504,A365,Payouts!$H$5:$H$504,"Paid"))</x:f>
      </x:c>
      <x:c r="J365" s="47" t="str">
        <x:f>IF(A365="","",H365-I365)</x:f>
      </x:c>
      <x:c r="K365" s="9"/>
      <x:c r="L365" s="9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9"/>
      <x:c r="B366" s="9"/>
      <x:c r="C366" s="6" t="str">
        <x:f>IF(B366="","",VLOOKUP(B366,Customers!$A$5:$J$504,3,FALSE))</x:f>
      </x:c>
      <x:c r="D366" s="6" t="str">
        <x:f>IF(B366="","",VLOOKUP(B366,Customers!$A$5:$J$504,4,FALSE))</x:f>
      </x:c>
      <x:c r="E366" s="9"/>
      <x:c r="F366" s="43"/>
      <x:c r="G366" s="9"/>
      <x:c r="H366" s="47" t="str">
        <x:f>IF(A366="","",SUMIFS(Sales!$K$5:$K$504,Sales!$I$5:$I$504,A366,Sales!$L$5:$L$504,"Approved"))</x:f>
      </x:c>
      <x:c r="I366" s="47" t="str">
        <x:f>IF(A366="","",SUMIFS(Payouts!$G$5:$G$504,Payouts!$B$5:$B$504,A366,Payouts!$H$5:$H$504,"Paid"))</x:f>
      </x:c>
      <x:c r="J366" s="47" t="str">
        <x:f>IF(A366="","",H366-I366)</x:f>
      </x:c>
      <x:c r="K366" s="9"/>
      <x:c r="L366" s="9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9"/>
      <x:c r="B367" s="9"/>
      <x:c r="C367" s="6" t="str">
        <x:f>IF(B367="","",VLOOKUP(B367,Customers!$A$5:$J$504,3,FALSE))</x:f>
      </x:c>
      <x:c r="D367" s="6" t="str">
        <x:f>IF(B367="","",VLOOKUP(B367,Customers!$A$5:$J$504,4,FALSE))</x:f>
      </x:c>
      <x:c r="E367" s="9"/>
      <x:c r="F367" s="43"/>
      <x:c r="G367" s="9"/>
      <x:c r="H367" s="47" t="str">
        <x:f>IF(A367="","",SUMIFS(Sales!$K$5:$K$504,Sales!$I$5:$I$504,A367,Sales!$L$5:$L$504,"Approved"))</x:f>
      </x:c>
      <x:c r="I367" s="47" t="str">
        <x:f>IF(A367="","",SUMIFS(Payouts!$G$5:$G$504,Payouts!$B$5:$B$504,A367,Payouts!$H$5:$H$504,"Paid"))</x:f>
      </x:c>
      <x:c r="J367" s="47" t="str">
        <x:f>IF(A367="","",H367-I367)</x:f>
      </x:c>
      <x:c r="K367" s="9"/>
      <x:c r="L367" s="9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9"/>
      <x:c r="B368" s="9"/>
      <x:c r="C368" s="6" t="str">
        <x:f>IF(B368="","",VLOOKUP(B368,Customers!$A$5:$J$504,3,FALSE))</x:f>
      </x:c>
      <x:c r="D368" s="6" t="str">
        <x:f>IF(B368="","",VLOOKUP(B368,Customers!$A$5:$J$504,4,FALSE))</x:f>
      </x:c>
      <x:c r="E368" s="9"/>
      <x:c r="F368" s="43"/>
      <x:c r="G368" s="9"/>
      <x:c r="H368" s="47" t="str">
        <x:f>IF(A368="","",SUMIFS(Sales!$K$5:$K$504,Sales!$I$5:$I$504,A368,Sales!$L$5:$L$504,"Approved"))</x:f>
      </x:c>
      <x:c r="I368" s="47" t="str">
        <x:f>IF(A368="","",SUMIFS(Payouts!$G$5:$G$504,Payouts!$B$5:$B$504,A368,Payouts!$H$5:$H$504,"Paid"))</x:f>
      </x:c>
      <x:c r="J368" s="47" t="str">
        <x:f>IF(A368="","",H368-I368)</x:f>
      </x:c>
      <x:c r="K368" s="9"/>
      <x:c r="L368" s="9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9"/>
      <x:c r="B369" s="9"/>
      <x:c r="C369" s="6" t="str">
        <x:f>IF(B369="","",VLOOKUP(B369,Customers!$A$5:$J$504,3,FALSE))</x:f>
      </x:c>
      <x:c r="D369" s="6" t="str">
        <x:f>IF(B369="","",VLOOKUP(B369,Customers!$A$5:$J$504,4,FALSE))</x:f>
      </x:c>
      <x:c r="E369" s="9"/>
      <x:c r="F369" s="43"/>
      <x:c r="G369" s="9"/>
      <x:c r="H369" s="47" t="str">
        <x:f>IF(A369="","",SUMIFS(Sales!$K$5:$K$504,Sales!$I$5:$I$504,A369,Sales!$L$5:$L$504,"Approved"))</x:f>
      </x:c>
      <x:c r="I369" s="47" t="str">
        <x:f>IF(A369="","",SUMIFS(Payouts!$G$5:$G$504,Payouts!$B$5:$B$504,A369,Payouts!$H$5:$H$504,"Paid"))</x:f>
      </x:c>
      <x:c r="J369" s="47" t="str">
        <x:f>IF(A369="","",H369-I369)</x:f>
      </x:c>
      <x:c r="K369" s="9"/>
      <x:c r="L369" s="9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9"/>
      <x:c r="B370" s="9"/>
      <x:c r="C370" s="6" t="str">
        <x:f>IF(B370="","",VLOOKUP(B370,Customers!$A$5:$J$504,3,FALSE))</x:f>
      </x:c>
      <x:c r="D370" s="6" t="str">
        <x:f>IF(B370="","",VLOOKUP(B370,Customers!$A$5:$J$504,4,FALSE))</x:f>
      </x:c>
      <x:c r="E370" s="9"/>
      <x:c r="F370" s="43"/>
      <x:c r="G370" s="9"/>
      <x:c r="H370" s="47" t="str">
        <x:f>IF(A370="","",SUMIFS(Sales!$K$5:$K$504,Sales!$I$5:$I$504,A370,Sales!$L$5:$L$504,"Approved"))</x:f>
      </x:c>
      <x:c r="I370" s="47" t="str">
        <x:f>IF(A370="","",SUMIFS(Payouts!$G$5:$G$504,Payouts!$B$5:$B$504,A370,Payouts!$H$5:$H$504,"Paid"))</x:f>
      </x:c>
      <x:c r="J370" s="47" t="str">
        <x:f>IF(A370="","",H370-I370)</x:f>
      </x:c>
      <x:c r="K370" s="9"/>
      <x:c r="L370" s="9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9"/>
      <x:c r="B371" s="9"/>
      <x:c r="C371" s="6" t="str">
        <x:f>IF(B371="","",VLOOKUP(B371,Customers!$A$5:$J$504,3,FALSE))</x:f>
      </x:c>
      <x:c r="D371" s="6" t="str">
        <x:f>IF(B371="","",VLOOKUP(B371,Customers!$A$5:$J$504,4,FALSE))</x:f>
      </x:c>
      <x:c r="E371" s="9"/>
      <x:c r="F371" s="43"/>
      <x:c r="G371" s="9"/>
      <x:c r="H371" s="47" t="str">
        <x:f>IF(A371="","",SUMIFS(Sales!$K$5:$K$504,Sales!$I$5:$I$504,A371,Sales!$L$5:$L$504,"Approved"))</x:f>
      </x:c>
      <x:c r="I371" s="47" t="str">
        <x:f>IF(A371="","",SUMIFS(Payouts!$G$5:$G$504,Payouts!$B$5:$B$504,A371,Payouts!$H$5:$H$504,"Paid"))</x:f>
      </x:c>
      <x:c r="J371" s="47" t="str">
        <x:f>IF(A371="","",H371-I371)</x:f>
      </x:c>
      <x:c r="K371" s="9"/>
      <x:c r="L371" s="9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9"/>
      <x:c r="B372" s="9"/>
      <x:c r="C372" s="6" t="str">
        <x:f>IF(B372="","",VLOOKUP(B372,Customers!$A$5:$J$504,3,FALSE))</x:f>
      </x:c>
      <x:c r="D372" s="6" t="str">
        <x:f>IF(B372="","",VLOOKUP(B372,Customers!$A$5:$J$504,4,FALSE))</x:f>
      </x:c>
      <x:c r="E372" s="9"/>
      <x:c r="F372" s="43"/>
      <x:c r="G372" s="9"/>
      <x:c r="H372" s="47" t="str">
        <x:f>IF(A372="","",SUMIFS(Sales!$K$5:$K$504,Sales!$I$5:$I$504,A372,Sales!$L$5:$L$504,"Approved"))</x:f>
      </x:c>
      <x:c r="I372" s="47" t="str">
        <x:f>IF(A372="","",SUMIFS(Payouts!$G$5:$G$504,Payouts!$B$5:$B$504,A372,Payouts!$H$5:$H$504,"Paid"))</x:f>
      </x:c>
      <x:c r="J372" s="47" t="str">
        <x:f>IF(A372="","",H372-I372)</x:f>
      </x:c>
      <x:c r="K372" s="9"/>
      <x:c r="L372" s="9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9"/>
      <x:c r="B373" s="9"/>
      <x:c r="C373" s="6" t="str">
        <x:f>IF(B373="","",VLOOKUP(B373,Customers!$A$5:$J$504,3,FALSE))</x:f>
      </x:c>
      <x:c r="D373" s="6" t="str">
        <x:f>IF(B373="","",VLOOKUP(B373,Customers!$A$5:$J$504,4,FALSE))</x:f>
      </x:c>
      <x:c r="E373" s="9"/>
      <x:c r="F373" s="43"/>
      <x:c r="G373" s="9"/>
      <x:c r="H373" s="47" t="str">
        <x:f>IF(A373="","",SUMIFS(Sales!$K$5:$K$504,Sales!$I$5:$I$504,A373,Sales!$L$5:$L$504,"Approved"))</x:f>
      </x:c>
      <x:c r="I373" s="47" t="str">
        <x:f>IF(A373="","",SUMIFS(Payouts!$G$5:$G$504,Payouts!$B$5:$B$504,A373,Payouts!$H$5:$H$504,"Paid"))</x:f>
      </x:c>
      <x:c r="J373" s="47" t="str">
        <x:f>IF(A373="","",H373-I373)</x:f>
      </x:c>
      <x:c r="K373" s="9"/>
      <x:c r="L373" s="9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9"/>
      <x:c r="B374" s="9"/>
      <x:c r="C374" s="6" t="str">
        <x:f>IF(B374="","",VLOOKUP(B374,Customers!$A$5:$J$504,3,FALSE))</x:f>
      </x:c>
      <x:c r="D374" s="6" t="str">
        <x:f>IF(B374="","",VLOOKUP(B374,Customers!$A$5:$J$504,4,FALSE))</x:f>
      </x:c>
      <x:c r="E374" s="9"/>
      <x:c r="F374" s="43"/>
      <x:c r="G374" s="9"/>
      <x:c r="H374" s="47" t="str">
        <x:f>IF(A374="","",SUMIFS(Sales!$K$5:$K$504,Sales!$I$5:$I$504,A374,Sales!$L$5:$L$504,"Approved"))</x:f>
      </x:c>
      <x:c r="I374" s="47" t="str">
        <x:f>IF(A374="","",SUMIFS(Payouts!$G$5:$G$504,Payouts!$B$5:$B$504,A374,Payouts!$H$5:$H$504,"Paid"))</x:f>
      </x:c>
      <x:c r="J374" s="47" t="str">
        <x:f>IF(A374="","",H374-I374)</x:f>
      </x:c>
      <x:c r="K374" s="9"/>
      <x:c r="L374" s="9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9"/>
      <x:c r="B375" s="9"/>
      <x:c r="C375" s="6" t="str">
        <x:f>IF(B375="","",VLOOKUP(B375,Customers!$A$5:$J$504,3,FALSE))</x:f>
      </x:c>
      <x:c r="D375" s="6" t="str">
        <x:f>IF(B375="","",VLOOKUP(B375,Customers!$A$5:$J$504,4,FALSE))</x:f>
      </x:c>
      <x:c r="E375" s="9"/>
      <x:c r="F375" s="43"/>
      <x:c r="G375" s="9"/>
      <x:c r="H375" s="47" t="str">
        <x:f>IF(A375="","",SUMIFS(Sales!$K$5:$K$504,Sales!$I$5:$I$504,A375,Sales!$L$5:$L$504,"Approved"))</x:f>
      </x:c>
      <x:c r="I375" s="47" t="str">
        <x:f>IF(A375="","",SUMIFS(Payouts!$G$5:$G$504,Payouts!$B$5:$B$504,A375,Payouts!$H$5:$H$504,"Paid"))</x:f>
      </x:c>
      <x:c r="J375" s="47" t="str">
        <x:f>IF(A375="","",H375-I375)</x:f>
      </x:c>
      <x:c r="K375" s="9"/>
      <x:c r="L375" s="9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9"/>
      <x:c r="B376" s="9"/>
      <x:c r="C376" s="6" t="str">
        <x:f>IF(B376="","",VLOOKUP(B376,Customers!$A$5:$J$504,3,FALSE))</x:f>
      </x:c>
      <x:c r="D376" s="6" t="str">
        <x:f>IF(B376="","",VLOOKUP(B376,Customers!$A$5:$J$504,4,FALSE))</x:f>
      </x:c>
      <x:c r="E376" s="9"/>
      <x:c r="F376" s="43"/>
      <x:c r="G376" s="9"/>
      <x:c r="H376" s="47" t="str">
        <x:f>IF(A376="","",SUMIFS(Sales!$K$5:$K$504,Sales!$I$5:$I$504,A376,Sales!$L$5:$L$504,"Approved"))</x:f>
      </x:c>
      <x:c r="I376" s="47" t="str">
        <x:f>IF(A376="","",SUMIFS(Payouts!$G$5:$G$504,Payouts!$B$5:$B$504,A376,Payouts!$H$5:$H$504,"Paid"))</x:f>
      </x:c>
      <x:c r="J376" s="47" t="str">
        <x:f>IF(A376="","",H376-I376)</x:f>
      </x:c>
      <x:c r="K376" s="9"/>
      <x:c r="L376" s="9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9"/>
      <x:c r="B377" s="9"/>
      <x:c r="C377" s="6" t="str">
        <x:f>IF(B377="","",VLOOKUP(B377,Customers!$A$5:$J$504,3,FALSE))</x:f>
      </x:c>
      <x:c r="D377" s="6" t="str">
        <x:f>IF(B377="","",VLOOKUP(B377,Customers!$A$5:$J$504,4,FALSE))</x:f>
      </x:c>
      <x:c r="E377" s="9"/>
      <x:c r="F377" s="43"/>
      <x:c r="G377" s="9"/>
      <x:c r="H377" s="47" t="str">
        <x:f>IF(A377="","",SUMIFS(Sales!$K$5:$K$504,Sales!$I$5:$I$504,A377,Sales!$L$5:$L$504,"Approved"))</x:f>
      </x:c>
      <x:c r="I377" s="47" t="str">
        <x:f>IF(A377="","",SUMIFS(Payouts!$G$5:$G$504,Payouts!$B$5:$B$504,A377,Payouts!$H$5:$H$504,"Paid"))</x:f>
      </x:c>
      <x:c r="J377" s="47" t="str">
        <x:f>IF(A377="","",H377-I377)</x:f>
      </x:c>
      <x:c r="K377" s="9"/>
      <x:c r="L377" s="9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9"/>
      <x:c r="B378" s="9"/>
      <x:c r="C378" s="6" t="str">
        <x:f>IF(B378="","",VLOOKUP(B378,Customers!$A$5:$J$504,3,FALSE))</x:f>
      </x:c>
      <x:c r="D378" s="6" t="str">
        <x:f>IF(B378="","",VLOOKUP(B378,Customers!$A$5:$J$504,4,FALSE))</x:f>
      </x:c>
      <x:c r="E378" s="9"/>
      <x:c r="F378" s="43"/>
      <x:c r="G378" s="9"/>
      <x:c r="H378" s="47" t="str">
        <x:f>IF(A378="","",SUMIFS(Sales!$K$5:$K$504,Sales!$I$5:$I$504,A378,Sales!$L$5:$L$504,"Approved"))</x:f>
      </x:c>
      <x:c r="I378" s="47" t="str">
        <x:f>IF(A378="","",SUMIFS(Payouts!$G$5:$G$504,Payouts!$B$5:$B$504,A378,Payouts!$H$5:$H$504,"Paid"))</x:f>
      </x:c>
      <x:c r="J378" s="47" t="str">
        <x:f>IF(A378="","",H378-I378)</x:f>
      </x:c>
      <x:c r="K378" s="9"/>
      <x:c r="L378" s="9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9"/>
      <x:c r="B379" s="9"/>
      <x:c r="C379" s="6" t="str">
        <x:f>IF(B379="","",VLOOKUP(B379,Customers!$A$5:$J$504,3,FALSE))</x:f>
      </x:c>
      <x:c r="D379" s="6" t="str">
        <x:f>IF(B379="","",VLOOKUP(B379,Customers!$A$5:$J$504,4,FALSE))</x:f>
      </x:c>
      <x:c r="E379" s="9"/>
      <x:c r="F379" s="43"/>
      <x:c r="G379" s="9"/>
      <x:c r="H379" s="47" t="str">
        <x:f>IF(A379="","",SUMIFS(Sales!$K$5:$K$504,Sales!$I$5:$I$504,A379,Sales!$L$5:$L$504,"Approved"))</x:f>
      </x:c>
      <x:c r="I379" s="47" t="str">
        <x:f>IF(A379="","",SUMIFS(Payouts!$G$5:$G$504,Payouts!$B$5:$B$504,A379,Payouts!$H$5:$H$504,"Paid"))</x:f>
      </x:c>
      <x:c r="J379" s="47" t="str">
        <x:f>IF(A379="","",H379-I379)</x:f>
      </x:c>
      <x:c r="K379" s="9"/>
      <x:c r="L379" s="9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9"/>
      <x:c r="B380" s="9"/>
      <x:c r="C380" s="6" t="str">
        <x:f>IF(B380="","",VLOOKUP(B380,Customers!$A$5:$J$504,3,FALSE))</x:f>
      </x:c>
      <x:c r="D380" s="6" t="str">
        <x:f>IF(B380="","",VLOOKUP(B380,Customers!$A$5:$J$504,4,FALSE))</x:f>
      </x:c>
      <x:c r="E380" s="9"/>
      <x:c r="F380" s="43"/>
      <x:c r="G380" s="9"/>
      <x:c r="H380" s="47" t="str">
        <x:f>IF(A380="","",SUMIFS(Sales!$K$5:$K$504,Sales!$I$5:$I$504,A380,Sales!$L$5:$L$504,"Approved"))</x:f>
      </x:c>
      <x:c r="I380" s="47" t="str">
        <x:f>IF(A380="","",SUMIFS(Payouts!$G$5:$G$504,Payouts!$B$5:$B$504,A380,Payouts!$H$5:$H$504,"Paid"))</x:f>
      </x:c>
      <x:c r="J380" s="47" t="str">
        <x:f>IF(A380="","",H380-I380)</x:f>
      </x:c>
      <x:c r="K380" s="9"/>
      <x:c r="L380" s="9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9"/>
      <x:c r="B381" s="9"/>
      <x:c r="C381" s="6" t="str">
        <x:f>IF(B381="","",VLOOKUP(B381,Customers!$A$5:$J$504,3,FALSE))</x:f>
      </x:c>
      <x:c r="D381" s="6" t="str">
        <x:f>IF(B381="","",VLOOKUP(B381,Customers!$A$5:$J$504,4,FALSE))</x:f>
      </x:c>
      <x:c r="E381" s="9"/>
      <x:c r="F381" s="43"/>
      <x:c r="G381" s="9"/>
      <x:c r="H381" s="47" t="str">
        <x:f>IF(A381="","",SUMIFS(Sales!$K$5:$K$504,Sales!$I$5:$I$504,A381,Sales!$L$5:$L$504,"Approved"))</x:f>
      </x:c>
      <x:c r="I381" s="47" t="str">
        <x:f>IF(A381="","",SUMIFS(Payouts!$G$5:$G$504,Payouts!$B$5:$B$504,A381,Payouts!$H$5:$H$504,"Paid"))</x:f>
      </x:c>
      <x:c r="J381" s="47" t="str">
        <x:f>IF(A381="","",H381-I381)</x:f>
      </x:c>
      <x:c r="K381" s="9"/>
      <x:c r="L381" s="9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9"/>
      <x:c r="B382" s="9"/>
      <x:c r="C382" s="6" t="str">
        <x:f>IF(B382="","",VLOOKUP(B382,Customers!$A$5:$J$504,3,FALSE))</x:f>
      </x:c>
      <x:c r="D382" s="6" t="str">
        <x:f>IF(B382="","",VLOOKUP(B382,Customers!$A$5:$J$504,4,FALSE))</x:f>
      </x:c>
      <x:c r="E382" s="9"/>
      <x:c r="F382" s="43"/>
      <x:c r="G382" s="9"/>
      <x:c r="H382" s="47" t="str">
        <x:f>IF(A382="","",SUMIFS(Sales!$K$5:$K$504,Sales!$I$5:$I$504,A382,Sales!$L$5:$L$504,"Approved"))</x:f>
      </x:c>
      <x:c r="I382" s="47" t="str">
        <x:f>IF(A382="","",SUMIFS(Payouts!$G$5:$G$504,Payouts!$B$5:$B$504,A382,Payouts!$H$5:$H$504,"Paid"))</x:f>
      </x:c>
      <x:c r="J382" s="47" t="str">
        <x:f>IF(A382="","",H382-I382)</x:f>
      </x:c>
      <x:c r="K382" s="9"/>
      <x:c r="L382" s="9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9"/>
      <x:c r="B383" s="9"/>
      <x:c r="C383" s="6" t="str">
        <x:f>IF(B383="","",VLOOKUP(B383,Customers!$A$5:$J$504,3,FALSE))</x:f>
      </x:c>
      <x:c r="D383" s="6" t="str">
        <x:f>IF(B383="","",VLOOKUP(B383,Customers!$A$5:$J$504,4,FALSE))</x:f>
      </x:c>
      <x:c r="E383" s="9"/>
      <x:c r="F383" s="43"/>
      <x:c r="G383" s="9"/>
      <x:c r="H383" s="47" t="str">
        <x:f>IF(A383="","",SUMIFS(Sales!$K$5:$K$504,Sales!$I$5:$I$504,A383,Sales!$L$5:$L$504,"Approved"))</x:f>
      </x:c>
      <x:c r="I383" s="47" t="str">
        <x:f>IF(A383="","",SUMIFS(Payouts!$G$5:$G$504,Payouts!$B$5:$B$504,A383,Payouts!$H$5:$H$504,"Paid"))</x:f>
      </x:c>
      <x:c r="J383" s="47" t="str">
        <x:f>IF(A383="","",H383-I383)</x:f>
      </x:c>
      <x:c r="K383" s="9"/>
      <x:c r="L383" s="9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9"/>
      <x:c r="B384" s="9"/>
      <x:c r="C384" s="6" t="str">
        <x:f>IF(B384="","",VLOOKUP(B384,Customers!$A$5:$J$504,3,FALSE))</x:f>
      </x:c>
      <x:c r="D384" s="6" t="str">
        <x:f>IF(B384="","",VLOOKUP(B384,Customers!$A$5:$J$504,4,FALSE))</x:f>
      </x:c>
      <x:c r="E384" s="9"/>
      <x:c r="F384" s="43"/>
      <x:c r="G384" s="9"/>
      <x:c r="H384" s="47" t="str">
        <x:f>IF(A384="","",SUMIFS(Sales!$K$5:$K$504,Sales!$I$5:$I$504,A384,Sales!$L$5:$L$504,"Approved"))</x:f>
      </x:c>
      <x:c r="I384" s="47" t="str">
        <x:f>IF(A384="","",SUMIFS(Payouts!$G$5:$G$504,Payouts!$B$5:$B$504,A384,Payouts!$H$5:$H$504,"Paid"))</x:f>
      </x:c>
      <x:c r="J384" s="47" t="str">
        <x:f>IF(A384="","",H384-I384)</x:f>
      </x:c>
      <x:c r="K384" s="9"/>
      <x:c r="L384" s="9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9"/>
      <x:c r="B385" s="9"/>
      <x:c r="C385" s="6" t="str">
        <x:f>IF(B385="","",VLOOKUP(B385,Customers!$A$5:$J$504,3,FALSE))</x:f>
      </x:c>
      <x:c r="D385" s="6" t="str">
        <x:f>IF(B385="","",VLOOKUP(B385,Customers!$A$5:$J$504,4,FALSE))</x:f>
      </x:c>
      <x:c r="E385" s="9"/>
      <x:c r="F385" s="43"/>
      <x:c r="G385" s="9"/>
      <x:c r="H385" s="47" t="str">
        <x:f>IF(A385="","",SUMIFS(Sales!$K$5:$K$504,Sales!$I$5:$I$504,A385,Sales!$L$5:$L$504,"Approved"))</x:f>
      </x:c>
      <x:c r="I385" s="47" t="str">
        <x:f>IF(A385="","",SUMIFS(Payouts!$G$5:$G$504,Payouts!$B$5:$B$504,A385,Payouts!$H$5:$H$504,"Paid"))</x:f>
      </x:c>
      <x:c r="J385" s="47" t="str">
        <x:f>IF(A385="","",H385-I385)</x:f>
      </x:c>
      <x:c r="K385" s="9"/>
      <x:c r="L385" s="9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9"/>
      <x:c r="B386" s="9"/>
      <x:c r="C386" s="6" t="str">
        <x:f>IF(B386="","",VLOOKUP(B386,Customers!$A$5:$J$504,3,FALSE))</x:f>
      </x:c>
      <x:c r="D386" s="6" t="str">
        <x:f>IF(B386="","",VLOOKUP(B386,Customers!$A$5:$J$504,4,FALSE))</x:f>
      </x:c>
      <x:c r="E386" s="9"/>
      <x:c r="F386" s="43"/>
      <x:c r="G386" s="9"/>
      <x:c r="H386" s="47" t="str">
        <x:f>IF(A386="","",SUMIFS(Sales!$K$5:$K$504,Sales!$I$5:$I$504,A386,Sales!$L$5:$L$504,"Approved"))</x:f>
      </x:c>
      <x:c r="I386" s="47" t="str">
        <x:f>IF(A386="","",SUMIFS(Payouts!$G$5:$G$504,Payouts!$B$5:$B$504,A386,Payouts!$H$5:$H$504,"Paid"))</x:f>
      </x:c>
      <x:c r="J386" s="47" t="str">
        <x:f>IF(A386="","",H386-I386)</x:f>
      </x:c>
      <x:c r="K386" s="9"/>
      <x:c r="L386" s="9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9"/>
      <x:c r="B387" s="9"/>
      <x:c r="C387" s="6" t="str">
        <x:f>IF(B387="","",VLOOKUP(B387,Customers!$A$5:$J$504,3,FALSE))</x:f>
      </x:c>
      <x:c r="D387" s="6" t="str">
        <x:f>IF(B387="","",VLOOKUP(B387,Customers!$A$5:$J$504,4,FALSE))</x:f>
      </x:c>
      <x:c r="E387" s="9"/>
      <x:c r="F387" s="43"/>
      <x:c r="G387" s="9"/>
      <x:c r="H387" s="47" t="str">
        <x:f>IF(A387="","",SUMIFS(Sales!$K$5:$K$504,Sales!$I$5:$I$504,A387,Sales!$L$5:$L$504,"Approved"))</x:f>
      </x:c>
      <x:c r="I387" s="47" t="str">
        <x:f>IF(A387="","",SUMIFS(Payouts!$G$5:$G$504,Payouts!$B$5:$B$504,A387,Payouts!$H$5:$H$504,"Paid"))</x:f>
      </x:c>
      <x:c r="J387" s="47" t="str">
        <x:f>IF(A387="","",H387-I387)</x:f>
      </x:c>
      <x:c r="K387" s="9"/>
      <x:c r="L387" s="9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9"/>
      <x:c r="B388" s="9"/>
      <x:c r="C388" s="6" t="str">
        <x:f>IF(B388="","",VLOOKUP(B388,Customers!$A$5:$J$504,3,FALSE))</x:f>
      </x:c>
      <x:c r="D388" s="6" t="str">
        <x:f>IF(B388="","",VLOOKUP(B388,Customers!$A$5:$J$504,4,FALSE))</x:f>
      </x:c>
      <x:c r="E388" s="9"/>
      <x:c r="F388" s="43"/>
      <x:c r="G388" s="9"/>
      <x:c r="H388" s="47" t="str">
        <x:f>IF(A388="","",SUMIFS(Sales!$K$5:$K$504,Sales!$I$5:$I$504,A388,Sales!$L$5:$L$504,"Approved"))</x:f>
      </x:c>
      <x:c r="I388" s="47" t="str">
        <x:f>IF(A388="","",SUMIFS(Payouts!$G$5:$G$504,Payouts!$B$5:$B$504,A388,Payouts!$H$5:$H$504,"Paid"))</x:f>
      </x:c>
      <x:c r="J388" s="47" t="str">
        <x:f>IF(A388="","",H388-I388)</x:f>
      </x:c>
      <x:c r="K388" s="9"/>
      <x:c r="L388" s="9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9"/>
      <x:c r="B389" s="9"/>
      <x:c r="C389" s="6" t="str">
        <x:f>IF(B389="","",VLOOKUP(B389,Customers!$A$5:$J$504,3,FALSE))</x:f>
      </x:c>
      <x:c r="D389" s="6" t="str">
        <x:f>IF(B389="","",VLOOKUP(B389,Customers!$A$5:$J$504,4,FALSE))</x:f>
      </x:c>
      <x:c r="E389" s="9"/>
      <x:c r="F389" s="43"/>
      <x:c r="G389" s="9"/>
      <x:c r="H389" s="47" t="str">
        <x:f>IF(A389="","",SUMIFS(Sales!$K$5:$K$504,Sales!$I$5:$I$504,A389,Sales!$L$5:$L$504,"Approved"))</x:f>
      </x:c>
      <x:c r="I389" s="47" t="str">
        <x:f>IF(A389="","",SUMIFS(Payouts!$G$5:$G$504,Payouts!$B$5:$B$504,A389,Payouts!$H$5:$H$504,"Paid"))</x:f>
      </x:c>
      <x:c r="J389" s="47" t="str">
        <x:f>IF(A389="","",H389-I389)</x:f>
      </x:c>
      <x:c r="K389" s="9"/>
      <x:c r="L389" s="9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9"/>
      <x:c r="B390" s="9"/>
      <x:c r="C390" s="6" t="str">
        <x:f>IF(B390="","",VLOOKUP(B390,Customers!$A$5:$J$504,3,FALSE))</x:f>
      </x:c>
      <x:c r="D390" s="6" t="str">
        <x:f>IF(B390="","",VLOOKUP(B390,Customers!$A$5:$J$504,4,FALSE))</x:f>
      </x:c>
      <x:c r="E390" s="9"/>
      <x:c r="F390" s="43"/>
      <x:c r="G390" s="9"/>
      <x:c r="H390" s="47" t="str">
        <x:f>IF(A390="","",SUMIFS(Sales!$K$5:$K$504,Sales!$I$5:$I$504,A390,Sales!$L$5:$L$504,"Approved"))</x:f>
      </x:c>
      <x:c r="I390" s="47" t="str">
        <x:f>IF(A390="","",SUMIFS(Payouts!$G$5:$G$504,Payouts!$B$5:$B$504,A390,Payouts!$H$5:$H$504,"Paid"))</x:f>
      </x:c>
      <x:c r="J390" s="47" t="str">
        <x:f>IF(A390="","",H390-I390)</x:f>
      </x:c>
      <x:c r="K390" s="9"/>
      <x:c r="L390" s="9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9"/>
      <x:c r="B391" s="9"/>
      <x:c r="C391" s="6" t="str">
        <x:f>IF(B391="","",VLOOKUP(B391,Customers!$A$5:$J$504,3,FALSE))</x:f>
      </x:c>
      <x:c r="D391" s="6" t="str">
        <x:f>IF(B391="","",VLOOKUP(B391,Customers!$A$5:$J$504,4,FALSE))</x:f>
      </x:c>
      <x:c r="E391" s="9"/>
      <x:c r="F391" s="43"/>
      <x:c r="G391" s="9"/>
      <x:c r="H391" s="47" t="str">
        <x:f>IF(A391="","",SUMIFS(Sales!$K$5:$K$504,Sales!$I$5:$I$504,A391,Sales!$L$5:$L$504,"Approved"))</x:f>
      </x:c>
      <x:c r="I391" s="47" t="str">
        <x:f>IF(A391="","",SUMIFS(Payouts!$G$5:$G$504,Payouts!$B$5:$B$504,A391,Payouts!$H$5:$H$504,"Paid"))</x:f>
      </x:c>
      <x:c r="J391" s="47" t="str">
        <x:f>IF(A391="","",H391-I391)</x:f>
      </x:c>
      <x:c r="K391" s="9"/>
      <x:c r="L391" s="9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9"/>
      <x:c r="B392" s="9"/>
      <x:c r="C392" s="6" t="str">
        <x:f>IF(B392="","",VLOOKUP(B392,Customers!$A$5:$J$504,3,FALSE))</x:f>
      </x:c>
      <x:c r="D392" s="6" t="str">
        <x:f>IF(B392="","",VLOOKUP(B392,Customers!$A$5:$J$504,4,FALSE))</x:f>
      </x:c>
      <x:c r="E392" s="9"/>
      <x:c r="F392" s="43"/>
      <x:c r="G392" s="9"/>
      <x:c r="H392" s="47" t="str">
        <x:f>IF(A392="","",SUMIFS(Sales!$K$5:$K$504,Sales!$I$5:$I$504,A392,Sales!$L$5:$L$504,"Approved"))</x:f>
      </x:c>
      <x:c r="I392" s="47" t="str">
        <x:f>IF(A392="","",SUMIFS(Payouts!$G$5:$G$504,Payouts!$B$5:$B$504,A392,Payouts!$H$5:$H$504,"Paid"))</x:f>
      </x:c>
      <x:c r="J392" s="47" t="str">
        <x:f>IF(A392="","",H392-I392)</x:f>
      </x:c>
      <x:c r="K392" s="9"/>
      <x:c r="L392" s="9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9"/>
      <x:c r="B393" s="9"/>
      <x:c r="C393" s="6" t="str">
        <x:f>IF(B393="","",VLOOKUP(B393,Customers!$A$5:$J$504,3,FALSE))</x:f>
      </x:c>
      <x:c r="D393" s="6" t="str">
        <x:f>IF(B393="","",VLOOKUP(B393,Customers!$A$5:$J$504,4,FALSE))</x:f>
      </x:c>
      <x:c r="E393" s="9"/>
      <x:c r="F393" s="43"/>
      <x:c r="G393" s="9"/>
      <x:c r="H393" s="47" t="str">
        <x:f>IF(A393="","",SUMIFS(Sales!$K$5:$K$504,Sales!$I$5:$I$504,A393,Sales!$L$5:$L$504,"Approved"))</x:f>
      </x:c>
      <x:c r="I393" s="47" t="str">
        <x:f>IF(A393="","",SUMIFS(Payouts!$G$5:$G$504,Payouts!$B$5:$B$504,A393,Payouts!$H$5:$H$504,"Paid"))</x:f>
      </x:c>
      <x:c r="J393" s="47" t="str">
        <x:f>IF(A393="","",H393-I393)</x:f>
      </x:c>
      <x:c r="K393" s="9"/>
      <x:c r="L393" s="9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9"/>
      <x:c r="B394" s="9"/>
      <x:c r="C394" s="6" t="str">
        <x:f>IF(B394="","",VLOOKUP(B394,Customers!$A$5:$J$504,3,FALSE))</x:f>
      </x:c>
      <x:c r="D394" s="6" t="str">
        <x:f>IF(B394="","",VLOOKUP(B394,Customers!$A$5:$J$504,4,FALSE))</x:f>
      </x:c>
      <x:c r="E394" s="9"/>
      <x:c r="F394" s="43"/>
      <x:c r="G394" s="9"/>
      <x:c r="H394" s="47" t="str">
        <x:f>IF(A394="","",SUMIFS(Sales!$K$5:$K$504,Sales!$I$5:$I$504,A394,Sales!$L$5:$L$504,"Approved"))</x:f>
      </x:c>
      <x:c r="I394" s="47" t="str">
        <x:f>IF(A394="","",SUMIFS(Payouts!$G$5:$G$504,Payouts!$B$5:$B$504,A394,Payouts!$H$5:$H$504,"Paid"))</x:f>
      </x:c>
      <x:c r="J394" s="47" t="str">
        <x:f>IF(A394="","",H394-I394)</x:f>
      </x:c>
      <x:c r="K394" s="9"/>
      <x:c r="L394" s="9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9"/>
      <x:c r="B395" s="9"/>
      <x:c r="C395" s="6" t="str">
        <x:f>IF(B395="","",VLOOKUP(B395,Customers!$A$5:$J$504,3,FALSE))</x:f>
      </x:c>
      <x:c r="D395" s="6" t="str">
        <x:f>IF(B395="","",VLOOKUP(B395,Customers!$A$5:$J$504,4,FALSE))</x:f>
      </x:c>
      <x:c r="E395" s="9"/>
      <x:c r="F395" s="43"/>
      <x:c r="G395" s="9"/>
      <x:c r="H395" s="47" t="str">
        <x:f>IF(A395="","",SUMIFS(Sales!$K$5:$K$504,Sales!$I$5:$I$504,A395,Sales!$L$5:$L$504,"Approved"))</x:f>
      </x:c>
      <x:c r="I395" s="47" t="str">
        <x:f>IF(A395="","",SUMIFS(Payouts!$G$5:$G$504,Payouts!$B$5:$B$504,A395,Payouts!$H$5:$H$504,"Paid"))</x:f>
      </x:c>
      <x:c r="J395" s="47" t="str">
        <x:f>IF(A395="","",H395-I395)</x:f>
      </x:c>
      <x:c r="K395" s="9"/>
      <x:c r="L395" s="9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9"/>
      <x:c r="B396" s="9"/>
      <x:c r="C396" s="6" t="str">
        <x:f>IF(B396="","",VLOOKUP(B396,Customers!$A$5:$J$504,3,FALSE))</x:f>
      </x:c>
      <x:c r="D396" s="6" t="str">
        <x:f>IF(B396="","",VLOOKUP(B396,Customers!$A$5:$J$504,4,FALSE))</x:f>
      </x:c>
      <x:c r="E396" s="9"/>
      <x:c r="F396" s="43"/>
      <x:c r="G396" s="9"/>
      <x:c r="H396" s="47" t="str">
        <x:f>IF(A396="","",SUMIFS(Sales!$K$5:$K$504,Sales!$I$5:$I$504,A396,Sales!$L$5:$L$504,"Approved"))</x:f>
      </x:c>
      <x:c r="I396" s="47" t="str">
        <x:f>IF(A396="","",SUMIFS(Payouts!$G$5:$G$504,Payouts!$B$5:$B$504,A396,Payouts!$H$5:$H$504,"Paid"))</x:f>
      </x:c>
      <x:c r="J396" s="47" t="str">
        <x:f>IF(A396="","",H396-I396)</x:f>
      </x:c>
      <x:c r="K396" s="9"/>
      <x:c r="L396" s="9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9"/>
      <x:c r="B397" s="9"/>
      <x:c r="C397" s="6" t="str">
        <x:f>IF(B397="","",VLOOKUP(B397,Customers!$A$5:$J$504,3,FALSE))</x:f>
      </x:c>
      <x:c r="D397" s="6" t="str">
        <x:f>IF(B397="","",VLOOKUP(B397,Customers!$A$5:$J$504,4,FALSE))</x:f>
      </x:c>
      <x:c r="E397" s="9"/>
      <x:c r="F397" s="43"/>
      <x:c r="G397" s="9"/>
      <x:c r="H397" s="47" t="str">
        <x:f>IF(A397="","",SUMIFS(Sales!$K$5:$K$504,Sales!$I$5:$I$504,A397,Sales!$L$5:$L$504,"Approved"))</x:f>
      </x:c>
      <x:c r="I397" s="47" t="str">
        <x:f>IF(A397="","",SUMIFS(Payouts!$G$5:$G$504,Payouts!$B$5:$B$504,A397,Payouts!$H$5:$H$504,"Paid"))</x:f>
      </x:c>
      <x:c r="J397" s="47" t="str">
        <x:f>IF(A397="","",H397-I397)</x:f>
      </x:c>
      <x:c r="K397" s="9"/>
      <x:c r="L397" s="9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9"/>
      <x:c r="B398" s="9"/>
      <x:c r="C398" s="6" t="str">
        <x:f>IF(B398="","",VLOOKUP(B398,Customers!$A$5:$J$504,3,FALSE))</x:f>
      </x:c>
      <x:c r="D398" s="6" t="str">
        <x:f>IF(B398="","",VLOOKUP(B398,Customers!$A$5:$J$504,4,FALSE))</x:f>
      </x:c>
      <x:c r="E398" s="9"/>
      <x:c r="F398" s="43"/>
      <x:c r="G398" s="9"/>
      <x:c r="H398" s="47" t="str">
        <x:f>IF(A398="","",SUMIFS(Sales!$K$5:$K$504,Sales!$I$5:$I$504,A398,Sales!$L$5:$L$504,"Approved"))</x:f>
      </x:c>
      <x:c r="I398" s="47" t="str">
        <x:f>IF(A398="","",SUMIFS(Payouts!$G$5:$G$504,Payouts!$B$5:$B$504,A398,Payouts!$H$5:$H$504,"Paid"))</x:f>
      </x:c>
      <x:c r="J398" s="47" t="str">
        <x:f>IF(A398="","",H398-I398)</x:f>
      </x:c>
      <x:c r="K398" s="9"/>
      <x:c r="L398" s="9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9"/>
      <x:c r="B399" s="9"/>
      <x:c r="C399" s="6" t="str">
        <x:f>IF(B399="","",VLOOKUP(B399,Customers!$A$5:$J$504,3,FALSE))</x:f>
      </x:c>
      <x:c r="D399" s="6" t="str">
        <x:f>IF(B399="","",VLOOKUP(B399,Customers!$A$5:$J$504,4,FALSE))</x:f>
      </x:c>
      <x:c r="E399" s="9"/>
      <x:c r="F399" s="43"/>
      <x:c r="G399" s="9"/>
      <x:c r="H399" s="47" t="str">
        <x:f>IF(A399="","",SUMIFS(Sales!$K$5:$K$504,Sales!$I$5:$I$504,A399,Sales!$L$5:$L$504,"Approved"))</x:f>
      </x:c>
      <x:c r="I399" s="47" t="str">
        <x:f>IF(A399="","",SUMIFS(Payouts!$G$5:$G$504,Payouts!$B$5:$B$504,A399,Payouts!$H$5:$H$504,"Paid"))</x:f>
      </x:c>
      <x:c r="J399" s="47" t="str">
        <x:f>IF(A399="","",H399-I399)</x:f>
      </x:c>
      <x:c r="K399" s="9"/>
      <x:c r="L399" s="9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9"/>
      <x:c r="B400" s="9"/>
      <x:c r="C400" s="6" t="str">
        <x:f>IF(B400="","",VLOOKUP(B400,Customers!$A$5:$J$504,3,FALSE))</x:f>
      </x:c>
      <x:c r="D400" s="6" t="str">
        <x:f>IF(B400="","",VLOOKUP(B400,Customers!$A$5:$J$504,4,FALSE))</x:f>
      </x:c>
      <x:c r="E400" s="9"/>
      <x:c r="F400" s="43"/>
      <x:c r="G400" s="9"/>
      <x:c r="H400" s="47" t="str">
        <x:f>IF(A400="","",SUMIFS(Sales!$K$5:$K$504,Sales!$I$5:$I$504,A400,Sales!$L$5:$L$504,"Approved"))</x:f>
      </x:c>
      <x:c r="I400" s="47" t="str">
        <x:f>IF(A400="","",SUMIFS(Payouts!$G$5:$G$504,Payouts!$B$5:$B$504,A400,Payouts!$H$5:$H$504,"Paid"))</x:f>
      </x:c>
      <x:c r="J400" s="47" t="str">
        <x:f>IF(A400="","",H400-I400)</x:f>
      </x:c>
      <x:c r="K400" s="9"/>
      <x:c r="L400" s="9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9"/>
      <x:c r="B401" s="9"/>
      <x:c r="C401" s="6" t="str">
        <x:f>IF(B401="","",VLOOKUP(B401,Customers!$A$5:$J$504,3,FALSE))</x:f>
      </x:c>
      <x:c r="D401" s="6" t="str">
        <x:f>IF(B401="","",VLOOKUP(B401,Customers!$A$5:$J$504,4,FALSE))</x:f>
      </x:c>
      <x:c r="E401" s="9"/>
      <x:c r="F401" s="43"/>
      <x:c r="G401" s="9"/>
      <x:c r="H401" s="47" t="str">
        <x:f>IF(A401="","",SUMIFS(Sales!$K$5:$K$504,Sales!$I$5:$I$504,A401,Sales!$L$5:$L$504,"Approved"))</x:f>
      </x:c>
      <x:c r="I401" s="47" t="str">
        <x:f>IF(A401="","",SUMIFS(Payouts!$G$5:$G$504,Payouts!$B$5:$B$504,A401,Payouts!$H$5:$H$504,"Paid"))</x:f>
      </x:c>
      <x:c r="J401" s="47" t="str">
        <x:f>IF(A401="","",H401-I401)</x:f>
      </x:c>
      <x:c r="K401" s="9"/>
      <x:c r="L401" s="9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9"/>
      <x:c r="B402" s="9"/>
      <x:c r="C402" s="6" t="str">
        <x:f>IF(B402="","",VLOOKUP(B402,Customers!$A$5:$J$504,3,FALSE))</x:f>
      </x:c>
      <x:c r="D402" s="6" t="str">
        <x:f>IF(B402="","",VLOOKUP(B402,Customers!$A$5:$J$504,4,FALSE))</x:f>
      </x:c>
      <x:c r="E402" s="9"/>
      <x:c r="F402" s="43"/>
      <x:c r="G402" s="9"/>
      <x:c r="H402" s="47" t="str">
        <x:f>IF(A402="","",SUMIFS(Sales!$K$5:$K$504,Sales!$I$5:$I$504,A402,Sales!$L$5:$L$504,"Approved"))</x:f>
      </x:c>
      <x:c r="I402" s="47" t="str">
        <x:f>IF(A402="","",SUMIFS(Payouts!$G$5:$G$504,Payouts!$B$5:$B$504,A402,Payouts!$H$5:$H$504,"Paid"))</x:f>
      </x:c>
      <x:c r="J402" s="47" t="str">
        <x:f>IF(A402="","",H402-I402)</x:f>
      </x:c>
      <x:c r="K402" s="9"/>
      <x:c r="L402" s="9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9"/>
      <x:c r="B403" s="9"/>
      <x:c r="C403" s="6" t="str">
        <x:f>IF(B403="","",VLOOKUP(B403,Customers!$A$5:$J$504,3,FALSE))</x:f>
      </x:c>
      <x:c r="D403" s="6" t="str">
        <x:f>IF(B403="","",VLOOKUP(B403,Customers!$A$5:$J$504,4,FALSE))</x:f>
      </x:c>
      <x:c r="E403" s="9"/>
      <x:c r="F403" s="43"/>
      <x:c r="G403" s="9"/>
      <x:c r="H403" s="47" t="str">
        <x:f>IF(A403="","",SUMIFS(Sales!$K$5:$K$504,Sales!$I$5:$I$504,A403,Sales!$L$5:$L$504,"Approved"))</x:f>
      </x:c>
      <x:c r="I403" s="47" t="str">
        <x:f>IF(A403="","",SUMIFS(Payouts!$G$5:$G$504,Payouts!$B$5:$B$504,A403,Payouts!$H$5:$H$504,"Paid"))</x:f>
      </x:c>
      <x:c r="J403" s="47" t="str">
        <x:f>IF(A403="","",H403-I403)</x:f>
      </x:c>
      <x:c r="K403" s="9"/>
      <x:c r="L403" s="9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9"/>
      <x:c r="B404" s="9"/>
      <x:c r="C404" s="6" t="str">
        <x:f>IF(B404="","",VLOOKUP(B404,Customers!$A$5:$J$504,3,FALSE))</x:f>
      </x:c>
      <x:c r="D404" s="6" t="str">
        <x:f>IF(B404="","",VLOOKUP(B404,Customers!$A$5:$J$504,4,FALSE))</x:f>
      </x:c>
      <x:c r="E404" s="9"/>
      <x:c r="F404" s="43"/>
      <x:c r="G404" s="9"/>
      <x:c r="H404" s="47" t="str">
        <x:f>IF(A404="","",SUMIFS(Sales!$K$5:$K$504,Sales!$I$5:$I$504,A404,Sales!$L$5:$L$504,"Approved"))</x:f>
      </x:c>
      <x:c r="I404" s="47" t="str">
        <x:f>IF(A404="","",SUMIFS(Payouts!$G$5:$G$504,Payouts!$B$5:$B$504,A404,Payouts!$H$5:$H$504,"Paid"))</x:f>
      </x:c>
      <x:c r="J404" s="47" t="str">
        <x:f>IF(A404="","",H404-I404)</x:f>
      </x:c>
      <x:c r="K404" s="9"/>
      <x:c r="L404" s="9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9"/>
      <x:c r="B405" s="9"/>
      <x:c r="C405" s="6" t="str">
        <x:f>IF(B405="","",VLOOKUP(B405,Customers!$A$5:$J$504,3,FALSE))</x:f>
      </x:c>
      <x:c r="D405" s="6" t="str">
        <x:f>IF(B405="","",VLOOKUP(B405,Customers!$A$5:$J$504,4,FALSE))</x:f>
      </x:c>
      <x:c r="E405" s="9"/>
      <x:c r="F405" s="43"/>
      <x:c r="G405" s="9"/>
      <x:c r="H405" s="47" t="str">
        <x:f>IF(A405="","",SUMIFS(Sales!$K$5:$K$504,Sales!$I$5:$I$504,A405,Sales!$L$5:$L$504,"Approved"))</x:f>
      </x:c>
      <x:c r="I405" s="47" t="str">
        <x:f>IF(A405="","",SUMIFS(Payouts!$G$5:$G$504,Payouts!$B$5:$B$504,A405,Payouts!$H$5:$H$504,"Paid"))</x:f>
      </x:c>
      <x:c r="J405" s="47" t="str">
        <x:f>IF(A405="","",H405-I405)</x:f>
      </x:c>
      <x:c r="K405" s="9"/>
      <x:c r="L405" s="9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9"/>
      <x:c r="B406" s="9"/>
      <x:c r="C406" s="6" t="str">
        <x:f>IF(B406="","",VLOOKUP(B406,Customers!$A$5:$J$504,3,FALSE))</x:f>
      </x:c>
      <x:c r="D406" s="6" t="str">
        <x:f>IF(B406="","",VLOOKUP(B406,Customers!$A$5:$J$504,4,FALSE))</x:f>
      </x:c>
      <x:c r="E406" s="9"/>
      <x:c r="F406" s="43"/>
      <x:c r="G406" s="9"/>
      <x:c r="H406" s="47" t="str">
        <x:f>IF(A406="","",SUMIFS(Sales!$K$5:$K$504,Sales!$I$5:$I$504,A406,Sales!$L$5:$L$504,"Approved"))</x:f>
      </x:c>
      <x:c r="I406" s="47" t="str">
        <x:f>IF(A406="","",SUMIFS(Payouts!$G$5:$G$504,Payouts!$B$5:$B$504,A406,Payouts!$H$5:$H$504,"Paid"))</x:f>
      </x:c>
      <x:c r="J406" s="47" t="str">
        <x:f>IF(A406="","",H406-I406)</x:f>
      </x:c>
      <x:c r="K406" s="9"/>
      <x:c r="L406" s="9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9"/>
      <x:c r="B407" s="9"/>
      <x:c r="C407" s="6" t="str">
        <x:f>IF(B407="","",VLOOKUP(B407,Customers!$A$5:$J$504,3,FALSE))</x:f>
      </x:c>
      <x:c r="D407" s="6" t="str">
        <x:f>IF(B407="","",VLOOKUP(B407,Customers!$A$5:$J$504,4,FALSE))</x:f>
      </x:c>
      <x:c r="E407" s="9"/>
      <x:c r="F407" s="43"/>
      <x:c r="G407" s="9"/>
      <x:c r="H407" s="47" t="str">
        <x:f>IF(A407="","",SUMIFS(Sales!$K$5:$K$504,Sales!$I$5:$I$504,A407,Sales!$L$5:$L$504,"Approved"))</x:f>
      </x:c>
      <x:c r="I407" s="47" t="str">
        <x:f>IF(A407="","",SUMIFS(Payouts!$G$5:$G$504,Payouts!$B$5:$B$504,A407,Payouts!$H$5:$H$504,"Paid"))</x:f>
      </x:c>
      <x:c r="J407" s="47" t="str">
        <x:f>IF(A407="","",H407-I407)</x:f>
      </x:c>
      <x:c r="K407" s="9"/>
      <x:c r="L407" s="9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9"/>
      <x:c r="B408" s="9"/>
      <x:c r="C408" s="6" t="str">
        <x:f>IF(B408="","",VLOOKUP(B408,Customers!$A$5:$J$504,3,FALSE))</x:f>
      </x:c>
      <x:c r="D408" s="6" t="str">
        <x:f>IF(B408="","",VLOOKUP(B408,Customers!$A$5:$J$504,4,FALSE))</x:f>
      </x:c>
      <x:c r="E408" s="9"/>
      <x:c r="F408" s="43"/>
      <x:c r="G408" s="9"/>
      <x:c r="H408" s="47" t="str">
        <x:f>IF(A408="","",SUMIFS(Sales!$K$5:$K$504,Sales!$I$5:$I$504,A408,Sales!$L$5:$L$504,"Approved"))</x:f>
      </x:c>
      <x:c r="I408" s="47" t="str">
        <x:f>IF(A408="","",SUMIFS(Payouts!$G$5:$G$504,Payouts!$B$5:$B$504,A408,Payouts!$H$5:$H$504,"Paid"))</x:f>
      </x:c>
      <x:c r="J408" s="47" t="str">
        <x:f>IF(A408="","",H408-I408)</x:f>
      </x:c>
      <x:c r="K408" s="9"/>
      <x:c r="L408" s="9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9"/>
      <x:c r="B409" s="9"/>
      <x:c r="C409" s="6" t="str">
        <x:f>IF(B409="","",VLOOKUP(B409,Customers!$A$5:$J$504,3,FALSE))</x:f>
      </x:c>
      <x:c r="D409" s="6" t="str">
        <x:f>IF(B409="","",VLOOKUP(B409,Customers!$A$5:$J$504,4,FALSE))</x:f>
      </x:c>
      <x:c r="E409" s="9"/>
      <x:c r="F409" s="43"/>
      <x:c r="G409" s="9"/>
      <x:c r="H409" s="47" t="str">
        <x:f>IF(A409="","",SUMIFS(Sales!$K$5:$K$504,Sales!$I$5:$I$504,A409,Sales!$L$5:$L$504,"Approved"))</x:f>
      </x:c>
      <x:c r="I409" s="47" t="str">
        <x:f>IF(A409="","",SUMIFS(Payouts!$G$5:$G$504,Payouts!$B$5:$B$504,A409,Payouts!$H$5:$H$504,"Paid"))</x:f>
      </x:c>
      <x:c r="J409" s="47" t="str">
        <x:f>IF(A409="","",H409-I409)</x:f>
      </x:c>
      <x:c r="K409" s="9"/>
      <x:c r="L409" s="9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9"/>
      <x:c r="B410" s="9"/>
      <x:c r="C410" s="6" t="str">
        <x:f>IF(B410="","",VLOOKUP(B410,Customers!$A$5:$J$504,3,FALSE))</x:f>
      </x:c>
      <x:c r="D410" s="6" t="str">
        <x:f>IF(B410="","",VLOOKUP(B410,Customers!$A$5:$J$504,4,FALSE))</x:f>
      </x:c>
      <x:c r="E410" s="9"/>
      <x:c r="F410" s="43"/>
      <x:c r="G410" s="9"/>
      <x:c r="H410" s="47" t="str">
        <x:f>IF(A410="","",SUMIFS(Sales!$K$5:$K$504,Sales!$I$5:$I$504,A410,Sales!$L$5:$L$504,"Approved"))</x:f>
      </x:c>
      <x:c r="I410" s="47" t="str">
        <x:f>IF(A410="","",SUMIFS(Payouts!$G$5:$G$504,Payouts!$B$5:$B$504,A410,Payouts!$H$5:$H$504,"Paid"))</x:f>
      </x:c>
      <x:c r="J410" s="47" t="str">
        <x:f>IF(A410="","",H410-I410)</x:f>
      </x:c>
      <x:c r="K410" s="9"/>
      <x:c r="L410" s="9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9"/>
      <x:c r="B411" s="9"/>
      <x:c r="C411" s="6" t="str">
        <x:f>IF(B411="","",VLOOKUP(B411,Customers!$A$5:$J$504,3,FALSE))</x:f>
      </x:c>
      <x:c r="D411" s="6" t="str">
        <x:f>IF(B411="","",VLOOKUP(B411,Customers!$A$5:$J$504,4,FALSE))</x:f>
      </x:c>
      <x:c r="E411" s="9"/>
      <x:c r="F411" s="43"/>
      <x:c r="G411" s="9"/>
      <x:c r="H411" s="47" t="str">
        <x:f>IF(A411="","",SUMIFS(Sales!$K$5:$K$504,Sales!$I$5:$I$504,A411,Sales!$L$5:$L$504,"Approved"))</x:f>
      </x:c>
      <x:c r="I411" s="47" t="str">
        <x:f>IF(A411="","",SUMIFS(Payouts!$G$5:$G$504,Payouts!$B$5:$B$504,A411,Payouts!$H$5:$H$504,"Paid"))</x:f>
      </x:c>
      <x:c r="J411" s="47" t="str">
        <x:f>IF(A411="","",H411-I411)</x:f>
      </x:c>
      <x:c r="K411" s="9"/>
      <x:c r="L411" s="9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9"/>
      <x:c r="B412" s="9"/>
      <x:c r="C412" s="6" t="str">
        <x:f>IF(B412="","",VLOOKUP(B412,Customers!$A$5:$J$504,3,FALSE))</x:f>
      </x:c>
      <x:c r="D412" s="6" t="str">
        <x:f>IF(B412="","",VLOOKUP(B412,Customers!$A$5:$J$504,4,FALSE))</x:f>
      </x:c>
      <x:c r="E412" s="9"/>
      <x:c r="F412" s="43"/>
      <x:c r="G412" s="9"/>
      <x:c r="H412" s="47" t="str">
        <x:f>IF(A412="","",SUMIFS(Sales!$K$5:$K$504,Sales!$I$5:$I$504,A412,Sales!$L$5:$L$504,"Approved"))</x:f>
      </x:c>
      <x:c r="I412" s="47" t="str">
        <x:f>IF(A412="","",SUMIFS(Payouts!$G$5:$G$504,Payouts!$B$5:$B$504,A412,Payouts!$H$5:$H$504,"Paid"))</x:f>
      </x:c>
      <x:c r="J412" s="47" t="str">
        <x:f>IF(A412="","",H412-I412)</x:f>
      </x:c>
      <x:c r="K412" s="9"/>
      <x:c r="L412" s="9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9"/>
      <x:c r="B413" s="9"/>
      <x:c r="C413" s="6" t="str">
        <x:f>IF(B413="","",VLOOKUP(B413,Customers!$A$5:$J$504,3,FALSE))</x:f>
      </x:c>
      <x:c r="D413" s="6" t="str">
        <x:f>IF(B413="","",VLOOKUP(B413,Customers!$A$5:$J$504,4,FALSE))</x:f>
      </x:c>
      <x:c r="E413" s="9"/>
      <x:c r="F413" s="43"/>
      <x:c r="G413" s="9"/>
      <x:c r="H413" s="47" t="str">
        <x:f>IF(A413="","",SUMIFS(Sales!$K$5:$K$504,Sales!$I$5:$I$504,A413,Sales!$L$5:$L$504,"Approved"))</x:f>
      </x:c>
      <x:c r="I413" s="47" t="str">
        <x:f>IF(A413="","",SUMIFS(Payouts!$G$5:$G$504,Payouts!$B$5:$B$504,A413,Payouts!$H$5:$H$504,"Paid"))</x:f>
      </x:c>
      <x:c r="J413" s="47" t="str">
        <x:f>IF(A413="","",H413-I413)</x:f>
      </x:c>
      <x:c r="K413" s="9"/>
      <x:c r="L413" s="9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9"/>
      <x:c r="B414" s="9"/>
      <x:c r="C414" s="6" t="str">
        <x:f>IF(B414="","",VLOOKUP(B414,Customers!$A$5:$J$504,3,FALSE))</x:f>
      </x:c>
      <x:c r="D414" s="6" t="str">
        <x:f>IF(B414="","",VLOOKUP(B414,Customers!$A$5:$J$504,4,FALSE))</x:f>
      </x:c>
      <x:c r="E414" s="9"/>
      <x:c r="F414" s="43"/>
      <x:c r="G414" s="9"/>
      <x:c r="H414" s="47" t="str">
        <x:f>IF(A414="","",SUMIFS(Sales!$K$5:$K$504,Sales!$I$5:$I$504,A414,Sales!$L$5:$L$504,"Approved"))</x:f>
      </x:c>
      <x:c r="I414" s="47" t="str">
        <x:f>IF(A414="","",SUMIFS(Payouts!$G$5:$G$504,Payouts!$B$5:$B$504,A414,Payouts!$H$5:$H$504,"Paid"))</x:f>
      </x:c>
      <x:c r="J414" s="47" t="str">
        <x:f>IF(A414="","",H414-I414)</x:f>
      </x:c>
      <x:c r="K414" s="9"/>
      <x:c r="L414" s="9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9"/>
      <x:c r="B415" s="9"/>
      <x:c r="C415" s="6" t="str">
        <x:f>IF(B415="","",VLOOKUP(B415,Customers!$A$5:$J$504,3,FALSE))</x:f>
      </x:c>
      <x:c r="D415" s="6" t="str">
        <x:f>IF(B415="","",VLOOKUP(B415,Customers!$A$5:$J$504,4,FALSE))</x:f>
      </x:c>
      <x:c r="E415" s="9"/>
      <x:c r="F415" s="43"/>
      <x:c r="G415" s="9"/>
      <x:c r="H415" s="47" t="str">
        <x:f>IF(A415="","",SUMIFS(Sales!$K$5:$K$504,Sales!$I$5:$I$504,A415,Sales!$L$5:$L$504,"Approved"))</x:f>
      </x:c>
      <x:c r="I415" s="47" t="str">
        <x:f>IF(A415="","",SUMIFS(Payouts!$G$5:$G$504,Payouts!$B$5:$B$504,A415,Payouts!$H$5:$H$504,"Paid"))</x:f>
      </x:c>
      <x:c r="J415" s="47" t="str">
        <x:f>IF(A415="","",H415-I415)</x:f>
      </x:c>
      <x:c r="K415" s="9"/>
      <x:c r="L415" s="9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9"/>
      <x:c r="B416" s="9"/>
      <x:c r="C416" s="6" t="str">
        <x:f>IF(B416="","",VLOOKUP(B416,Customers!$A$5:$J$504,3,FALSE))</x:f>
      </x:c>
      <x:c r="D416" s="6" t="str">
        <x:f>IF(B416="","",VLOOKUP(B416,Customers!$A$5:$J$504,4,FALSE))</x:f>
      </x:c>
      <x:c r="E416" s="9"/>
      <x:c r="F416" s="43"/>
      <x:c r="G416" s="9"/>
      <x:c r="H416" s="47" t="str">
        <x:f>IF(A416="","",SUMIFS(Sales!$K$5:$K$504,Sales!$I$5:$I$504,A416,Sales!$L$5:$L$504,"Approved"))</x:f>
      </x:c>
      <x:c r="I416" s="47" t="str">
        <x:f>IF(A416="","",SUMIFS(Payouts!$G$5:$G$504,Payouts!$B$5:$B$504,A416,Payouts!$H$5:$H$504,"Paid"))</x:f>
      </x:c>
      <x:c r="J416" s="47" t="str">
        <x:f>IF(A416="","",H416-I416)</x:f>
      </x:c>
      <x:c r="K416" s="9"/>
      <x:c r="L416" s="9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9"/>
      <x:c r="B417" s="9"/>
      <x:c r="C417" s="6" t="str">
        <x:f>IF(B417="","",VLOOKUP(B417,Customers!$A$5:$J$504,3,FALSE))</x:f>
      </x:c>
      <x:c r="D417" s="6" t="str">
        <x:f>IF(B417="","",VLOOKUP(B417,Customers!$A$5:$J$504,4,FALSE))</x:f>
      </x:c>
      <x:c r="E417" s="9"/>
      <x:c r="F417" s="43"/>
      <x:c r="G417" s="9"/>
      <x:c r="H417" s="47" t="str">
        <x:f>IF(A417="","",SUMIFS(Sales!$K$5:$K$504,Sales!$I$5:$I$504,A417,Sales!$L$5:$L$504,"Approved"))</x:f>
      </x:c>
      <x:c r="I417" s="47" t="str">
        <x:f>IF(A417="","",SUMIFS(Payouts!$G$5:$G$504,Payouts!$B$5:$B$504,A417,Payouts!$H$5:$H$504,"Paid"))</x:f>
      </x:c>
      <x:c r="J417" s="47" t="str">
        <x:f>IF(A417="","",H417-I417)</x:f>
      </x:c>
      <x:c r="K417" s="9"/>
      <x:c r="L417" s="9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9"/>
      <x:c r="B418" s="9"/>
      <x:c r="C418" s="6" t="str">
        <x:f>IF(B418="","",VLOOKUP(B418,Customers!$A$5:$J$504,3,FALSE))</x:f>
      </x:c>
      <x:c r="D418" s="6" t="str">
        <x:f>IF(B418="","",VLOOKUP(B418,Customers!$A$5:$J$504,4,FALSE))</x:f>
      </x:c>
      <x:c r="E418" s="9"/>
      <x:c r="F418" s="43"/>
      <x:c r="G418" s="9"/>
      <x:c r="H418" s="47" t="str">
        <x:f>IF(A418="","",SUMIFS(Sales!$K$5:$K$504,Sales!$I$5:$I$504,A418,Sales!$L$5:$L$504,"Approved"))</x:f>
      </x:c>
      <x:c r="I418" s="47" t="str">
        <x:f>IF(A418="","",SUMIFS(Payouts!$G$5:$G$504,Payouts!$B$5:$B$504,A418,Payouts!$H$5:$H$504,"Paid"))</x:f>
      </x:c>
      <x:c r="J418" s="47" t="str">
        <x:f>IF(A418="","",H418-I418)</x:f>
      </x:c>
      <x:c r="K418" s="9"/>
      <x:c r="L418" s="9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9"/>
      <x:c r="B419" s="9"/>
      <x:c r="C419" s="6" t="str">
        <x:f>IF(B419="","",VLOOKUP(B419,Customers!$A$5:$J$504,3,FALSE))</x:f>
      </x:c>
      <x:c r="D419" s="6" t="str">
        <x:f>IF(B419="","",VLOOKUP(B419,Customers!$A$5:$J$504,4,FALSE))</x:f>
      </x:c>
      <x:c r="E419" s="9"/>
      <x:c r="F419" s="43"/>
      <x:c r="G419" s="9"/>
      <x:c r="H419" s="47" t="str">
        <x:f>IF(A419="","",SUMIFS(Sales!$K$5:$K$504,Sales!$I$5:$I$504,A419,Sales!$L$5:$L$504,"Approved"))</x:f>
      </x:c>
      <x:c r="I419" s="47" t="str">
        <x:f>IF(A419="","",SUMIFS(Payouts!$G$5:$G$504,Payouts!$B$5:$B$504,A419,Payouts!$H$5:$H$504,"Paid"))</x:f>
      </x:c>
      <x:c r="J419" s="47" t="str">
        <x:f>IF(A419="","",H419-I419)</x:f>
      </x:c>
      <x:c r="K419" s="9"/>
      <x:c r="L419" s="9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9"/>
      <x:c r="B420" s="9"/>
      <x:c r="C420" s="6" t="str">
        <x:f>IF(B420="","",VLOOKUP(B420,Customers!$A$5:$J$504,3,FALSE))</x:f>
      </x:c>
      <x:c r="D420" s="6" t="str">
        <x:f>IF(B420="","",VLOOKUP(B420,Customers!$A$5:$J$504,4,FALSE))</x:f>
      </x:c>
      <x:c r="E420" s="9"/>
      <x:c r="F420" s="43"/>
      <x:c r="G420" s="9"/>
      <x:c r="H420" s="47" t="str">
        <x:f>IF(A420="","",SUMIFS(Sales!$K$5:$K$504,Sales!$I$5:$I$504,A420,Sales!$L$5:$L$504,"Approved"))</x:f>
      </x:c>
      <x:c r="I420" s="47" t="str">
        <x:f>IF(A420="","",SUMIFS(Payouts!$G$5:$G$504,Payouts!$B$5:$B$504,A420,Payouts!$H$5:$H$504,"Paid"))</x:f>
      </x:c>
      <x:c r="J420" s="47" t="str">
        <x:f>IF(A420="","",H420-I420)</x:f>
      </x:c>
      <x:c r="K420" s="9"/>
      <x:c r="L420" s="9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9"/>
      <x:c r="B421" s="9"/>
      <x:c r="C421" s="6" t="str">
        <x:f>IF(B421="","",VLOOKUP(B421,Customers!$A$5:$J$504,3,FALSE))</x:f>
      </x:c>
      <x:c r="D421" s="6" t="str">
        <x:f>IF(B421="","",VLOOKUP(B421,Customers!$A$5:$J$504,4,FALSE))</x:f>
      </x:c>
      <x:c r="E421" s="9"/>
      <x:c r="F421" s="43"/>
      <x:c r="G421" s="9"/>
      <x:c r="H421" s="47" t="str">
        <x:f>IF(A421="","",SUMIFS(Sales!$K$5:$K$504,Sales!$I$5:$I$504,A421,Sales!$L$5:$L$504,"Approved"))</x:f>
      </x:c>
      <x:c r="I421" s="47" t="str">
        <x:f>IF(A421="","",SUMIFS(Payouts!$G$5:$G$504,Payouts!$B$5:$B$504,A421,Payouts!$H$5:$H$504,"Paid"))</x:f>
      </x:c>
      <x:c r="J421" s="47" t="str">
        <x:f>IF(A421="","",H421-I421)</x:f>
      </x:c>
      <x:c r="K421" s="9"/>
      <x:c r="L421" s="9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9"/>
      <x:c r="B422" s="9"/>
      <x:c r="C422" s="6" t="str">
        <x:f>IF(B422="","",VLOOKUP(B422,Customers!$A$5:$J$504,3,FALSE))</x:f>
      </x:c>
      <x:c r="D422" s="6" t="str">
        <x:f>IF(B422="","",VLOOKUP(B422,Customers!$A$5:$J$504,4,FALSE))</x:f>
      </x:c>
      <x:c r="E422" s="9"/>
      <x:c r="F422" s="43"/>
      <x:c r="G422" s="9"/>
      <x:c r="H422" s="47" t="str">
        <x:f>IF(A422="","",SUMIFS(Sales!$K$5:$K$504,Sales!$I$5:$I$504,A422,Sales!$L$5:$L$504,"Approved"))</x:f>
      </x:c>
      <x:c r="I422" s="47" t="str">
        <x:f>IF(A422="","",SUMIFS(Payouts!$G$5:$G$504,Payouts!$B$5:$B$504,A422,Payouts!$H$5:$H$504,"Paid"))</x:f>
      </x:c>
      <x:c r="J422" s="47" t="str">
        <x:f>IF(A422="","",H422-I422)</x:f>
      </x:c>
      <x:c r="K422" s="9"/>
      <x:c r="L422" s="9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9"/>
      <x:c r="B423" s="9"/>
      <x:c r="C423" s="6" t="str">
        <x:f>IF(B423="","",VLOOKUP(B423,Customers!$A$5:$J$504,3,FALSE))</x:f>
      </x:c>
      <x:c r="D423" s="6" t="str">
        <x:f>IF(B423="","",VLOOKUP(B423,Customers!$A$5:$J$504,4,FALSE))</x:f>
      </x:c>
      <x:c r="E423" s="9"/>
      <x:c r="F423" s="43"/>
      <x:c r="G423" s="9"/>
      <x:c r="H423" s="47" t="str">
        <x:f>IF(A423="","",SUMIFS(Sales!$K$5:$K$504,Sales!$I$5:$I$504,A423,Sales!$L$5:$L$504,"Approved"))</x:f>
      </x:c>
      <x:c r="I423" s="47" t="str">
        <x:f>IF(A423="","",SUMIFS(Payouts!$G$5:$G$504,Payouts!$B$5:$B$504,A423,Payouts!$H$5:$H$504,"Paid"))</x:f>
      </x:c>
      <x:c r="J423" s="47" t="str">
        <x:f>IF(A423="","",H423-I423)</x:f>
      </x:c>
      <x:c r="K423" s="9"/>
      <x:c r="L423" s="9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9"/>
      <x:c r="B424" s="9"/>
      <x:c r="C424" s="6" t="str">
        <x:f>IF(B424="","",VLOOKUP(B424,Customers!$A$5:$J$504,3,FALSE))</x:f>
      </x:c>
      <x:c r="D424" s="6" t="str">
        <x:f>IF(B424="","",VLOOKUP(B424,Customers!$A$5:$J$504,4,FALSE))</x:f>
      </x:c>
      <x:c r="E424" s="9"/>
      <x:c r="F424" s="43"/>
      <x:c r="G424" s="9"/>
      <x:c r="H424" s="47" t="str">
        <x:f>IF(A424="","",SUMIFS(Sales!$K$5:$K$504,Sales!$I$5:$I$504,A424,Sales!$L$5:$L$504,"Approved"))</x:f>
      </x:c>
      <x:c r="I424" s="47" t="str">
        <x:f>IF(A424="","",SUMIFS(Payouts!$G$5:$G$504,Payouts!$B$5:$B$504,A424,Payouts!$H$5:$H$504,"Paid"))</x:f>
      </x:c>
      <x:c r="J424" s="47" t="str">
        <x:f>IF(A424="","",H424-I424)</x:f>
      </x:c>
      <x:c r="K424" s="9"/>
      <x:c r="L424" s="9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9"/>
      <x:c r="B425" s="9"/>
      <x:c r="C425" s="6" t="str">
        <x:f>IF(B425="","",VLOOKUP(B425,Customers!$A$5:$J$504,3,FALSE))</x:f>
      </x:c>
      <x:c r="D425" s="6" t="str">
        <x:f>IF(B425="","",VLOOKUP(B425,Customers!$A$5:$J$504,4,FALSE))</x:f>
      </x:c>
      <x:c r="E425" s="9"/>
      <x:c r="F425" s="43"/>
      <x:c r="G425" s="9"/>
      <x:c r="H425" s="47" t="str">
        <x:f>IF(A425="","",SUMIFS(Sales!$K$5:$K$504,Sales!$I$5:$I$504,A425,Sales!$L$5:$L$504,"Approved"))</x:f>
      </x:c>
      <x:c r="I425" s="47" t="str">
        <x:f>IF(A425="","",SUMIFS(Payouts!$G$5:$G$504,Payouts!$B$5:$B$504,A425,Payouts!$H$5:$H$504,"Paid"))</x:f>
      </x:c>
      <x:c r="J425" s="47" t="str">
        <x:f>IF(A425="","",H425-I425)</x:f>
      </x:c>
      <x:c r="K425" s="9"/>
      <x:c r="L425" s="9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9"/>
      <x:c r="B426" s="9"/>
      <x:c r="C426" s="6" t="str">
        <x:f>IF(B426="","",VLOOKUP(B426,Customers!$A$5:$J$504,3,FALSE))</x:f>
      </x:c>
      <x:c r="D426" s="6" t="str">
        <x:f>IF(B426="","",VLOOKUP(B426,Customers!$A$5:$J$504,4,FALSE))</x:f>
      </x:c>
      <x:c r="E426" s="9"/>
      <x:c r="F426" s="43"/>
      <x:c r="G426" s="9"/>
      <x:c r="H426" s="47" t="str">
        <x:f>IF(A426="","",SUMIFS(Sales!$K$5:$K$504,Sales!$I$5:$I$504,A426,Sales!$L$5:$L$504,"Approved"))</x:f>
      </x:c>
      <x:c r="I426" s="47" t="str">
        <x:f>IF(A426="","",SUMIFS(Payouts!$G$5:$G$504,Payouts!$B$5:$B$504,A426,Payouts!$H$5:$H$504,"Paid"))</x:f>
      </x:c>
      <x:c r="J426" s="47" t="str">
        <x:f>IF(A426="","",H426-I426)</x:f>
      </x:c>
      <x:c r="K426" s="9"/>
      <x:c r="L426" s="9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9"/>
      <x:c r="B427" s="9"/>
      <x:c r="C427" s="6" t="str">
        <x:f>IF(B427="","",VLOOKUP(B427,Customers!$A$5:$J$504,3,FALSE))</x:f>
      </x:c>
      <x:c r="D427" s="6" t="str">
        <x:f>IF(B427="","",VLOOKUP(B427,Customers!$A$5:$J$504,4,FALSE))</x:f>
      </x:c>
      <x:c r="E427" s="9"/>
      <x:c r="F427" s="43"/>
      <x:c r="G427" s="9"/>
      <x:c r="H427" s="47" t="str">
        <x:f>IF(A427="","",SUMIFS(Sales!$K$5:$K$504,Sales!$I$5:$I$504,A427,Sales!$L$5:$L$504,"Approved"))</x:f>
      </x:c>
      <x:c r="I427" s="47" t="str">
        <x:f>IF(A427="","",SUMIFS(Payouts!$G$5:$G$504,Payouts!$B$5:$B$504,A427,Payouts!$H$5:$H$504,"Paid"))</x:f>
      </x:c>
      <x:c r="J427" s="47" t="str">
        <x:f>IF(A427="","",H427-I427)</x:f>
      </x:c>
      <x:c r="K427" s="9"/>
      <x:c r="L427" s="9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9"/>
      <x:c r="B428" s="9"/>
      <x:c r="C428" s="6" t="str">
        <x:f>IF(B428="","",VLOOKUP(B428,Customers!$A$5:$J$504,3,FALSE))</x:f>
      </x:c>
      <x:c r="D428" s="6" t="str">
        <x:f>IF(B428="","",VLOOKUP(B428,Customers!$A$5:$J$504,4,FALSE))</x:f>
      </x:c>
      <x:c r="E428" s="9"/>
      <x:c r="F428" s="43"/>
      <x:c r="G428" s="9"/>
      <x:c r="H428" s="47" t="str">
        <x:f>IF(A428="","",SUMIFS(Sales!$K$5:$K$504,Sales!$I$5:$I$504,A428,Sales!$L$5:$L$504,"Approved"))</x:f>
      </x:c>
      <x:c r="I428" s="47" t="str">
        <x:f>IF(A428="","",SUMIFS(Payouts!$G$5:$G$504,Payouts!$B$5:$B$504,A428,Payouts!$H$5:$H$504,"Paid"))</x:f>
      </x:c>
      <x:c r="J428" s="47" t="str">
        <x:f>IF(A428="","",H428-I428)</x:f>
      </x:c>
      <x:c r="K428" s="9"/>
      <x:c r="L428" s="9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9"/>
      <x:c r="B429" s="9"/>
      <x:c r="C429" s="6" t="str">
        <x:f>IF(B429="","",VLOOKUP(B429,Customers!$A$5:$J$504,3,FALSE))</x:f>
      </x:c>
      <x:c r="D429" s="6" t="str">
        <x:f>IF(B429="","",VLOOKUP(B429,Customers!$A$5:$J$504,4,FALSE))</x:f>
      </x:c>
      <x:c r="E429" s="9"/>
      <x:c r="F429" s="43"/>
      <x:c r="G429" s="9"/>
      <x:c r="H429" s="47" t="str">
        <x:f>IF(A429="","",SUMIFS(Sales!$K$5:$K$504,Sales!$I$5:$I$504,A429,Sales!$L$5:$L$504,"Approved"))</x:f>
      </x:c>
      <x:c r="I429" s="47" t="str">
        <x:f>IF(A429="","",SUMIFS(Payouts!$G$5:$G$504,Payouts!$B$5:$B$504,A429,Payouts!$H$5:$H$504,"Paid"))</x:f>
      </x:c>
      <x:c r="J429" s="47" t="str">
        <x:f>IF(A429="","",H429-I429)</x:f>
      </x:c>
      <x:c r="K429" s="9"/>
      <x:c r="L429" s="9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9"/>
      <x:c r="B430" s="9"/>
      <x:c r="C430" s="6" t="str">
        <x:f>IF(B430="","",VLOOKUP(B430,Customers!$A$5:$J$504,3,FALSE))</x:f>
      </x:c>
      <x:c r="D430" s="6" t="str">
        <x:f>IF(B430="","",VLOOKUP(B430,Customers!$A$5:$J$504,4,FALSE))</x:f>
      </x:c>
      <x:c r="E430" s="9"/>
      <x:c r="F430" s="43"/>
      <x:c r="G430" s="9"/>
      <x:c r="H430" s="47" t="str">
        <x:f>IF(A430="","",SUMIFS(Sales!$K$5:$K$504,Sales!$I$5:$I$504,A430,Sales!$L$5:$L$504,"Approved"))</x:f>
      </x:c>
      <x:c r="I430" s="47" t="str">
        <x:f>IF(A430="","",SUMIFS(Payouts!$G$5:$G$504,Payouts!$B$5:$B$504,A430,Payouts!$H$5:$H$504,"Paid"))</x:f>
      </x:c>
      <x:c r="J430" s="47" t="str">
        <x:f>IF(A430="","",H430-I430)</x:f>
      </x:c>
      <x:c r="K430" s="9"/>
      <x:c r="L430" s="9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9"/>
      <x:c r="B431" s="9"/>
      <x:c r="C431" s="6" t="str">
        <x:f>IF(B431="","",VLOOKUP(B431,Customers!$A$5:$J$504,3,FALSE))</x:f>
      </x:c>
      <x:c r="D431" s="6" t="str">
        <x:f>IF(B431="","",VLOOKUP(B431,Customers!$A$5:$J$504,4,FALSE))</x:f>
      </x:c>
      <x:c r="E431" s="9"/>
      <x:c r="F431" s="43"/>
      <x:c r="G431" s="9"/>
      <x:c r="H431" s="47" t="str">
        <x:f>IF(A431="","",SUMIFS(Sales!$K$5:$K$504,Sales!$I$5:$I$504,A431,Sales!$L$5:$L$504,"Approved"))</x:f>
      </x:c>
      <x:c r="I431" s="47" t="str">
        <x:f>IF(A431="","",SUMIFS(Payouts!$G$5:$G$504,Payouts!$B$5:$B$504,A431,Payouts!$H$5:$H$504,"Paid"))</x:f>
      </x:c>
      <x:c r="J431" s="47" t="str">
        <x:f>IF(A431="","",H431-I431)</x:f>
      </x:c>
      <x:c r="K431" s="9"/>
      <x:c r="L431" s="9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9"/>
      <x:c r="B432" s="9"/>
      <x:c r="C432" s="6" t="str">
        <x:f>IF(B432="","",VLOOKUP(B432,Customers!$A$5:$J$504,3,FALSE))</x:f>
      </x:c>
      <x:c r="D432" s="6" t="str">
        <x:f>IF(B432="","",VLOOKUP(B432,Customers!$A$5:$J$504,4,FALSE))</x:f>
      </x:c>
      <x:c r="E432" s="9"/>
      <x:c r="F432" s="43"/>
      <x:c r="G432" s="9"/>
      <x:c r="H432" s="47" t="str">
        <x:f>IF(A432="","",SUMIFS(Sales!$K$5:$K$504,Sales!$I$5:$I$504,A432,Sales!$L$5:$L$504,"Approved"))</x:f>
      </x:c>
      <x:c r="I432" s="47" t="str">
        <x:f>IF(A432="","",SUMIFS(Payouts!$G$5:$G$504,Payouts!$B$5:$B$504,A432,Payouts!$H$5:$H$504,"Paid"))</x:f>
      </x:c>
      <x:c r="J432" s="47" t="str">
        <x:f>IF(A432="","",H432-I432)</x:f>
      </x:c>
      <x:c r="K432" s="9"/>
      <x:c r="L432" s="9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9"/>
      <x:c r="B433" s="9"/>
      <x:c r="C433" s="6" t="str">
        <x:f>IF(B433="","",VLOOKUP(B433,Customers!$A$5:$J$504,3,FALSE))</x:f>
      </x:c>
      <x:c r="D433" s="6" t="str">
        <x:f>IF(B433="","",VLOOKUP(B433,Customers!$A$5:$J$504,4,FALSE))</x:f>
      </x:c>
      <x:c r="E433" s="9"/>
      <x:c r="F433" s="43"/>
      <x:c r="G433" s="9"/>
      <x:c r="H433" s="47" t="str">
        <x:f>IF(A433="","",SUMIFS(Sales!$K$5:$K$504,Sales!$I$5:$I$504,A433,Sales!$L$5:$L$504,"Approved"))</x:f>
      </x:c>
      <x:c r="I433" s="47" t="str">
        <x:f>IF(A433="","",SUMIFS(Payouts!$G$5:$G$504,Payouts!$B$5:$B$504,A433,Payouts!$H$5:$H$504,"Paid"))</x:f>
      </x:c>
      <x:c r="J433" s="47" t="str">
        <x:f>IF(A433="","",H433-I433)</x:f>
      </x:c>
      <x:c r="K433" s="9"/>
      <x:c r="L433" s="9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9"/>
      <x:c r="B434" s="9"/>
      <x:c r="C434" s="6" t="str">
        <x:f>IF(B434="","",VLOOKUP(B434,Customers!$A$5:$J$504,3,FALSE))</x:f>
      </x:c>
      <x:c r="D434" s="6" t="str">
        <x:f>IF(B434="","",VLOOKUP(B434,Customers!$A$5:$J$504,4,FALSE))</x:f>
      </x:c>
      <x:c r="E434" s="9"/>
      <x:c r="F434" s="43"/>
      <x:c r="G434" s="9"/>
      <x:c r="H434" s="47" t="str">
        <x:f>IF(A434="","",SUMIFS(Sales!$K$5:$K$504,Sales!$I$5:$I$504,A434,Sales!$L$5:$L$504,"Approved"))</x:f>
      </x:c>
      <x:c r="I434" s="47" t="str">
        <x:f>IF(A434="","",SUMIFS(Payouts!$G$5:$G$504,Payouts!$B$5:$B$504,A434,Payouts!$H$5:$H$504,"Paid"))</x:f>
      </x:c>
      <x:c r="J434" s="47" t="str">
        <x:f>IF(A434="","",H434-I434)</x:f>
      </x:c>
      <x:c r="K434" s="9"/>
      <x:c r="L434" s="9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9"/>
      <x:c r="B435" s="9"/>
      <x:c r="C435" s="6" t="str">
        <x:f>IF(B435="","",VLOOKUP(B435,Customers!$A$5:$J$504,3,FALSE))</x:f>
      </x:c>
      <x:c r="D435" s="6" t="str">
        <x:f>IF(B435="","",VLOOKUP(B435,Customers!$A$5:$J$504,4,FALSE))</x:f>
      </x:c>
      <x:c r="E435" s="9"/>
      <x:c r="F435" s="43"/>
      <x:c r="G435" s="9"/>
      <x:c r="H435" s="47" t="str">
        <x:f>IF(A435="","",SUMIFS(Sales!$K$5:$K$504,Sales!$I$5:$I$504,A435,Sales!$L$5:$L$504,"Approved"))</x:f>
      </x:c>
      <x:c r="I435" s="47" t="str">
        <x:f>IF(A435="","",SUMIFS(Payouts!$G$5:$G$504,Payouts!$B$5:$B$504,A435,Payouts!$H$5:$H$504,"Paid"))</x:f>
      </x:c>
      <x:c r="J435" s="47" t="str">
        <x:f>IF(A435="","",H435-I435)</x:f>
      </x:c>
      <x:c r="K435" s="9"/>
      <x:c r="L435" s="9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9"/>
      <x:c r="B436" s="9"/>
      <x:c r="C436" s="6" t="str">
        <x:f>IF(B436="","",VLOOKUP(B436,Customers!$A$5:$J$504,3,FALSE))</x:f>
      </x:c>
      <x:c r="D436" s="6" t="str">
        <x:f>IF(B436="","",VLOOKUP(B436,Customers!$A$5:$J$504,4,FALSE))</x:f>
      </x:c>
      <x:c r="E436" s="9"/>
      <x:c r="F436" s="43"/>
      <x:c r="G436" s="9"/>
      <x:c r="H436" s="47" t="str">
        <x:f>IF(A436="","",SUMIFS(Sales!$K$5:$K$504,Sales!$I$5:$I$504,A436,Sales!$L$5:$L$504,"Approved"))</x:f>
      </x:c>
      <x:c r="I436" s="47" t="str">
        <x:f>IF(A436="","",SUMIFS(Payouts!$G$5:$G$504,Payouts!$B$5:$B$504,A436,Payouts!$H$5:$H$504,"Paid"))</x:f>
      </x:c>
      <x:c r="J436" s="47" t="str">
        <x:f>IF(A436="","",H436-I436)</x:f>
      </x:c>
      <x:c r="K436" s="9"/>
      <x:c r="L436" s="9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9"/>
      <x:c r="B437" s="9"/>
      <x:c r="C437" s="6" t="str">
        <x:f>IF(B437="","",VLOOKUP(B437,Customers!$A$5:$J$504,3,FALSE))</x:f>
      </x:c>
      <x:c r="D437" s="6" t="str">
        <x:f>IF(B437="","",VLOOKUP(B437,Customers!$A$5:$J$504,4,FALSE))</x:f>
      </x:c>
      <x:c r="E437" s="9"/>
      <x:c r="F437" s="43"/>
      <x:c r="G437" s="9"/>
      <x:c r="H437" s="47" t="str">
        <x:f>IF(A437="","",SUMIFS(Sales!$K$5:$K$504,Sales!$I$5:$I$504,A437,Sales!$L$5:$L$504,"Approved"))</x:f>
      </x:c>
      <x:c r="I437" s="47" t="str">
        <x:f>IF(A437="","",SUMIFS(Payouts!$G$5:$G$504,Payouts!$B$5:$B$504,A437,Payouts!$H$5:$H$504,"Paid"))</x:f>
      </x:c>
      <x:c r="J437" s="47" t="str">
        <x:f>IF(A437="","",H437-I437)</x:f>
      </x:c>
      <x:c r="K437" s="9"/>
      <x:c r="L437" s="9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9"/>
      <x:c r="B438" s="9"/>
      <x:c r="C438" s="6" t="str">
        <x:f>IF(B438="","",VLOOKUP(B438,Customers!$A$5:$J$504,3,FALSE))</x:f>
      </x:c>
      <x:c r="D438" s="6" t="str">
        <x:f>IF(B438="","",VLOOKUP(B438,Customers!$A$5:$J$504,4,FALSE))</x:f>
      </x:c>
      <x:c r="E438" s="9"/>
      <x:c r="F438" s="43"/>
      <x:c r="G438" s="9"/>
      <x:c r="H438" s="47" t="str">
        <x:f>IF(A438="","",SUMIFS(Sales!$K$5:$K$504,Sales!$I$5:$I$504,A438,Sales!$L$5:$L$504,"Approved"))</x:f>
      </x:c>
      <x:c r="I438" s="47" t="str">
        <x:f>IF(A438="","",SUMIFS(Payouts!$G$5:$G$504,Payouts!$B$5:$B$504,A438,Payouts!$H$5:$H$504,"Paid"))</x:f>
      </x:c>
      <x:c r="J438" s="47" t="str">
        <x:f>IF(A438="","",H438-I438)</x:f>
      </x:c>
      <x:c r="K438" s="9"/>
      <x:c r="L438" s="9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9"/>
      <x:c r="B439" s="9"/>
      <x:c r="C439" s="6" t="str">
        <x:f>IF(B439="","",VLOOKUP(B439,Customers!$A$5:$J$504,3,FALSE))</x:f>
      </x:c>
      <x:c r="D439" s="6" t="str">
        <x:f>IF(B439="","",VLOOKUP(B439,Customers!$A$5:$J$504,4,FALSE))</x:f>
      </x:c>
      <x:c r="E439" s="9"/>
      <x:c r="F439" s="43"/>
      <x:c r="G439" s="9"/>
      <x:c r="H439" s="47" t="str">
        <x:f>IF(A439="","",SUMIFS(Sales!$K$5:$K$504,Sales!$I$5:$I$504,A439,Sales!$L$5:$L$504,"Approved"))</x:f>
      </x:c>
      <x:c r="I439" s="47" t="str">
        <x:f>IF(A439="","",SUMIFS(Payouts!$G$5:$G$504,Payouts!$B$5:$B$504,A439,Payouts!$H$5:$H$504,"Paid"))</x:f>
      </x:c>
      <x:c r="J439" s="47" t="str">
        <x:f>IF(A439="","",H439-I439)</x:f>
      </x:c>
      <x:c r="K439" s="9"/>
      <x:c r="L439" s="9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9"/>
      <x:c r="B440" s="9"/>
      <x:c r="C440" s="6" t="str">
        <x:f>IF(B440="","",VLOOKUP(B440,Customers!$A$5:$J$504,3,FALSE))</x:f>
      </x:c>
      <x:c r="D440" s="6" t="str">
        <x:f>IF(B440="","",VLOOKUP(B440,Customers!$A$5:$J$504,4,FALSE))</x:f>
      </x:c>
      <x:c r="E440" s="9"/>
      <x:c r="F440" s="43"/>
      <x:c r="G440" s="9"/>
      <x:c r="H440" s="47" t="str">
        <x:f>IF(A440="","",SUMIFS(Sales!$K$5:$K$504,Sales!$I$5:$I$504,A440,Sales!$L$5:$L$504,"Approved"))</x:f>
      </x:c>
      <x:c r="I440" s="47" t="str">
        <x:f>IF(A440="","",SUMIFS(Payouts!$G$5:$G$504,Payouts!$B$5:$B$504,A440,Payouts!$H$5:$H$504,"Paid"))</x:f>
      </x:c>
      <x:c r="J440" s="47" t="str">
        <x:f>IF(A440="","",H440-I440)</x:f>
      </x:c>
      <x:c r="K440" s="9"/>
      <x:c r="L440" s="9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9"/>
      <x:c r="B441" s="9"/>
      <x:c r="C441" s="6" t="str">
        <x:f>IF(B441="","",VLOOKUP(B441,Customers!$A$5:$J$504,3,FALSE))</x:f>
      </x:c>
      <x:c r="D441" s="6" t="str">
        <x:f>IF(B441="","",VLOOKUP(B441,Customers!$A$5:$J$504,4,FALSE))</x:f>
      </x:c>
      <x:c r="E441" s="9"/>
      <x:c r="F441" s="43"/>
      <x:c r="G441" s="9"/>
      <x:c r="H441" s="47" t="str">
        <x:f>IF(A441="","",SUMIFS(Sales!$K$5:$K$504,Sales!$I$5:$I$504,A441,Sales!$L$5:$L$504,"Approved"))</x:f>
      </x:c>
      <x:c r="I441" s="47" t="str">
        <x:f>IF(A441="","",SUMIFS(Payouts!$G$5:$G$504,Payouts!$B$5:$B$504,A441,Payouts!$H$5:$H$504,"Paid"))</x:f>
      </x:c>
      <x:c r="J441" s="47" t="str">
        <x:f>IF(A441="","",H441-I441)</x:f>
      </x:c>
      <x:c r="K441" s="9"/>
      <x:c r="L441" s="9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9"/>
      <x:c r="B442" s="9"/>
      <x:c r="C442" s="6" t="str">
        <x:f>IF(B442="","",VLOOKUP(B442,Customers!$A$5:$J$504,3,FALSE))</x:f>
      </x:c>
      <x:c r="D442" s="6" t="str">
        <x:f>IF(B442="","",VLOOKUP(B442,Customers!$A$5:$J$504,4,FALSE))</x:f>
      </x:c>
      <x:c r="E442" s="9"/>
      <x:c r="F442" s="43"/>
      <x:c r="G442" s="9"/>
      <x:c r="H442" s="47" t="str">
        <x:f>IF(A442="","",SUMIFS(Sales!$K$5:$K$504,Sales!$I$5:$I$504,A442,Sales!$L$5:$L$504,"Approved"))</x:f>
      </x:c>
      <x:c r="I442" s="47" t="str">
        <x:f>IF(A442="","",SUMIFS(Payouts!$G$5:$G$504,Payouts!$B$5:$B$504,A442,Payouts!$H$5:$H$504,"Paid"))</x:f>
      </x:c>
      <x:c r="J442" s="47" t="str">
        <x:f>IF(A442="","",H442-I442)</x:f>
      </x:c>
      <x:c r="K442" s="9"/>
      <x:c r="L442" s="9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9"/>
      <x:c r="B443" s="9"/>
      <x:c r="C443" s="6" t="str">
        <x:f>IF(B443="","",VLOOKUP(B443,Customers!$A$5:$J$504,3,FALSE))</x:f>
      </x:c>
      <x:c r="D443" s="6" t="str">
        <x:f>IF(B443="","",VLOOKUP(B443,Customers!$A$5:$J$504,4,FALSE))</x:f>
      </x:c>
      <x:c r="E443" s="9"/>
      <x:c r="F443" s="43"/>
      <x:c r="G443" s="9"/>
      <x:c r="H443" s="47" t="str">
        <x:f>IF(A443="","",SUMIFS(Sales!$K$5:$K$504,Sales!$I$5:$I$504,A443,Sales!$L$5:$L$504,"Approved"))</x:f>
      </x:c>
      <x:c r="I443" s="47" t="str">
        <x:f>IF(A443="","",SUMIFS(Payouts!$G$5:$G$504,Payouts!$B$5:$B$504,A443,Payouts!$H$5:$H$504,"Paid"))</x:f>
      </x:c>
      <x:c r="J443" s="47" t="str">
        <x:f>IF(A443="","",H443-I443)</x:f>
      </x:c>
      <x:c r="K443" s="9"/>
      <x:c r="L443" s="9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9"/>
      <x:c r="B444" s="9"/>
      <x:c r="C444" s="6" t="str">
        <x:f>IF(B444="","",VLOOKUP(B444,Customers!$A$5:$J$504,3,FALSE))</x:f>
      </x:c>
      <x:c r="D444" s="6" t="str">
        <x:f>IF(B444="","",VLOOKUP(B444,Customers!$A$5:$J$504,4,FALSE))</x:f>
      </x:c>
      <x:c r="E444" s="9"/>
      <x:c r="F444" s="43"/>
      <x:c r="G444" s="9"/>
      <x:c r="H444" s="47" t="str">
        <x:f>IF(A444="","",SUMIFS(Sales!$K$5:$K$504,Sales!$I$5:$I$504,A444,Sales!$L$5:$L$504,"Approved"))</x:f>
      </x:c>
      <x:c r="I444" s="47" t="str">
        <x:f>IF(A444="","",SUMIFS(Payouts!$G$5:$G$504,Payouts!$B$5:$B$504,A444,Payouts!$H$5:$H$504,"Paid"))</x:f>
      </x:c>
      <x:c r="J444" s="47" t="str">
        <x:f>IF(A444="","",H444-I444)</x:f>
      </x:c>
      <x:c r="K444" s="9"/>
      <x:c r="L444" s="9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9"/>
      <x:c r="B445" s="9"/>
      <x:c r="C445" s="6" t="str">
        <x:f>IF(B445="","",VLOOKUP(B445,Customers!$A$5:$J$504,3,FALSE))</x:f>
      </x:c>
      <x:c r="D445" s="6" t="str">
        <x:f>IF(B445="","",VLOOKUP(B445,Customers!$A$5:$J$504,4,FALSE))</x:f>
      </x:c>
      <x:c r="E445" s="9"/>
      <x:c r="F445" s="43"/>
      <x:c r="G445" s="9"/>
      <x:c r="H445" s="47" t="str">
        <x:f>IF(A445="","",SUMIFS(Sales!$K$5:$K$504,Sales!$I$5:$I$504,A445,Sales!$L$5:$L$504,"Approved"))</x:f>
      </x:c>
      <x:c r="I445" s="47" t="str">
        <x:f>IF(A445="","",SUMIFS(Payouts!$G$5:$G$504,Payouts!$B$5:$B$504,A445,Payouts!$H$5:$H$504,"Paid"))</x:f>
      </x:c>
      <x:c r="J445" s="47" t="str">
        <x:f>IF(A445="","",H445-I445)</x:f>
      </x:c>
      <x:c r="K445" s="9"/>
      <x:c r="L445" s="9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9"/>
      <x:c r="B446" s="9"/>
      <x:c r="C446" s="6" t="str">
        <x:f>IF(B446="","",VLOOKUP(B446,Customers!$A$5:$J$504,3,FALSE))</x:f>
      </x:c>
      <x:c r="D446" s="6" t="str">
        <x:f>IF(B446="","",VLOOKUP(B446,Customers!$A$5:$J$504,4,FALSE))</x:f>
      </x:c>
      <x:c r="E446" s="9"/>
      <x:c r="F446" s="43"/>
      <x:c r="G446" s="9"/>
      <x:c r="H446" s="47" t="str">
        <x:f>IF(A446="","",SUMIFS(Sales!$K$5:$K$504,Sales!$I$5:$I$504,A446,Sales!$L$5:$L$504,"Approved"))</x:f>
      </x:c>
      <x:c r="I446" s="47" t="str">
        <x:f>IF(A446="","",SUMIFS(Payouts!$G$5:$G$504,Payouts!$B$5:$B$504,A446,Payouts!$H$5:$H$504,"Paid"))</x:f>
      </x:c>
      <x:c r="J446" s="47" t="str">
        <x:f>IF(A446="","",H446-I446)</x:f>
      </x:c>
      <x:c r="K446" s="9"/>
      <x:c r="L446" s="9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9"/>
      <x:c r="B447" s="9"/>
      <x:c r="C447" s="6" t="str">
        <x:f>IF(B447="","",VLOOKUP(B447,Customers!$A$5:$J$504,3,FALSE))</x:f>
      </x:c>
      <x:c r="D447" s="6" t="str">
        <x:f>IF(B447="","",VLOOKUP(B447,Customers!$A$5:$J$504,4,FALSE))</x:f>
      </x:c>
      <x:c r="E447" s="9"/>
      <x:c r="F447" s="43"/>
      <x:c r="G447" s="9"/>
      <x:c r="H447" s="47" t="str">
        <x:f>IF(A447="","",SUMIFS(Sales!$K$5:$K$504,Sales!$I$5:$I$504,A447,Sales!$L$5:$L$504,"Approved"))</x:f>
      </x:c>
      <x:c r="I447" s="47" t="str">
        <x:f>IF(A447="","",SUMIFS(Payouts!$G$5:$G$504,Payouts!$B$5:$B$504,A447,Payouts!$H$5:$H$504,"Paid"))</x:f>
      </x:c>
      <x:c r="J447" s="47" t="str">
        <x:f>IF(A447="","",H447-I447)</x:f>
      </x:c>
      <x:c r="K447" s="9"/>
      <x:c r="L447" s="9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9"/>
      <x:c r="B448" s="9"/>
      <x:c r="C448" s="6" t="str">
        <x:f>IF(B448="","",VLOOKUP(B448,Customers!$A$5:$J$504,3,FALSE))</x:f>
      </x:c>
      <x:c r="D448" s="6" t="str">
        <x:f>IF(B448="","",VLOOKUP(B448,Customers!$A$5:$J$504,4,FALSE))</x:f>
      </x:c>
      <x:c r="E448" s="9"/>
      <x:c r="F448" s="43"/>
      <x:c r="G448" s="9"/>
      <x:c r="H448" s="47" t="str">
        <x:f>IF(A448="","",SUMIFS(Sales!$K$5:$K$504,Sales!$I$5:$I$504,A448,Sales!$L$5:$L$504,"Approved"))</x:f>
      </x:c>
      <x:c r="I448" s="47" t="str">
        <x:f>IF(A448="","",SUMIFS(Payouts!$G$5:$G$504,Payouts!$B$5:$B$504,A448,Payouts!$H$5:$H$504,"Paid"))</x:f>
      </x:c>
      <x:c r="J448" s="47" t="str">
        <x:f>IF(A448="","",H448-I448)</x:f>
      </x:c>
      <x:c r="K448" s="9"/>
      <x:c r="L448" s="9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9"/>
      <x:c r="B449" s="9"/>
      <x:c r="C449" s="6" t="str">
        <x:f>IF(B449="","",VLOOKUP(B449,Customers!$A$5:$J$504,3,FALSE))</x:f>
      </x:c>
      <x:c r="D449" s="6" t="str">
        <x:f>IF(B449="","",VLOOKUP(B449,Customers!$A$5:$J$504,4,FALSE))</x:f>
      </x:c>
      <x:c r="E449" s="9"/>
      <x:c r="F449" s="43"/>
      <x:c r="G449" s="9"/>
      <x:c r="H449" s="47" t="str">
        <x:f>IF(A449="","",SUMIFS(Sales!$K$5:$K$504,Sales!$I$5:$I$504,A449,Sales!$L$5:$L$504,"Approved"))</x:f>
      </x:c>
      <x:c r="I449" s="47" t="str">
        <x:f>IF(A449="","",SUMIFS(Payouts!$G$5:$G$504,Payouts!$B$5:$B$504,A449,Payouts!$H$5:$H$504,"Paid"))</x:f>
      </x:c>
      <x:c r="J449" s="47" t="str">
        <x:f>IF(A449="","",H449-I449)</x:f>
      </x:c>
      <x:c r="K449" s="9"/>
      <x:c r="L449" s="9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9"/>
      <x:c r="B450" s="9"/>
      <x:c r="C450" s="6" t="str">
        <x:f>IF(B450="","",VLOOKUP(B450,Customers!$A$5:$J$504,3,FALSE))</x:f>
      </x:c>
      <x:c r="D450" s="6" t="str">
        <x:f>IF(B450="","",VLOOKUP(B450,Customers!$A$5:$J$504,4,FALSE))</x:f>
      </x:c>
      <x:c r="E450" s="9"/>
      <x:c r="F450" s="43"/>
      <x:c r="G450" s="9"/>
      <x:c r="H450" s="47" t="str">
        <x:f>IF(A450="","",SUMIFS(Sales!$K$5:$K$504,Sales!$I$5:$I$504,A450,Sales!$L$5:$L$504,"Approved"))</x:f>
      </x:c>
      <x:c r="I450" s="47" t="str">
        <x:f>IF(A450="","",SUMIFS(Payouts!$G$5:$G$504,Payouts!$B$5:$B$504,A450,Payouts!$H$5:$H$504,"Paid"))</x:f>
      </x:c>
      <x:c r="J450" s="47" t="str">
        <x:f>IF(A450="","",H450-I450)</x:f>
      </x:c>
      <x:c r="K450" s="9"/>
      <x:c r="L450" s="9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9"/>
      <x:c r="B451" s="9"/>
      <x:c r="C451" s="6" t="str">
        <x:f>IF(B451="","",VLOOKUP(B451,Customers!$A$5:$J$504,3,FALSE))</x:f>
      </x:c>
      <x:c r="D451" s="6" t="str">
        <x:f>IF(B451="","",VLOOKUP(B451,Customers!$A$5:$J$504,4,FALSE))</x:f>
      </x:c>
      <x:c r="E451" s="9"/>
      <x:c r="F451" s="43"/>
      <x:c r="G451" s="9"/>
      <x:c r="H451" s="47" t="str">
        <x:f>IF(A451="","",SUMIFS(Sales!$K$5:$K$504,Sales!$I$5:$I$504,A451,Sales!$L$5:$L$504,"Approved"))</x:f>
      </x:c>
      <x:c r="I451" s="47" t="str">
        <x:f>IF(A451="","",SUMIFS(Payouts!$G$5:$G$504,Payouts!$B$5:$B$504,A451,Payouts!$H$5:$H$504,"Paid"))</x:f>
      </x:c>
      <x:c r="J451" s="47" t="str">
        <x:f>IF(A451="","",H451-I451)</x:f>
      </x:c>
      <x:c r="K451" s="9"/>
      <x:c r="L451" s="9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9"/>
      <x:c r="B452" s="9"/>
      <x:c r="C452" s="6" t="str">
        <x:f>IF(B452="","",VLOOKUP(B452,Customers!$A$5:$J$504,3,FALSE))</x:f>
      </x:c>
      <x:c r="D452" s="6" t="str">
        <x:f>IF(B452="","",VLOOKUP(B452,Customers!$A$5:$J$504,4,FALSE))</x:f>
      </x:c>
      <x:c r="E452" s="9"/>
      <x:c r="F452" s="43"/>
      <x:c r="G452" s="9"/>
      <x:c r="H452" s="47" t="str">
        <x:f>IF(A452="","",SUMIFS(Sales!$K$5:$K$504,Sales!$I$5:$I$504,A452,Sales!$L$5:$L$504,"Approved"))</x:f>
      </x:c>
      <x:c r="I452" s="47" t="str">
        <x:f>IF(A452="","",SUMIFS(Payouts!$G$5:$G$504,Payouts!$B$5:$B$504,A452,Payouts!$H$5:$H$504,"Paid"))</x:f>
      </x:c>
      <x:c r="J452" s="47" t="str">
        <x:f>IF(A452="","",H452-I452)</x:f>
      </x:c>
      <x:c r="K452" s="9"/>
      <x:c r="L452" s="9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9"/>
      <x:c r="B453" s="9"/>
      <x:c r="C453" s="6" t="str">
        <x:f>IF(B453="","",VLOOKUP(B453,Customers!$A$5:$J$504,3,FALSE))</x:f>
      </x:c>
      <x:c r="D453" s="6" t="str">
        <x:f>IF(B453="","",VLOOKUP(B453,Customers!$A$5:$J$504,4,FALSE))</x:f>
      </x:c>
      <x:c r="E453" s="9"/>
      <x:c r="F453" s="43"/>
      <x:c r="G453" s="9"/>
      <x:c r="H453" s="47" t="str">
        <x:f>IF(A453="","",SUMIFS(Sales!$K$5:$K$504,Sales!$I$5:$I$504,A453,Sales!$L$5:$L$504,"Approved"))</x:f>
      </x:c>
      <x:c r="I453" s="47" t="str">
        <x:f>IF(A453="","",SUMIFS(Payouts!$G$5:$G$504,Payouts!$B$5:$B$504,A453,Payouts!$H$5:$H$504,"Paid"))</x:f>
      </x:c>
      <x:c r="J453" s="47" t="str">
        <x:f>IF(A453="","",H453-I453)</x:f>
      </x:c>
      <x:c r="K453" s="9"/>
      <x:c r="L453" s="9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9"/>
      <x:c r="B454" s="9"/>
      <x:c r="C454" s="6" t="str">
        <x:f>IF(B454="","",VLOOKUP(B454,Customers!$A$5:$J$504,3,FALSE))</x:f>
      </x:c>
      <x:c r="D454" s="6" t="str">
        <x:f>IF(B454="","",VLOOKUP(B454,Customers!$A$5:$J$504,4,FALSE))</x:f>
      </x:c>
      <x:c r="E454" s="9"/>
      <x:c r="F454" s="43"/>
      <x:c r="G454" s="9"/>
      <x:c r="H454" s="47" t="str">
        <x:f>IF(A454="","",SUMIFS(Sales!$K$5:$K$504,Sales!$I$5:$I$504,A454,Sales!$L$5:$L$504,"Approved"))</x:f>
      </x:c>
      <x:c r="I454" s="47" t="str">
        <x:f>IF(A454="","",SUMIFS(Payouts!$G$5:$G$504,Payouts!$B$5:$B$504,A454,Payouts!$H$5:$H$504,"Paid"))</x:f>
      </x:c>
      <x:c r="J454" s="47" t="str">
        <x:f>IF(A454="","",H454-I454)</x:f>
      </x:c>
      <x:c r="K454" s="9"/>
      <x:c r="L454" s="9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9"/>
      <x:c r="B455" s="9"/>
      <x:c r="C455" s="6" t="str">
        <x:f>IF(B455="","",VLOOKUP(B455,Customers!$A$5:$J$504,3,FALSE))</x:f>
      </x:c>
      <x:c r="D455" s="6" t="str">
        <x:f>IF(B455="","",VLOOKUP(B455,Customers!$A$5:$J$504,4,FALSE))</x:f>
      </x:c>
      <x:c r="E455" s="9"/>
      <x:c r="F455" s="43"/>
      <x:c r="G455" s="9"/>
      <x:c r="H455" s="47" t="str">
        <x:f>IF(A455="","",SUMIFS(Sales!$K$5:$K$504,Sales!$I$5:$I$504,A455,Sales!$L$5:$L$504,"Approved"))</x:f>
      </x:c>
      <x:c r="I455" s="47" t="str">
        <x:f>IF(A455="","",SUMIFS(Payouts!$G$5:$G$504,Payouts!$B$5:$B$504,A455,Payouts!$H$5:$H$504,"Paid"))</x:f>
      </x:c>
      <x:c r="J455" s="47" t="str">
        <x:f>IF(A455="","",H455-I455)</x:f>
      </x:c>
      <x:c r="K455" s="9"/>
      <x:c r="L455" s="9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9"/>
      <x:c r="B456" s="9"/>
      <x:c r="C456" s="6" t="str">
        <x:f>IF(B456="","",VLOOKUP(B456,Customers!$A$5:$J$504,3,FALSE))</x:f>
      </x:c>
      <x:c r="D456" s="6" t="str">
        <x:f>IF(B456="","",VLOOKUP(B456,Customers!$A$5:$J$504,4,FALSE))</x:f>
      </x:c>
      <x:c r="E456" s="9"/>
      <x:c r="F456" s="43"/>
      <x:c r="G456" s="9"/>
      <x:c r="H456" s="47" t="str">
        <x:f>IF(A456="","",SUMIFS(Sales!$K$5:$K$504,Sales!$I$5:$I$504,A456,Sales!$L$5:$L$504,"Approved"))</x:f>
      </x:c>
      <x:c r="I456" s="47" t="str">
        <x:f>IF(A456="","",SUMIFS(Payouts!$G$5:$G$504,Payouts!$B$5:$B$504,A456,Payouts!$H$5:$H$504,"Paid"))</x:f>
      </x:c>
      <x:c r="J456" s="47" t="str">
        <x:f>IF(A456="","",H456-I456)</x:f>
      </x:c>
      <x:c r="K456" s="9"/>
      <x:c r="L456" s="9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9"/>
      <x:c r="B457" s="9"/>
      <x:c r="C457" s="6" t="str">
        <x:f>IF(B457="","",VLOOKUP(B457,Customers!$A$5:$J$504,3,FALSE))</x:f>
      </x:c>
      <x:c r="D457" s="6" t="str">
        <x:f>IF(B457="","",VLOOKUP(B457,Customers!$A$5:$J$504,4,FALSE))</x:f>
      </x:c>
      <x:c r="E457" s="9"/>
      <x:c r="F457" s="43"/>
      <x:c r="G457" s="9"/>
      <x:c r="H457" s="47" t="str">
        <x:f>IF(A457="","",SUMIFS(Sales!$K$5:$K$504,Sales!$I$5:$I$504,A457,Sales!$L$5:$L$504,"Approved"))</x:f>
      </x:c>
      <x:c r="I457" s="47" t="str">
        <x:f>IF(A457="","",SUMIFS(Payouts!$G$5:$G$504,Payouts!$B$5:$B$504,A457,Payouts!$H$5:$H$504,"Paid"))</x:f>
      </x:c>
      <x:c r="J457" s="47" t="str">
        <x:f>IF(A457="","",H457-I457)</x:f>
      </x:c>
      <x:c r="K457" s="9"/>
      <x:c r="L457" s="9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9"/>
      <x:c r="B458" s="9"/>
      <x:c r="C458" s="6" t="str">
        <x:f>IF(B458="","",VLOOKUP(B458,Customers!$A$5:$J$504,3,FALSE))</x:f>
      </x:c>
      <x:c r="D458" s="6" t="str">
        <x:f>IF(B458="","",VLOOKUP(B458,Customers!$A$5:$J$504,4,FALSE))</x:f>
      </x:c>
      <x:c r="E458" s="9"/>
      <x:c r="F458" s="43"/>
      <x:c r="G458" s="9"/>
      <x:c r="H458" s="47" t="str">
        <x:f>IF(A458="","",SUMIFS(Sales!$K$5:$K$504,Sales!$I$5:$I$504,A458,Sales!$L$5:$L$504,"Approved"))</x:f>
      </x:c>
      <x:c r="I458" s="47" t="str">
        <x:f>IF(A458="","",SUMIFS(Payouts!$G$5:$G$504,Payouts!$B$5:$B$504,A458,Payouts!$H$5:$H$504,"Paid"))</x:f>
      </x:c>
      <x:c r="J458" s="47" t="str">
        <x:f>IF(A458="","",H458-I458)</x:f>
      </x:c>
      <x:c r="K458" s="9"/>
      <x:c r="L458" s="9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9"/>
      <x:c r="B459" s="9"/>
      <x:c r="C459" s="6" t="str">
        <x:f>IF(B459="","",VLOOKUP(B459,Customers!$A$5:$J$504,3,FALSE))</x:f>
      </x:c>
      <x:c r="D459" s="6" t="str">
        <x:f>IF(B459="","",VLOOKUP(B459,Customers!$A$5:$J$504,4,FALSE))</x:f>
      </x:c>
      <x:c r="E459" s="9"/>
      <x:c r="F459" s="43"/>
      <x:c r="G459" s="9"/>
      <x:c r="H459" s="47" t="str">
        <x:f>IF(A459="","",SUMIFS(Sales!$K$5:$K$504,Sales!$I$5:$I$504,A459,Sales!$L$5:$L$504,"Approved"))</x:f>
      </x:c>
      <x:c r="I459" s="47" t="str">
        <x:f>IF(A459="","",SUMIFS(Payouts!$G$5:$G$504,Payouts!$B$5:$B$504,A459,Payouts!$H$5:$H$504,"Paid"))</x:f>
      </x:c>
      <x:c r="J459" s="47" t="str">
        <x:f>IF(A459="","",H459-I459)</x:f>
      </x:c>
      <x:c r="K459" s="9"/>
      <x:c r="L459" s="9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9"/>
      <x:c r="B460" s="9"/>
      <x:c r="C460" s="6" t="str">
        <x:f>IF(B460="","",VLOOKUP(B460,Customers!$A$5:$J$504,3,FALSE))</x:f>
      </x:c>
      <x:c r="D460" s="6" t="str">
        <x:f>IF(B460="","",VLOOKUP(B460,Customers!$A$5:$J$504,4,FALSE))</x:f>
      </x:c>
      <x:c r="E460" s="9"/>
      <x:c r="F460" s="43"/>
      <x:c r="G460" s="9"/>
      <x:c r="H460" s="47" t="str">
        <x:f>IF(A460="","",SUMIFS(Sales!$K$5:$K$504,Sales!$I$5:$I$504,A460,Sales!$L$5:$L$504,"Approved"))</x:f>
      </x:c>
      <x:c r="I460" s="47" t="str">
        <x:f>IF(A460="","",SUMIFS(Payouts!$G$5:$G$504,Payouts!$B$5:$B$504,A460,Payouts!$H$5:$H$504,"Paid"))</x:f>
      </x:c>
      <x:c r="J460" s="47" t="str">
        <x:f>IF(A460="","",H460-I460)</x:f>
      </x:c>
      <x:c r="K460" s="9"/>
      <x:c r="L460" s="9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9"/>
      <x:c r="B461" s="9"/>
      <x:c r="C461" s="6" t="str">
        <x:f>IF(B461="","",VLOOKUP(B461,Customers!$A$5:$J$504,3,FALSE))</x:f>
      </x:c>
      <x:c r="D461" s="6" t="str">
        <x:f>IF(B461="","",VLOOKUP(B461,Customers!$A$5:$J$504,4,FALSE))</x:f>
      </x:c>
      <x:c r="E461" s="9"/>
      <x:c r="F461" s="43"/>
      <x:c r="G461" s="9"/>
      <x:c r="H461" s="47" t="str">
        <x:f>IF(A461="","",SUMIFS(Sales!$K$5:$K$504,Sales!$I$5:$I$504,A461,Sales!$L$5:$L$504,"Approved"))</x:f>
      </x:c>
      <x:c r="I461" s="47" t="str">
        <x:f>IF(A461="","",SUMIFS(Payouts!$G$5:$G$504,Payouts!$B$5:$B$504,A461,Payouts!$H$5:$H$504,"Paid"))</x:f>
      </x:c>
      <x:c r="J461" s="47" t="str">
        <x:f>IF(A461="","",H461-I461)</x:f>
      </x:c>
      <x:c r="K461" s="9"/>
      <x:c r="L461" s="9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9"/>
      <x:c r="B462" s="9"/>
      <x:c r="C462" s="6" t="str">
        <x:f>IF(B462="","",VLOOKUP(B462,Customers!$A$5:$J$504,3,FALSE))</x:f>
      </x:c>
      <x:c r="D462" s="6" t="str">
        <x:f>IF(B462="","",VLOOKUP(B462,Customers!$A$5:$J$504,4,FALSE))</x:f>
      </x:c>
      <x:c r="E462" s="9"/>
      <x:c r="F462" s="43"/>
      <x:c r="G462" s="9"/>
      <x:c r="H462" s="47" t="str">
        <x:f>IF(A462="","",SUMIFS(Sales!$K$5:$K$504,Sales!$I$5:$I$504,A462,Sales!$L$5:$L$504,"Approved"))</x:f>
      </x:c>
      <x:c r="I462" s="47" t="str">
        <x:f>IF(A462="","",SUMIFS(Payouts!$G$5:$G$504,Payouts!$B$5:$B$504,A462,Payouts!$H$5:$H$504,"Paid"))</x:f>
      </x:c>
      <x:c r="J462" s="47" t="str">
        <x:f>IF(A462="","",H462-I462)</x:f>
      </x:c>
      <x:c r="K462" s="9"/>
      <x:c r="L462" s="9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9"/>
      <x:c r="B463" s="9"/>
      <x:c r="C463" s="6" t="str">
        <x:f>IF(B463="","",VLOOKUP(B463,Customers!$A$5:$J$504,3,FALSE))</x:f>
      </x:c>
      <x:c r="D463" s="6" t="str">
        <x:f>IF(B463="","",VLOOKUP(B463,Customers!$A$5:$J$504,4,FALSE))</x:f>
      </x:c>
      <x:c r="E463" s="9"/>
      <x:c r="F463" s="43"/>
      <x:c r="G463" s="9"/>
      <x:c r="H463" s="47" t="str">
        <x:f>IF(A463="","",SUMIFS(Sales!$K$5:$K$504,Sales!$I$5:$I$504,A463,Sales!$L$5:$L$504,"Approved"))</x:f>
      </x:c>
      <x:c r="I463" s="47" t="str">
        <x:f>IF(A463="","",SUMIFS(Payouts!$G$5:$G$504,Payouts!$B$5:$B$504,A463,Payouts!$H$5:$H$504,"Paid"))</x:f>
      </x:c>
      <x:c r="J463" s="47" t="str">
        <x:f>IF(A463="","",H463-I463)</x:f>
      </x:c>
      <x:c r="K463" s="9"/>
      <x:c r="L463" s="9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9"/>
      <x:c r="B464" s="9"/>
      <x:c r="C464" s="6" t="str">
        <x:f>IF(B464="","",VLOOKUP(B464,Customers!$A$5:$J$504,3,FALSE))</x:f>
      </x:c>
      <x:c r="D464" s="6" t="str">
        <x:f>IF(B464="","",VLOOKUP(B464,Customers!$A$5:$J$504,4,FALSE))</x:f>
      </x:c>
      <x:c r="E464" s="9"/>
      <x:c r="F464" s="43"/>
      <x:c r="G464" s="9"/>
      <x:c r="H464" s="47" t="str">
        <x:f>IF(A464="","",SUMIFS(Sales!$K$5:$K$504,Sales!$I$5:$I$504,A464,Sales!$L$5:$L$504,"Approved"))</x:f>
      </x:c>
      <x:c r="I464" s="47" t="str">
        <x:f>IF(A464="","",SUMIFS(Payouts!$G$5:$G$504,Payouts!$B$5:$B$504,A464,Payouts!$H$5:$H$504,"Paid"))</x:f>
      </x:c>
      <x:c r="J464" s="47" t="str">
        <x:f>IF(A464="","",H464-I464)</x:f>
      </x:c>
      <x:c r="K464" s="9"/>
      <x:c r="L464" s="9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9"/>
      <x:c r="B465" s="9"/>
      <x:c r="C465" s="6" t="str">
        <x:f>IF(B465="","",VLOOKUP(B465,Customers!$A$5:$J$504,3,FALSE))</x:f>
      </x:c>
      <x:c r="D465" s="6" t="str">
        <x:f>IF(B465="","",VLOOKUP(B465,Customers!$A$5:$J$504,4,FALSE))</x:f>
      </x:c>
      <x:c r="E465" s="9"/>
      <x:c r="F465" s="43"/>
      <x:c r="G465" s="9"/>
      <x:c r="H465" s="47" t="str">
        <x:f>IF(A465="","",SUMIFS(Sales!$K$5:$K$504,Sales!$I$5:$I$504,A465,Sales!$L$5:$L$504,"Approved"))</x:f>
      </x:c>
      <x:c r="I465" s="47" t="str">
        <x:f>IF(A465="","",SUMIFS(Payouts!$G$5:$G$504,Payouts!$B$5:$B$504,A465,Payouts!$H$5:$H$504,"Paid"))</x:f>
      </x:c>
      <x:c r="J465" s="47" t="str">
        <x:f>IF(A465="","",H465-I465)</x:f>
      </x:c>
      <x:c r="K465" s="9"/>
      <x:c r="L465" s="9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9"/>
      <x:c r="B466" s="9"/>
      <x:c r="C466" s="6" t="str">
        <x:f>IF(B466="","",VLOOKUP(B466,Customers!$A$5:$J$504,3,FALSE))</x:f>
      </x:c>
      <x:c r="D466" s="6" t="str">
        <x:f>IF(B466="","",VLOOKUP(B466,Customers!$A$5:$J$504,4,FALSE))</x:f>
      </x:c>
      <x:c r="E466" s="9"/>
      <x:c r="F466" s="43"/>
      <x:c r="G466" s="9"/>
      <x:c r="H466" s="47" t="str">
        <x:f>IF(A466="","",SUMIFS(Sales!$K$5:$K$504,Sales!$I$5:$I$504,A466,Sales!$L$5:$L$504,"Approved"))</x:f>
      </x:c>
      <x:c r="I466" s="47" t="str">
        <x:f>IF(A466="","",SUMIFS(Payouts!$G$5:$G$504,Payouts!$B$5:$B$504,A466,Payouts!$H$5:$H$504,"Paid"))</x:f>
      </x:c>
      <x:c r="J466" s="47" t="str">
        <x:f>IF(A466="","",H466-I466)</x:f>
      </x:c>
      <x:c r="K466" s="9"/>
      <x:c r="L466" s="9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9"/>
      <x:c r="B467" s="9"/>
      <x:c r="C467" s="6" t="str">
        <x:f>IF(B467="","",VLOOKUP(B467,Customers!$A$5:$J$504,3,FALSE))</x:f>
      </x:c>
      <x:c r="D467" s="6" t="str">
        <x:f>IF(B467="","",VLOOKUP(B467,Customers!$A$5:$J$504,4,FALSE))</x:f>
      </x:c>
      <x:c r="E467" s="9"/>
      <x:c r="F467" s="43"/>
      <x:c r="G467" s="9"/>
      <x:c r="H467" s="47" t="str">
        <x:f>IF(A467="","",SUMIFS(Sales!$K$5:$K$504,Sales!$I$5:$I$504,A467,Sales!$L$5:$L$504,"Approved"))</x:f>
      </x:c>
      <x:c r="I467" s="47" t="str">
        <x:f>IF(A467="","",SUMIFS(Payouts!$G$5:$G$504,Payouts!$B$5:$B$504,A467,Payouts!$H$5:$H$504,"Paid"))</x:f>
      </x:c>
      <x:c r="J467" s="47" t="str">
        <x:f>IF(A467="","",H467-I467)</x:f>
      </x:c>
      <x:c r="K467" s="9"/>
      <x:c r="L467" s="9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9"/>
      <x:c r="B468" s="9"/>
      <x:c r="C468" s="6" t="str">
        <x:f>IF(B468="","",VLOOKUP(B468,Customers!$A$5:$J$504,3,FALSE))</x:f>
      </x:c>
      <x:c r="D468" s="6" t="str">
        <x:f>IF(B468="","",VLOOKUP(B468,Customers!$A$5:$J$504,4,FALSE))</x:f>
      </x:c>
      <x:c r="E468" s="9"/>
      <x:c r="F468" s="43"/>
      <x:c r="G468" s="9"/>
      <x:c r="H468" s="47" t="str">
        <x:f>IF(A468="","",SUMIFS(Sales!$K$5:$K$504,Sales!$I$5:$I$504,A468,Sales!$L$5:$L$504,"Approved"))</x:f>
      </x:c>
      <x:c r="I468" s="47" t="str">
        <x:f>IF(A468="","",SUMIFS(Payouts!$G$5:$G$504,Payouts!$B$5:$B$504,A468,Payouts!$H$5:$H$504,"Paid"))</x:f>
      </x:c>
      <x:c r="J468" s="47" t="str">
        <x:f>IF(A468="","",H468-I468)</x:f>
      </x:c>
      <x:c r="K468" s="9"/>
      <x:c r="L468" s="9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9"/>
      <x:c r="B469" s="9"/>
      <x:c r="C469" s="6" t="str">
        <x:f>IF(B469="","",VLOOKUP(B469,Customers!$A$5:$J$504,3,FALSE))</x:f>
      </x:c>
      <x:c r="D469" s="6" t="str">
        <x:f>IF(B469="","",VLOOKUP(B469,Customers!$A$5:$J$504,4,FALSE))</x:f>
      </x:c>
      <x:c r="E469" s="9"/>
      <x:c r="F469" s="43"/>
      <x:c r="G469" s="9"/>
      <x:c r="H469" s="47" t="str">
        <x:f>IF(A469="","",SUMIFS(Sales!$K$5:$K$504,Sales!$I$5:$I$504,A469,Sales!$L$5:$L$504,"Approved"))</x:f>
      </x:c>
      <x:c r="I469" s="47" t="str">
        <x:f>IF(A469="","",SUMIFS(Payouts!$G$5:$G$504,Payouts!$B$5:$B$504,A469,Payouts!$H$5:$H$504,"Paid"))</x:f>
      </x:c>
      <x:c r="J469" s="47" t="str">
        <x:f>IF(A469="","",H469-I469)</x:f>
      </x:c>
      <x:c r="K469" s="9"/>
      <x:c r="L469" s="9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9"/>
      <x:c r="B470" s="9"/>
      <x:c r="C470" s="6" t="str">
        <x:f>IF(B470="","",VLOOKUP(B470,Customers!$A$5:$J$504,3,FALSE))</x:f>
      </x:c>
      <x:c r="D470" s="6" t="str">
        <x:f>IF(B470="","",VLOOKUP(B470,Customers!$A$5:$J$504,4,FALSE))</x:f>
      </x:c>
      <x:c r="E470" s="9"/>
      <x:c r="F470" s="43"/>
      <x:c r="G470" s="9"/>
      <x:c r="H470" s="47" t="str">
        <x:f>IF(A470="","",SUMIFS(Sales!$K$5:$K$504,Sales!$I$5:$I$504,A470,Sales!$L$5:$L$504,"Approved"))</x:f>
      </x:c>
      <x:c r="I470" s="47" t="str">
        <x:f>IF(A470="","",SUMIFS(Payouts!$G$5:$G$504,Payouts!$B$5:$B$504,A470,Payouts!$H$5:$H$504,"Paid"))</x:f>
      </x:c>
      <x:c r="J470" s="47" t="str">
        <x:f>IF(A470="","",H470-I470)</x:f>
      </x:c>
      <x:c r="K470" s="9"/>
      <x:c r="L470" s="9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9"/>
      <x:c r="B471" s="9"/>
      <x:c r="C471" s="6" t="str">
        <x:f>IF(B471="","",VLOOKUP(B471,Customers!$A$5:$J$504,3,FALSE))</x:f>
      </x:c>
      <x:c r="D471" s="6" t="str">
        <x:f>IF(B471="","",VLOOKUP(B471,Customers!$A$5:$J$504,4,FALSE))</x:f>
      </x:c>
      <x:c r="E471" s="9"/>
      <x:c r="F471" s="43"/>
      <x:c r="G471" s="9"/>
      <x:c r="H471" s="47" t="str">
        <x:f>IF(A471="","",SUMIFS(Sales!$K$5:$K$504,Sales!$I$5:$I$504,A471,Sales!$L$5:$L$504,"Approved"))</x:f>
      </x:c>
      <x:c r="I471" s="47" t="str">
        <x:f>IF(A471="","",SUMIFS(Payouts!$G$5:$G$504,Payouts!$B$5:$B$504,A471,Payouts!$H$5:$H$504,"Paid"))</x:f>
      </x:c>
      <x:c r="J471" s="47" t="str">
        <x:f>IF(A471="","",H471-I471)</x:f>
      </x:c>
      <x:c r="K471" s="9"/>
      <x:c r="L471" s="9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9"/>
      <x:c r="B472" s="9"/>
      <x:c r="C472" s="6" t="str">
        <x:f>IF(B472="","",VLOOKUP(B472,Customers!$A$5:$J$504,3,FALSE))</x:f>
      </x:c>
      <x:c r="D472" s="6" t="str">
        <x:f>IF(B472="","",VLOOKUP(B472,Customers!$A$5:$J$504,4,FALSE))</x:f>
      </x:c>
      <x:c r="E472" s="9"/>
      <x:c r="F472" s="43"/>
      <x:c r="G472" s="9"/>
      <x:c r="H472" s="47" t="str">
        <x:f>IF(A472="","",SUMIFS(Sales!$K$5:$K$504,Sales!$I$5:$I$504,A472,Sales!$L$5:$L$504,"Approved"))</x:f>
      </x:c>
      <x:c r="I472" s="47" t="str">
        <x:f>IF(A472="","",SUMIFS(Payouts!$G$5:$G$504,Payouts!$B$5:$B$504,A472,Payouts!$H$5:$H$504,"Paid"))</x:f>
      </x:c>
      <x:c r="J472" s="47" t="str">
        <x:f>IF(A472="","",H472-I472)</x:f>
      </x:c>
      <x:c r="K472" s="9"/>
      <x:c r="L472" s="9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9"/>
      <x:c r="B473" s="9"/>
      <x:c r="C473" s="6" t="str">
        <x:f>IF(B473="","",VLOOKUP(B473,Customers!$A$5:$J$504,3,FALSE))</x:f>
      </x:c>
      <x:c r="D473" s="6" t="str">
        <x:f>IF(B473="","",VLOOKUP(B473,Customers!$A$5:$J$504,4,FALSE))</x:f>
      </x:c>
      <x:c r="E473" s="9"/>
      <x:c r="F473" s="43"/>
      <x:c r="G473" s="9"/>
      <x:c r="H473" s="47" t="str">
        <x:f>IF(A473="","",SUMIFS(Sales!$K$5:$K$504,Sales!$I$5:$I$504,A473,Sales!$L$5:$L$504,"Approved"))</x:f>
      </x:c>
      <x:c r="I473" s="47" t="str">
        <x:f>IF(A473="","",SUMIFS(Payouts!$G$5:$G$504,Payouts!$B$5:$B$504,A473,Payouts!$H$5:$H$504,"Paid"))</x:f>
      </x:c>
      <x:c r="J473" s="47" t="str">
        <x:f>IF(A473="","",H473-I473)</x:f>
      </x:c>
      <x:c r="K473" s="9"/>
      <x:c r="L473" s="9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9"/>
      <x:c r="B474" s="9"/>
      <x:c r="C474" s="6" t="str">
        <x:f>IF(B474="","",VLOOKUP(B474,Customers!$A$5:$J$504,3,FALSE))</x:f>
      </x:c>
      <x:c r="D474" s="6" t="str">
        <x:f>IF(B474="","",VLOOKUP(B474,Customers!$A$5:$J$504,4,FALSE))</x:f>
      </x:c>
      <x:c r="E474" s="9"/>
      <x:c r="F474" s="43"/>
      <x:c r="G474" s="9"/>
      <x:c r="H474" s="47" t="str">
        <x:f>IF(A474="","",SUMIFS(Sales!$K$5:$K$504,Sales!$I$5:$I$504,A474,Sales!$L$5:$L$504,"Approved"))</x:f>
      </x:c>
      <x:c r="I474" s="47" t="str">
        <x:f>IF(A474="","",SUMIFS(Payouts!$G$5:$G$504,Payouts!$B$5:$B$504,A474,Payouts!$H$5:$H$504,"Paid"))</x:f>
      </x:c>
      <x:c r="J474" s="47" t="str">
        <x:f>IF(A474="","",H474-I474)</x:f>
      </x:c>
      <x:c r="K474" s="9"/>
      <x:c r="L474" s="9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9"/>
      <x:c r="B475" s="9"/>
      <x:c r="C475" s="6" t="str">
        <x:f>IF(B475="","",VLOOKUP(B475,Customers!$A$5:$J$504,3,FALSE))</x:f>
      </x:c>
      <x:c r="D475" s="6" t="str">
        <x:f>IF(B475="","",VLOOKUP(B475,Customers!$A$5:$J$504,4,FALSE))</x:f>
      </x:c>
      <x:c r="E475" s="9"/>
      <x:c r="F475" s="43"/>
      <x:c r="G475" s="9"/>
      <x:c r="H475" s="47" t="str">
        <x:f>IF(A475="","",SUMIFS(Sales!$K$5:$K$504,Sales!$I$5:$I$504,A475,Sales!$L$5:$L$504,"Approved"))</x:f>
      </x:c>
      <x:c r="I475" s="47" t="str">
        <x:f>IF(A475="","",SUMIFS(Payouts!$G$5:$G$504,Payouts!$B$5:$B$504,A475,Payouts!$H$5:$H$504,"Paid"))</x:f>
      </x:c>
      <x:c r="J475" s="47" t="str">
        <x:f>IF(A475="","",H475-I475)</x:f>
      </x:c>
      <x:c r="K475" s="9"/>
      <x:c r="L475" s="9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9"/>
      <x:c r="B476" s="9"/>
      <x:c r="C476" s="6" t="str">
        <x:f>IF(B476="","",VLOOKUP(B476,Customers!$A$5:$J$504,3,FALSE))</x:f>
      </x:c>
      <x:c r="D476" s="6" t="str">
        <x:f>IF(B476="","",VLOOKUP(B476,Customers!$A$5:$J$504,4,FALSE))</x:f>
      </x:c>
      <x:c r="E476" s="9"/>
      <x:c r="F476" s="43"/>
      <x:c r="G476" s="9"/>
      <x:c r="H476" s="47" t="str">
        <x:f>IF(A476="","",SUMIFS(Sales!$K$5:$K$504,Sales!$I$5:$I$504,A476,Sales!$L$5:$L$504,"Approved"))</x:f>
      </x:c>
      <x:c r="I476" s="47" t="str">
        <x:f>IF(A476="","",SUMIFS(Payouts!$G$5:$G$504,Payouts!$B$5:$B$504,A476,Payouts!$H$5:$H$504,"Paid"))</x:f>
      </x:c>
      <x:c r="J476" s="47" t="str">
        <x:f>IF(A476="","",H476-I476)</x:f>
      </x:c>
      <x:c r="K476" s="9"/>
      <x:c r="L476" s="9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9"/>
      <x:c r="B477" s="9"/>
      <x:c r="C477" s="6" t="str">
        <x:f>IF(B477="","",VLOOKUP(B477,Customers!$A$5:$J$504,3,FALSE))</x:f>
      </x:c>
      <x:c r="D477" s="6" t="str">
        <x:f>IF(B477="","",VLOOKUP(B477,Customers!$A$5:$J$504,4,FALSE))</x:f>
      </x:c>
      <x:c r="E477" s="9"/>
      <x:c r="F477" s="43"/>
      <x:c r="G477" s="9"/>
      <x:c r="H477" s="47" t="str">
        <x:f>IF(A477="","",SUMIFS(Sales!$K$5:$K$504,Sales!$I$5:$I$504,A477,Sales!$L$5:$L$504,"Approved"))</x:f>
      </x:c>
      <x:c r="I477" s="47" t="str">
        <x:f>IF(A477="","",SUMIFS(Payouts!$G$5:$G$504,Payouts!$B$5:$B$504,A477,Payouts!$H$5:$H$504,"Paid"))</x:f>
      </x:c>
      <x:c r="J477" s="47" t="str">
        <x:f>IF(A477="","",H477-I477)</x:f>
      </x:c>
      <x:c r="K477" s="9"/>
      <x:c r="L477" s="9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9"/>
      <x:c r="B478" s="9"/>
      <x:c r="C478" s="6" t="str">
        <x:f>IF(B478="","",VLOOKUP(B478,Customers!$A$5:$J$504,3,FALSE))</x:f>
      </x:c>
      <x:c r="D478" s="6" t="str">
        <x:f>IF(B478="","",VLOOKUP(B478,Customers!$A$5:$J$504,4,FALSE))</x:f>
      </x:c>
      <x:c r="E478" s="9"/>
      <x:c r="F478" s="43"/>
      <x:c r="G478" s="9"/>
      <x:c r="H478" s="47" t="str">
        <x:f>IF(A478="","",SUMIFS(Sales!$K$5:$K$504,Sales!$I$5:$I$504,A478,Sales!$L$5:$L$504,"Approved"))</x:f>
      </x:c>
      <x:c r="I478" s="47" t="str">
        <x:f>IF(A478="","",SUMIFS(Payouts!$G$5:$G$504,Payouts!$B$5:$B$504,A478,Payouts!$H$5:$H$504,"Paid"))</x:f>
      </x:c>
      <x:c r="J478" s="47" t="str">
        <x:f>IF(A478="","",H478-I478)</x:f>
      </x:c>
      <x:c r="K478" s="9"/>
      <x:c r="L478" s="9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9"/>
      <x:c r="B479" s="9"/>
      <x:c r="C479" s="6" t="str">
        <x:f>IF(B479="","",VLOOKUP(B479,Customers!$A$5:$J$504,3,FALSE))</x:f>
      </x:c>
      <x:c r="D479" s="6" t="str">
        <x:f>IF(B479="","",VLOOKUP(B479,Customers!$A$5:$J$504,4,FALSE))</x:f>
      </x:c>
      <x:c r="E479" s="9"/>
      <x:c r="F479" s="43"/>
      <x:c r="G479" s="9"/>
      <x:c r="H479" s="47" t="str">
        <x:f>IF(A479="","",SUMIFS(Sales!$K$5:$K$504,Sales!$I$5:$I$504,A479,Sales!$L$5:$L$504,"Approved"))</x:f>
      </x:c>
      <x:c r="I479" s="47" t="str">
        <x:f>IF(A479="","",SUMIFS(Payouts!$G$5:$G$504,Payouts!$B$5:$B$504,A479,Payouts!$H$5:$H$504,"Paid"))</x:f>
      </x:c>
      <x:c r="J479" s="47" t="str">
        <x:f>IF(A479="","",H479-I479)</x:f>
      </x:c>
      <x:c r="K479" s="9"/>
      <x:c r="L479" s="9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9"/>
      <x:c r="B480" s="9"/>
      <x:c r="C480" s="6" t="str">
        <x:f>IF(B480="","",VLOOKUP(B480,Customers!$A$5:$J$504,3,FALSE))</x:f>
      </x:c>
      <x:c r="D480" s="6" t="str">
        <x:f>IF(B480="","",VLOOKUP(B480,Customers!$A$5:$J$504,4,FALSE))</x:f>
      </x:c>
      <x:c r="E480" s="9"/>
      <x:c r="F480" s="43"/>
      <x:c r="G480" s="9"/>
      <x:c r="H480" s="47" t="str">
        <x:f>IF(A480="","",SUMIFS(Sales!$K$5:$K$504,Sales!$I$5:$I$504,A480,Sales!$L$5:$L$504,"Approved"))</x:f>
      </x:c>
      <x:c r="I480" s="47" t="str">
        <x:f>IF(A480="","",SUMIFS(Payouts!$G$5:$G$504,Payouts!$B$5:$B$504,A480,Payouts!$H$5:$H$504,"Paid"))</x:f>
      </x:c>
      <x:c r="J480" s="47" t="str">
        <x:f>IF(A480="","",H480-I480)</x:f>
      </x:c>
      <x:c r="K480" s="9"/>
      <x:c r="L480" s="9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9"/>
      <x:c r="B481" s="9"/>
      <x:c r="C481" s="6" t="str">
        <x:f>IF(B481="","",VLOOKUP(B481,Customers!$A$5:$J$504,3,FALSE))</x:f>
      </x:c>
      <x:c r="D481" s="6" t="str">
        <x:f>IF(B481="","",VLOOKUP(B481,Customers!$A$5:$J$504,4,FALSE))</x:f>
      </x:c>
      <x:c r="E481" s="9"/>
      <x:c r="F481" s="43"/>
      <x:c r="G481" s="9"/>
      <x:c r="H481" s="47" t="str">
        <x:f>IF(A481="","",SUMIFS(Sales!$K$5:$K$504,Sales!$I$5:$I$504,A481,Sales!$L$5:$L$504,"Approved"))</x:f>
      </x:c>
      <x:c r="I481" s="47" t="str">
        <x:f>IF(A481="","",SUMIFS(Payouts!$G$5:$G$504,Payouts!$B$5:$B$504,A481,Payouts!$H$5:$H$504,"Paid"))</x:f>
      </x:c>
      <x:c r="J481" s="47" t="str">
        <x:f>IF(A481="","",H481-I481)</x:f>
      </x:c>
      <x:c r="K481" s="9"/>
      <x:c r="L481" s="9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9"/>
      <x:c r="B482" s="9"/>
      <x:c r="C482" s="6" t="str">
        <x:f>IF(B482="","",VLOOKUP(B482,Customers!$A$5:$J$504,3,FALSE))</x:f>
      </x:c>
      <x:c r="D482" s="6" t="str">
        <x:f>IF(B482="","",VLOOKUP(B482,Customers!$A$5:$J$504,4,FALSE))</x:f>
      </x:c>
      <x:c r="E482" s="9"/>
      <x:c r="F482" s="43"/>
      <x:c r="G482" s="9"/>
      <x:c r="H482" s="47" t="str">
        <x:f>IF(A482="","",SUMIFS(Sales!$K$5:$K$504,Sales!$I$5:$I$504,A482,Sales!$L$5:$L$504,"Approved"))</x:f>
      </x:c>
      <x:c r="I482" s="47" t="str">
        <x:f>IF(A482="","",SUMIFS(Payouts!$G$5:$G$504,Payouts!$B$5:$B$504,A482,Payouts!$H$5:$H$504,"Paid"))</x:f>
      </x:c>
      <x:c r="J482" s="47" t="str">
        <x:f>IF(A482="","",H482-I482)</x:f>
      </x:c>
      <x:c r="K482" s="9"/>
      <x:c r="L482" s="9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9"/>
      <x:c r="B483" s="9"/>
      <x:c r="C483" s="6" t="str">
        <x:f>IF(B483="","",VLOOKUP(B483,Customers!$A$5:$J$504,3,FALSE))</x:f>
      </x:c>
      <x:c r="D483" s="6" t="str">
        <x:f>IF(B483="","",VLOOKUP(B483,Customers!$A$5:$J$504,4,FALSE))</x:f>
      </x:c>
      <x:c r="E483" s="9"/>
      <x:c r="F483" s="43"/>
      <x:c r="G483" s="9"/>
      <x:c r="H483" s="47" t="str">
        <x:f>IF(A483="","",SUMIFS(Sales!$K$5:$K$504,Sales!$I$5:$I$504,A483,Sales!$L$5:$L$504,"Approved"))</x:f>
      </x:c>
      <x:c r="I483" s="47" t="str">
        <x:f>IF(A483="","",SUMIFS(Payouts!$G$5:$G$504,Payouts!$B$5:$B$504,A483,Payouts!$H$5:$H$504,"Paid"))</x:f>
      </x:c>
      <x:c r="J483" s="47" t="str">
        <x:f>IF(A483="","",H483-I483)</x:f>
      </x:c>
      <x:c r="K483" s="9"/>
      <x:c r="L483" s="9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9"/>
      <x:c r="B484" s="9"/>
      <x:c r="C484" s="6" t="str">
        <x:f>IF(B484="","",VLOOKUP(B484,Customers!$A$5:$J$504,3,FALSE))</x:f>
      </x:c>
      <x:c r="D484" s="6" t="str">
        <x:f>IF(B484="","",VLOOKUP(B484,Customers!$A$5:$J$504,4,FALSE))</x:f>
      </x:c>
      <x:c r="E484" s="9"/>
      <x:c r="F484" s="43"/>
      <x:c r="G484" s="9"/>
      <x:c r="H484" s="47" t="str">
        <x:f>IF(A484="","",SUMIFS(Sales!$K$5:$K$504,Sales!$I$5:$I$504,A484,Sales!$L$5:$L$504,"Approved"))</x:f>
      </x:c>
      <x:c r="I484" s="47" t="str">
        <x:f>IF(A484="","",SUMIFS(Payouts!$G$5:$G$504,Payouts!$B$5:$B$504,A484,Payouts!$H$5:$H$504,"Paid"))</x:f>
      </x:c>
      <x:c r="J484" s="47" t="str">
        <x:f>IF(A484="","",H484-I484)</x:f>
      </x:c>
      <x:c r="K484" s="9"/>
      <x:c r="L484" s="9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9"/>
      <x:c r="B485" s="9"/>
      <x:c r="C485" s="6" t="str">
        <x:f>IF(B485="","",VLOOKUP(B485,Customers!$A$5:$J$504,3,FALSE))</x:f>
      </x:c>
      <x:c r="D485" s="6" t="str">
        <x:f>IF(B485="","",VLOOKUP(B485,Customers!$A$5:$J$504,4,FALSE))</x:f>
      </x:c>
      <x:c r="E485" s="9"/>
      <x:c r="F485" s="43"/>
      <x:c r="G485" s="9"/>
      <x:c r="H485" s="47" t="str">
        <x:f>IF(A485="","",SUMIFS(Sales!$K$5:$K$504,Sales!$I$5:$I$504,A485,Sales!$L$5:$L$504,"Approved"))</x:f>
      </x:c>
      <x:c r="I485" s="47" t="str">
        <x:f>IF(A485="","",SUMIFS(Payouts!$G$5:$G$504,Payouts!$B$5:$B$504,A485,Payouts!$H$5:$H$504,"Paid"))</x:f>
      </x:c>
      <x:c r="J485" s="47" t="str">
        <x:f>IF(A485="","",H485-I485)</x:f>
      </x:c>
      <x:c r="K485" s="9"/>
      <x:c r="L485" s="9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9"/>
      <x:c r="B486" s="9"/>
      <x:c r="C486" s="6" t="str">
        <x:f>IF(B486="","",VLOOKUP(B486,Customers!$A$5:$J$504,3,FALSE))</x:f>
      </x:c>
      <x:c r="D486" s="6" t="str">
        <x:f>IF(B486="","",VLOOKUP(B486,Customers!$A$5:$J$504,4,FALSE))</x:f>
      </x:c>
      <x:c r="E486" s="9"/>
      <x:c r="F486" s="43"/>
      <x:c r="G486" s="9"/>
      <x:c r="H486" s="47" t="str">
        <x:f>IF(A486="","",SUMIFS(Sales!$K$5:$K$504,Sales!$I$5:$I$504,A486,Sales!$L$5:$L$504,"Approved"))</x:f>
      </x:c>
      <x:c r="I486" s="47" t="str">
        <x:f>IF(A486="","",SUMIFS(Payouts!$G$5:$G$504,Payouts!$B$5:$B$504,A486,Payouts!$H$5:$H$504,"Paid"))</x:f>
      </x:c>
      <x:c r="J486" s="47" t="str">
        <x:f>IF(A486="","",H486-I486)</x:f>
      </x:c>
      <x:c r="K486" s="9"/>
      <x:c r="L486" s="9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9"/>
      <x:c r="B487" s="9"/>
      <x:c r="C487" s="6" t="str">
        <x:f>IF(B487="","",VLOOKUP(B487,Customers!$A$5:$J$504,3,FALSE))</x:f>
      </x:c>
      <x:c r="D487" s="6" t="str">
        <x:f>IF(B487="","",VLOOKUP(B487,Customers!$A$5:$J$504,4,FALSE))</x:f>
      </x:c>
      <x:c r="E487" s="9"/>
      <x:c r="F487" s="43"/>
      <x:c r="G487" s="9"/>
      <x:c r="H487" s="47" t="str">
        <x:f>IF(A487="","",SUMIFS(Sales!$K$5:$K$504,Sales!$I$5:$I$504,A487,Sales!$L$5:$L$504,"Approved"))</x:f>
      </x:c>
      <x:c r="I487" s="47" t="str">
        <x:f>IF(A487="","",SUMIFS(Payouts!$G$5:$G$504,Payouts!$B$5:$B$504,A487,Payouts!$H$5:$H$504,"Paid"))</x:f>
      </x:c>
      <x:c r="J487" s="47" t="str">
        <x:f>IF(A487="","",H487-I487)</x:f>
      </x:c>
      <x:c r="K487" s="9"/>
      <x:c r="L487" s="9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9"/>
      <x:c r="B488" s="9"/>
      <x:c r="C488" s="6" t="str">
        <x:f>IF(B488="","",VLOOKUP(B488,Customers!$A$5:$J$504,3,FALSE))</x:f>
      </x:c>
      <x:c r="D488" s="6" t="str">
        <x:f>IF(B488="","",VLOOKUP(B488,Customers!$A$5:$J$504,4,FALSE))</x:f>
      </x:c>
      <x:c r="E488" s="9"/>
      <x:c r="F488" s="43"/>
      <x:c r="G488" s="9"/>
      <x:c r="H488" s="47" t="str">
        <x:f>IF(A488="","",SUMIFS(Sales!$K$5:$K$504,Sales!$I$5:$I$504,A488,Sales!$L$5:$L$504,"Approved"))</x:f>
      </x:c>
      <x:c r="I488" s="47" t="str">
        <x:f>IF(A488="","",SUMIFS(Payouts!$G$5:$G$504,Payouts!$B$5:$B$504,A488,Payouts!$H$5:$H$504,"Paid"))</x:f>
      </x:c>
      <x:c r="J488" s="47" t="str">
        <x:f>IF(A488="","",H488-I488)</x:f>
      </x:c>
      <x:c r="K488" s="9"/>
      <x:c r="L488" s="9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9"/>
      <x:c r="B489" s="9"/>
      <x:c r="C489" s="6" t="str">
        <x:f>IF(B489="","",VLOOKUP(B489,Customers!$A$5:$J$504,3,FALSE))</x:f>
      </x:c>
      <x:c r="D489" s="6" t="str">
        <x:f>IF(B489="","",VLOOKUP(B489,Customers!$A$5:$J$504,4,FALSE))</x:f>
      </x:c>
      <x:c r="E489" s="9"/>
      <x:c r="F489" s="43"/>
      <x:c r="G489" s="9"/>
      <x:c r="H489" s="47" t="str">
        <x:f>IF(A489="","",SUMIFS(Sales!$K$5:$K$504,Sales!$I$5:$I$504,A489,Sales!$L$5:$L$504,"Approved"))</x:f>
      </x:c>
      <x:c r="I489" s="47" t="str">
        <x:f>IF(A489="","",SUMIFS(Payouts!$G$5:$G$504,Payouts!$B$5:$B$504,A489,Payouts!$H$5:$H$504,"Paid"))</x:f>
      </x:c>
      <x:c r="J489" s="47" t="str">
        <x:f>IF(A489="","",H489-I489)</x:f>
      </x:c>
      <x:c r="K489" s="9"/>
      <x:c r="L489" s="9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9"/>
      <x:c r="B490" s="9"/>
      <x:c r="C490" s="6" t="str">
        <x:f>IF(B490="","",VLOOKUP(B490,Customers!$A$5:$J$504,3,FALSE))</x:f>
      </x:c>
      <x:c r="D490" s="6" t="str">
        <x:f>IF(B490="","",VLOOKUP(B490,Customers!$A$5:$J$504,4,FALSE))</x:f>
      </x:c>
      <x:c r="E490" s="9"/>
      <x:c r="F490" s="43"/>
      <x:c r="G490" s="9"/>
      <x:c r="H490" s="47" t="str">
        <x:f>IF(A490="","",SUMIFS(Sales!$K$5:$K$504,Sales!$I$5:$I$504,A490,Sales!$L$5:$L$504,"Approved"))</x:f>
      </x:c>
      <x:c r="I490" s="47" t="str">
        <x:f>IF(A490="","",SUMIFS(Payouts!$G$5:$G$504,Payouts!$B$5:$B$504,A490,Payouts!$H$5:$H$504,"Paid"))</x:f>
      </x:c>
      <x:c r="J490" s="47" t="str">
        <x:f>IF(A490="","",H490-I490)</x:f>
      </x:c>
      <x:c r="K490" s="9"/>
      <x:c r="L490" s="9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9"/>
      <x:c r="B491" s="9"/>
      <x:c r="C491" s="6" t="str">
        <x:f>IF(B491="","",VLOOKUP(B491,Customers!$A$5:$J$504,3,FALSE))</x:f>
      </x:c>
      <x:c r="D491" s="6" t="str">
        <x:f>IF(B491="","",VLOOKUP(B491,Customers!$A$5:$J$504,4,FALSE))</x:f>
      </x:c>
      <x:c r="E491" s="9"/>
      <x:c r="F491" s="43"/>
      <x:c r="G491" s="9"/>
      <x:c r="H491" s="47" t="str">
        <x:f>IF(A491="","",SUMIFS(Sales!$K$5:$K$504,Sales!$I$5:$I$504,A491,Sales!$L$5:$L$504,"Approved"))</x:f>
      </x:c>
      <x:c r="I491" s="47" t="str">
        <x:f>IF(A491="","",SUMIFS(Payouts!$G$5:$G$504,Payouts!$B$5:$B$504,A491,Payouts!$H$5:$H$504,"Paid"))</x:f>
      </x:c>
      <x:c r="J491" s="47" t="str">
        <x:f>IF(A491="","",H491-I491)</x:f>
      </x:c>
      <x:c r="K491" s="9"/>
      <x:c r="L491" s="9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9"/>
      <x:c r="B492" s="9"/>
      <x:c r="C492" s="6" t="str">
        <x:f>IF(B492="","",VLOOKUP(B492,Customers!$A$5:$J$504,3,FALSE))</x:f>
      </x:c>
      <x:c r="D492" s="6" t="str">
        <x:f>IF(B492="","",VLOOKUP(B492,Customers!$A$5:$J$504,4,FALSE))</x:f>
      </x:c>
      <x:c r="E492" s="9"/>
      <x:c r="F492" s="43"/>
      <x:c r="G492" s="9"/>
      <x:c r="H492" s="47" t="str">
        <x:f>IF(A492="","",SUMIFS(Sales!$K$5:$K$504,Sales!$I$5:$I$504,A492,Sales!$L$5:$L$504,"Approved"))</x:f>
      </x:c>
      <x:c r="I492" s="47" t="str">
        <x:f>IF(A492="","",SUMIFS(Payouts!$G$5:$G$504,Payouts!$B$5:$B$504,A492,Payouts!$H$5:$H$504,"Paid"))</x:f>
      </x:c>
      <x:c r="J492" s="47" t="str">
        <x:f>IF(A492="","",H492-I492)</x:f>
      </x:c>
      <x:c r="K492" s="9"/>
      <x:c r="L492" s="9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9"/>
      <x:c r="B493" s="9"/>
      <x:c r="C493" s="6" t="str">
        <x:f>IF(B493="","",VLOOKUP(B493,Customers!$A$5:$J$504,3,FALSE))</x:f>
      </x:c>
      <x:c r="D493" s="6" t="str">
        <x:f>IF(B493="","",VLOOKUP(B493,Customers!$A$5:$J$504,4,FALSE))</x:f>
      </x:c>
      <x:c r="E493" s="9"/>
      <x:c r="F493" s="43"/>
      <x:c r="G493" s="9"/>
      <x:c r="H493" s="47" t="str">
        <x:f>IF(A493="","",SUMIFS(Sales!$K$5:$K$504,Sales!$I$5:$I$504,A493,Sales!$L$5:$L$504,"Approved"))</x:f>
      </x:c>
      <x:c r="I493" s="47" t="str">
        <x:f>IF(A493="","",SUMIFS(Payouts!$G$5:$G$504,Payouts!$B$5:$B$504,A493,Payouts!$H$5:$H$504,"Paid"))</x:f>
      </x:c>
      <x:c r="J493" s="47" t="str">
        <x:f>IF(A493="","",H493-I493)</x:f>
      </x:c>
      <x:c r="K493" s="9"/>
      <x:c r="L493" s="9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9"/>
      <x:c r="B494" s="9"/>
      <x:c r="C494" s="6" t="str">
        <x:f>IF(B494="","",VLOOKUP(B494,Customers!$A$5:$J$504,3,FALSE))</x:f>
      </x:c>
      <x:c r="D494" s="6" t="str">
        <x:f>IF(B494="","",VLOOKUP(B494,Customers!$A$5:$J$504,4,FALSE))</x:f>
      </x:c>
      <x:c r="E494" s="9"/>
      <x:c r="F494" s="43"/>
      <x:c r="G494" s="9"/>
      <x:c r="H494" s="47" t="str">
        <x:f>IF(A494="","",SUMIFS(Sales!$K$5:$K$504,Sales!$I$5:$I$504,A494,Sales!$L$5:$L$504,"Approved"))</x:f>
      </x:c>
      <x:c r="I494" s="47" t="str">
        <x:f>IF(A494="","",SUMIFS(Payouts!$G$5:$G$504,Payouts!$B$5:$B$504,A494,Payouts!$H$5:$H$504,"Paid"))</x:f>
      </x:c>
      <x:c r="J494" s="47" t="str">
        <x:f>IF(A494="","",H494-I494)</x:f>
      </x:c>
      <x:c r="K494" s="9"/>
      <x:c r="L494" s="9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9"/>
      <x:c r="B495" s="9"/>
      <x:c r="C495" s="6" t="str">
        <x:f>IF(B495="","",VLOOKUP(B495,Customers!$A$5:$J$504,3,FALSE))</x:f>
      </x:c>
      <x:c r="D495" s="6" t="str">
        <x:f>IF(B495="","",VLOOKUP(B495,Customers!$A$5:$J$504,4,FALSE))</x:f>
      </x:c>
      <x:c r="E495" s="9"/>
      <x:c r="F495" s="43"/>
      <x:c r="G495" s="9"/>
      <x:c r="H495" s="47" t="str">
        <x:f>IF(A495="","",SUMIFS(Sales!$K$5:$K$504,Sales!$I$5:$I$504,A495,Sales!$L$5:$L$504,"Approved"))</x:f>
      </x:c>
      <x:c r="I495" s="47" t="str">
        <x:f>IF(A495="","",SUMIFS(Payouts!$G$5:$G$504,Payouts!$B$5:$B$504,A495,Payouts!$H$5:$H$504,"Paid"))</x:f>
      </x:c>
      <x:c r="J495" s="47" t="str">
        <x:f>IF(A495="","",H495-I495)</x:f>
      </x:c>
      <x:c r="K495" s="9"/>
      <x:c r="L495" s="9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9"/>
      <x:c r="B496" s="9"/>
      <x:c r="C496" s="6" t="str">
        <x:f>IF(B496="","",VLOOKUP(B496,Customers!$A$5:$J$504,3,FALSE))</x:f>
      </x:c>
      <x:c r="D496" s="6" t="str">
        <x:f>IF(B496="","",VLOOKUP(B496,Customers!$A$5:$J$504,4,FALSE))</x:f>
      </x:c>
      <x:c r="E496" s="9"/>
      <x:c r="F496" s="43"/>
      <x:c r="G496" s="9"/>
      <x:c r="H496" s="47" t="str">
        <x:f>IF(A496="","",SUMIFS(Sales!$K$5:$K$504,Sales!$I$5:$I$504,A496,Sales!$L$5:$L$504,"Approved"))</x:f>
      </x:c>
      <x:c r="I496" s="47" t="str">
        <x:f>IF(A496="","",SUMIFS(Payouts!$G$5:$G$504,Payouts!$B$5:$B$504,A496,Payouts!$H$5:$H$504,"Paid"))</x:f>
      </x:c>
      <x:c r="J496" s="47" t="str">
        <x:f>IF(A496="","",H496-I496)</x:f>
      </x:c>
      <x:c r="K496" s="9"/>
      <x:c r="L496" s="9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9"/>
      <x:c r="B497" s="9"/>
      <x:c r="C497" s="6" t="str">
        <x:f>IF(B497="","",VLOOKUP(B497,Customers!$A$5:$J$504,3,FALSE))</x:f>
      </x:c>
      <x:c r="D497" s="6" t="str">
        <x:f>IF(B497="","",VLOOKUP(B497,Customers!$A$5:$J$504,4,FALSE))</x:f>
      </x:c>
      <x:c r="E497" s="9"/>
      <x:c r="F497" s="43"/>
      <x:c r="G497" s="9"/>
      <x:c r="H497" s="47" t="str">
        <x:f>IF(A497="","",SUMIFS(Sales!$K$5:$K$504,Sales!$I$5:$I$504,A497,Sales!$L$5:$L$504,"Approved"))</x:f>
      </x:c>
      <x:c r="I497" s="47" t="str">
        <x:f>IF(A497="","",SUMIFS(Payouts!$G$5:$G$504,Payouts!$B$5:$B$504,A497,Payouts!$H$5:$H$504,"Paid"))</x:f>
      </x:c>
      <x:c r="J497" s="47" t="str">
        <x:f>IF(A497="","",H497-I497)</x:f>
      </x:c>
      <x:c r="K497" s="9"/>
      <x:c r="L497" s="9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9"/>
      <x:c r="B498" s="9"/>
      <x:c r="C498" s="6" t="str">
        <x:f>IF(B498="","",VLOOKUP(B498,Customers!$A$5:$J$504,3,FALSE))</x:f>
      </x:c>
      <x:c r="D498" s="6" t="str">
        <x:f>IF(B498="","",VLOOKUP(B498,Customers!$A$5:$J$504,4,FALSE))</x:f>
      </x:c>
      <x:c r="E498" s="9"/>
      <x:c r="F498" s="43"/>
      <x:c r="G498" s="9"/>
      <x:c r="H498" s="47" t="str">
        <x:f>IF(A498="","",SUMIFS(Sales!$K$5:$K$504,Sales!$I$5:$I$504,A498,Sales!$L$5:$L$504,"Approved"))</x:f>
      </x:c>
      <x:c r="I498" s="47" t="str">
        <x:f>IF(A498="","",SUMIFS(Payouts!$G$5:$G$504,Payouts!$B$5:$B$504,A498,Payouts!$H$5:$H$504,"Paid"))</x:f>
      </x:c>
      <x:c r="J498" s="47" t="str">
        <x:f>IF(A498="","",H498-I498)</x:f>
      </x:c>
      <x:c r="K498" s="9"/>
      <x:c r="L498" s="9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9"/>
      <x:c r="B499" s="9"/>
      <x:c r="C499" s="6" t="str">
        <x:f>IF(B499="","",VLOOKUP(B499,Customers!$A$5:$J$504,3,FALSE))</x:f>
      </x:c>
      <x:c r="D499" s="6" t="str">
        <x:f>IF(B499="","",VLOOKUP(B499,Customers!$A$5:$J$504,4,FALSE))</x:f>
      </x:c>
      <x:c r="E499" s="9"/>
      <x:c r="F499" s="43"/>
      <x:c r="G499" s="9"/>
      <x:c r="H499" s="47" t="str">
        <x:f>IF(A499="","",SUMIFS(Sales!$K$5:$K$504,Sales!$I$5:$I$504,A499,Sales!$L$5:$L$504,"Approved"))</x:f>
      </x:c>
      <x:c r="I499" s="47" t="str">
        <x:f>IF(A499="","",SUMIFS(Payouts!$G$5:$G$504,Payouts!$B$5:$B$504,A499,Payouts!$H$5:$H$504,"Paid"))</x:f>
      </x:c>
      <x:c r="J499" s="47" t="str">
        <x:f>IF(A499="","",H499-I499)</x:f>
      </x:c>
      <x:c r="K499" s="9"/>
      <x:c r="L499" s="9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9"/>
      <x:c r="B500" s="9"/>
      <x:c r="C500" s="6" t="str">
        <x:f>IF(B500="","",VLOOKUP(B500,Customers!$A$5:$J$504,3,FALSE))</x:f>
      </x:c>
      <x:c r="D500" s="6" t="str">
        <x:f>IF(B500="","",VLOOKUP(B500,Customers!$A$5:$J$504,4,FALSE))</x:f>
      </x:c>
      <x:c r="E500" s="9"/>
      <x:c r="F500" s="43"/>
      <x:c r="G500" s="9"/>
      <x:c r="H500" s="47" t="str">
        <x:f>IF(A500="","",SUMIFS(Sales!$K$5:$K$504,Sales!$I$5:$I$504,A500,Sales!$L$5:$L$504,"Approved"))</x:f>
      </x:c>
      <x:c r="I500" s="47" t="str">
        <x:f>IF(A500="","",SUMIFS(Payouts!$G$5:$G$504,Payouts!$B$5:$B$504,A500,Payouts!$H$5:$H$504,"Paid"))</x:f>
      </x:c>
      <x:c r="J500" s="47" t="str">
        <x:f>IF(A500="","",H500-I500)</x:f>
      </x:c>
      <x:c r="K500" s="9"/>
      <x:c r="L500" s="9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9"/>
      <x:c r="B501" s="9"/>
      <x:c r="C501" s="6" t="str">
        <x:f>IF(B501="","",VLOOKUP(B501,Customers!$A$5:$J$504,3,FALSE))</x:f>
      </x:c>
      <x:c r="D501" s="6" t="str">
        <x:f>IF(B501="","",VLOOKUP(B501,Customers!$A$5:$J$504,4,FALSE))</x:f>
      </x:c>
      <x:c r="E501" s="9"/>
      <x:c r="F501" s="43"/>
      <x:c r="G501" s="9"/>
      <x:c r="H501" s="47" t="str">
        <x:f>IF(A501="","",SUMIFS(Sales!$K$5:$K$504,Sales!$I$5:$I$504,A501,Sales!$L$5:$L$504,"Approved"))</x:f>
      </x:c>
      <x:c r="I501" s="47" t="str">
        <x:f>IF(A501="","",SUMIFS(Payouts!$G$5:$G$504,Payouts!$B$5:$B$504,A501,Payouts!$H$5:$H$504,"Paid"))</x:f>
      </x:c>
      <x:c r="J501" s="47" t="str">
        <x:f>IF(A501="","",H501-I501)</x:f>
      </x:c>
      <x:c r="K501" s="9"/>
      <x:c r="L501" s="9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9"/>
      <x:c r="B502" s="9"/>
      <x:c r="C502" s="6" t="str">
        <x:f>IF(B502="","",VLOOKUP(B502,Customers!$A$5:$J$504,3,FALSE))</x:f>
      </x:c>
      <x:c r="D502" s="6" t="str">
        <x:f>IF(B502="","",VLOOKUP(B502,Customers!$A$5:$J$504,4,FALSE))</x:f>
      </x:c>
      <x:c r="E502" s="9"/>
      <x:c r="F502" s="43"/>
      <x:c r="G502" s="9"/>
      <x:c r="H502" s="47" t="str">
        <x:f>IF(A502="","",SUMIFS(Sales!$K$5:$K$504,Sales!$I$5:$I$504,A502,Sales!$L$5:$L$504,"Approved"))</x:f>
      </x:c>
      <x:c r="I502" s="47" t="str">
        <x:f>IF(A502="","",SUMIFS(Payouts!$G$5:$G$504,Payouts!$B$5:$B$504,A502,Payouts!$H$5:$H$504,"Paid"))</x:f>
      </x:c>
      <x:c r="J502" s="47" t="str">
        <x:f>IF(A502="","",H502-I502)</x:f>
      </x:c>
      <x:c r="K502" s="9"/>
      <x:c r="L502" s="9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9"/>
      <x:c r="B503" s="9"/>
      <x:c r="C503" s="6" t="str">
        <x:f>IF(B503="","",VLOOKUP(B503,Customers!$A$5:$J$504,3,FALSE))</x:f>
      </x:c>
      <x:c r="D503" s="6" t="str">
        <x:f>IF(B503="","",VLOOKUP(B503,Customers!$A$5:$J$504,4,FALSE))</x:f>
      </x:c>
      <x:c r="E503" s="9"/>
      <x:c r="F503" s="43"/>
      <x:c r="G503" s="9"/>
      <x:c r="H503" s="47" t="str">
        <x:f>IF(A503="","",SUMIFS(Sales!$K$5:$K$504,Sales!$I$5:$I$504,A503,Sales!$L$5:$L$504,"Approved"))</x:f>
      </x:c>
      <x:c r="I503" s="47" t="str">
        <x:f>IF(A503="","",SUMIFS(Payouts!$G$5:$G$504,Payouts!$B$5:$B$504,A503,Payouts!$H$5:$H$504,"Paid"))</x:f>
      </x:c>
      <x:c r="J503" s="47" t="str">
        <x:f>IF(A503="","",H503-I503)</x:f>
      </x:c>
      <x:c r="K503" s="9"/>
      <x:c r="L503" s="9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1"/>
      <x:c r="B504" s="21"/>
      <x:c r="C504" s="18" t="str">
        <x:f>IF(B504="","",VLOOKUP(B504,Customers!$A$5:$J$504,3,FALSE))</x:f>
      </x:c>
      <x:c r="D504" s="18" t="str">
        <x:f>IF(B504="","",VLOOKUP(B504,Customers!$A$5:$J$504,4,FALSE))</x:f>
      </x:c>
      <x:c r="E504" s="21"/>
      <x:c r="F504" s="44"/>
      <x:c r="G504" s="21"/>
      <x:c r="H504" s="50" t="str">
        <x:f>IF(A504="","",SUMIFS(Sales!$K$5:$K$504,Sales!$I$5:$I$504,A504,Sales!$L$5:$L$504,"Approved"))</x:f>
      </x:c>
      <x:c r="I504" s="50" t="str">
        <x:f>IF(A504="","",SUMIFS(Payouts!$G$5:$G$504,Payouts!$B$5:$B$504,A504,Payouts!$H$5:$H$504,"Paid"))</x:f>
      </x:c>
      <x:c r="J504" s="50" t="str">
        <x:f>IF(A504="","",H504-I504)</x:f>
      </x:c>
      <x:c r="K504" s="21"/>
      <x:c r="L504" s="21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</x:sheetData>
  <x:mergeCells>
    <x:mergeCell ref="A1:L1"/>
    <x:mergeCell ref="A2:L2"/>
  </x:mergeCells>
  <x:dataValidations count="2">
    <x:dataValidation type="list" sqref="G5:G504">
      <x:formula1>Lists!$F$5:$F$7</x:formula1>
    </x:dataValidation>
    <x:dataValidation type="list" sqref="K5:K504">
      <x:formula1>Lists!$H$5:$H$7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0" hidden="0" customWidth="1"/>
    <x:col min="7" max="7" width="15" hidden="0" customWidth="1"/>
    <x:col min="8" max="8" width="17" hidden="0" customWidth="1"/>
    <x:col min="9" max="9" width="24" hidden="0" customWidth="1"/>
    <x:col min="10" max="10" width="15" hidden="0" customWidth="1"/>
    <x:col min="11" max="11" width="28" hidden="0" customWidth="1"/>
  </x:cols>
  <x:sheetData>
    <x:row r="1" ht="25" customHeight="1">
      <x:c r="A1" s="3" t="str">
        <x:v>Payouts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9" customHeight="1">
      <x:c r="A2" s="4" t="str">
        <x:v>Record each affiliate payout only after approval. The payment reference is required for reconciliation.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53" t="str">
        <x:v>Payout ID</x:v>
      </x:c>
      <x:c r="B4" s="53" t="str">
        <x:v>Affiliate ID</x:v>
      </x:c>
      <x:c r="C4" s="53" t="str">
        <x:v>Request date</x:v>
      </x:c>
      <x:c r="D4" s="53" t="str">
        <x:v>Period start</x:v>
      </x:c>
      <x:c r="E4" s="53" t="str">
        <x:v>Period end</x:v>
      </x:c>
      <x:c r="F4" s="53" t="str">
        <x:v>Approved commission</x:v>
      </x:c>
      <x:c r="G4" s="53" t="str">
        <x:v>Amount paid</x:v>
      </x:c>
      <x:c r="H4" s="53" t="str">
        <x:v>Payout status</x:v>
      </x:c>
      <x:c r="I4" s="53" t="str">
        <x:v>Payment reference</x:v>
      </x:c>
      <x:c r="J4" s="53" t="str">
        <x:v>Processed date</x:v>
      </x:c>
      <x:c r="K4" s="53" t="str">
        <x:v>Notes</x:v>
      </x:c>
      <x:c r="L4" s="54"/>
      <x:c r="M4" s="54"/>
      <x:c r="N4" s="54"/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</x:row>
    <x:row r="5">
      <x:c r="A5" s="9"/>
      <x:c r="B5" s="9"/>
      <x:c r="C5" s="43"/>
      <x:c r="D5" s="43"/>
      <x:c r="E5" s="43"/>
      <x:c r="F5" s="45"/>
      <x:c r="G5" s="45"/>
      <x:c r="H5" s="9"/>
      <x:c r="I5" s="9"/>
      <x:c r="J5" s="43"/>
      <x:c r="K5" s="9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9"/>
      <x:c r="B6" s="9"/>
      <x:c r="C6" s="43"/>
      <x:c r="D6" s="43"/>
      <x:c r="E6" s="43"/>
      <x:c r="F6" s="45"/>
      <x:c r="G6" s="45"/>
      <x:c r="H6" s="9"/>
      <x:c r="I6" s="9"/>
      <x:c r="J6" s="43"/>
      <x:c r="K6" s="9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9"/>
      <x:c r="B7" s="9"/>
      <x:c r="C7" s="43"/>
      <x:c r="D7" s="43"/>
      <x:c r="E7" s="43"/>
      <x:c r="F7" s="45"/>
      <x:c r="G7" s="45"/>
      <x:c r="H7" s="9"/>
      <x:c r="I7" s="9"/>
      <x:c r="J7" s="43"/>
      <x:c r="K7" s="9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9"/>
      <x:c r="B8" s="9"/>
      <x:c r="C8" s="43"/>
      <x:c r="D8" s="43"/>
      <x:c r="E8" s="43"/>
      <x:c r="F8" s="45"/>
      <x:c r="G8" s="45"/>
      <x:c r="H8" s="9"/>
      <x:c r="I8" s="9"/>
      <x:c r="J8" s="43"/>
      <x:c r="K8" s="9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9"/>
      <x:c r="B9" s="9"/>
      <x:c r="C9" s="43"/>
      <x:c r="D9" s="43"/>
      <x:c r="E9" s="43"/>
      <x:c r="F9" s="45"/>
      <x:c r="G9" s="45"/>
      <x:c r="H9" s="9"/>
      <x:c r="I9" s="9"/>
      <x:c r="J9" s="43"/>
      <x:c r="K9" s="9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9"/>
      <x:c r="B10" s="9"/>
      <x:c r="C10" s="43"/>
      <x:c r="D10" s="43"/>
      <x:c r="E10" s="43"/>
      <x:c r="F10" s="45"/>
      <x:c r="G10" s="45"/>
      <x:c r="H10" s="9"/>
      <x:c r="I10" s="9"/>
      <x:c r="J10" s="43"/>
      <x:c r="K10" s="9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9"/>
      <x:c r="B11" s="9"/>
      <x:c r="C11" s="43"/>
      <x:c r="D11" s="43"/>
      <x:c r="E11" s="43"/>
      <x:c r="F11" s="45"/>
      <x:c r="G11" s="45"/>
      <x:c r="H11" s="9"/>
      <x:c r="I11" s="9"/>
      <x:c r="J11" s="43"/>
      <x:c r="K11" s="9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9"/>
      <x:c r="B12" s="9"/>
      <x:c r="C12" s="43"/>
      <x:c r="D12" s="43"/>
      <x:c r="E12" s="43"/>
      <x:c r="F12" s="45"/>
      <x:c r="G12" s="45"/>
      <x:c r="H12" s="9"/>
      <x:c r="I12" s="9"/>
      <x:c r="J12" s="43"/>
      <x:c r="K12" s="9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9"/>
      <x:c r="B13" s="9"/>
      <x:c r="C13" s="43"/>
      <x:c r="D13" s="43"/>
      <x:c r="E13" s="43"/>
      <x:c r="F13" s="45"/>
      <x:c r="G13" s="45"/>
      <x:c r="H13" s="9"/>
      <x:c r="I13" s="9"/>
      <x:c r="J13" s="43"/>
      <x:c r="K13" s="9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9"/>
      <x:c r="B14" s="9"/>
      <x:c r="C14" s="43"/>
      <x:c r="D14" s="43"/>
      <x:c r="E14" s="43"/>
      <x:c r="F14" s="45"/>
      <x:c r="G14" s="45"/>
      <x:c r="H14" s="9"/>
      <x:c r="I14" s="9"/>
      <x:c r="J14" s="43"/>
      <x:c r="K14" s="9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9"/>
      <x:c r="B15" s="9"/>
      <x:c r="C15" s="43"/>
      <x:c r="D15" s="43"/>
      <x:c r="E15" s="43"/>
      <x:c r="F15" s="45"/>
      <x:c r="G15" s="45"/>
      <x:c r="H15" s="9"/>
      <x:c r="I15" s="9"/>
      <x:c r="J15" s="43"/>
      <x:c r="K15" s="9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9"/>
      <x:c r="B16" s="9"/>
      <x:c r="C16" s="43"/>
      <x:c r="D16" s="43"/>
      <x:c r="E16" s="43"/>
      <x:c r="F16" s="45"/>
      <x:c r="G16" s="45"/>
      <x:c r="H16" s="9"/>
      <x:c r="I16" s="9"/>
      <x:c r="J16" s="43"/>
      <x:c r="K16" s="9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9"/>
      <x:c r="B17" s="9"/>
      <x:c r="C17" s="43"/>
      <x:c r="D17" s="43"/>
      <x:c r="E17" s="43"/>
      <x:c r="F17" s="45"/>
      <x:c r="G17" s="45"/>
      <x:c r="H17" s="9"/>
      <x:c r="I17" s="9"/>
      <x:c r="J17" s="43"/>
      <x:c r="K17" s="9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9"/>
      <x:c r="B18" s="9"/>
      <x:c r="C18" s="43"/>
      <x:c r="D18" s="43"/>
      <x:c r="E18" s="43"/>
      <x:c r="F18" s="45"/>
      <x:c r="G18" s="45"/>
      <x:c r="H18" s="9"/>
      <x:c r="I18" s="9"/>
      <x:c r="J18" s="43"/>
      <x:c r="K18" s="9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9"/>
      <x:c r="B19" s="9"/>
      <x:c r="C19" s="43"/>
      <x:c r="D19" s="43"/>
      <x:c r="E19" s="43"/>
      <x:c r="F19" s="45"/>
      <x:c r="G19" s="45"/>
      <x:c r="H19" s="9"/>
      <x:c r="I19" s="9"/>
      <x:c r="J19" s="43"/>
      <x:c r="K19" s="9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9"/>
      <x:c r="B20" s="9"/>
      <x:c r="C20" s="43"/>
      <x:c r="D20" s="43"/>
      <x:c r="E20" s="43"/>
      <x:c r="F20" s="45"/>
      <x:c r="G20" s="45"/>
      <x:c r="H20" s="9"/>
      <x:c r="I20" s="9"/>
      <x:c r="J20" s="43"/>
      <x:c r="K20" s="9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9"/>
      <x:c r="B21" s="9"/>
      <x:c r="C21" s="43"/>
      <x:c r="D21" s="43"/>
      <x:c r="E21" s="43"/>
      <x:c r="F21" s="45"/>
      <x:c r="G21" s="45"/>
      <x:c r="H21" s="9"/>
      <x:c r="I21" s="9"/>
      <x:c r="J21" s="43"/>
      <x:c r="K21" s="9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9"/>
      <x:c r="B22" s="9"/>
      <x:c r="C22" s="43"/>
      <x:c r="D22" s="43"/>
      <x:c r="E22" s="43"/>
      <x:c r="F22" s="45"/>
      <x:c r="G22" s="45"/>
      <x:c r="H22" s="9"/>
      <x:c r="I22" s="9"/>
      <x:c r="J22" s="43"/>
      <x:c r="K22" s="9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9"/>
      <x:c r="B23" s="9"/>
      <x:c r="C23" s="43"/>
      <x:c r="D23" s="43"/>
      <x:c r="E23" s="43"/>
      <x:c r="F23" s="45"/>
      <x:c r="G23" s="45"/>
      <x:c r="H23" s="9"/>
      <x:c r="I23" s="9"/>
      <x:c r="J23" s="43"/>
      <x:c r="K23" s="9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9"/>
      <x:c r="B24" s="9"/>
      <x:c r="C24" s="43"/>
      <x:c r="D24" s="43"/>
      <x:c r="E24" s="43"/>
      <x:c r="F24" s="45"/>
      <x:c r="G24" s="45"/>
      <x:c r="H24" s="9"/>
      <x:c r="I24" s="9"/>
      <x:c r="J24" s="43"/>
      <x:c r="K24" s="9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9"/>
      <x:c r="B25" s="9"/>
      <x:c r="C25" s="43"/>
      <x:c r="D25" s="43"/>
      <x:c r="E25" s="43"/>
      <x:c r="F25" s="45"/>
      <x:c r="G25" s="45"/>
      <x:c r="H25" s="9"/>
      <x:c r="I25" s="9"/>
      <x:c r="J25" s="43"/>
      <x:c r="K25" s="9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9"/>
      <x:c r="B26" s="9"/>
      <x:c r="C26" s="43"/>
      <x:c r="D26" s="43"/>
      <x:c r="E26" s="43"/>
      <x:c r="F26" s="45"/>
      <x:c r="G26" s="45"/>
      <x:c r="H26" s="9"/>
      <x:c r="I26" s="9"/>
      <x:c r="J26" s="43"/>
      <x:c r="K26" s="9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9"/>
      <x:c r="B27" s="9"/>
      <x:c r="C27" s="43"/>
      <x:c r="D27" s="43"/>
      <x:c r="E27" s="43"/>
      <x:c r="F27" s="45"/>
      <x:c r="G27" s="45"/>
      <x:c r="H27" s="9"/>
      <x:c r="I27" s="9"/>
      <x:c r="J27" s="43"/>
      <x:c r="K27" s="9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9"/>
      <x:c r="B28" s="9"/>
      <x:c r="C28" s="43"/>
      <x:c r="D28" s="43"/>
      <x:c r="E28" s="43"/>
      <x:c r="F28" s="45"/>
      <x:c r="G28" s="45"/>
      <x:c r="H28" s="9"/>
      <x:c r="I28" s="9"/>
      <x:c r="J28" s="43"/>
      <x:c r="K28" s="9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9"/>
      <x:c r="B29" s="9"/>
      <x:c r="C29" s="43"/>
      <x:c r="D29" s="43"/>
      <x:c r="E29" s="43"/>
      <x:c r="F29" s="45"/>
      <x:c r="G29" s="45"/>
      <x:c r="H29" s="9"/>
      <x:c r="I29" s="9"/>
      <x:c r="J29" s="43"/>
      <x:c r="K29" s="9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9"/>
      <x:c r="B30" s="9"/>
      <x:c r="C30" s="43"/>
      <x:c r="D30" s="43"/>
      <x:c r="E30" s="43"/>
      <x:c r="F30" s="45"/>
      <x:c r="G30" s="45"/>
      <x:c r="H30" s="9"/>
      <x:c r="I30" s="9"/>
      <x:c r="J30" s="43"/>
      <x:c r="K30" s="9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9"/>
      <x:c r="B31" s="9"/>
      <x:c r="C31" s="43"/>
      <x:c r="D31" s="43"/>
      <x:c r="E31" s="43"/>
      <x:c r="F31" s="45"/>
      <x:c r="G31" s="45"/>
      <x:c r="H31" s="9"/>
      <x:c r="I31" s="9"/>
      <x:c r="J31" s="43"/>
      <x:c r="K31" s="9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9"/>
      <x:c r="B32" s="9"/>
      <x:c r="C32" s="43"/>
      <x:c r="D32" s="43"/>
      <x:c r="E32" s="43"/>
      <x:c r="F32" s="45"/>
      <x:c r="G32" s="45"/>
      <x:c r="H32" s="9"/>
      <x:c r="I32" s="9"/>
      <x:c r="J32" s="43"/>
      <x:c r="K32" s="9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9"/>
      <x:c r="B33" s="9"/>
      <x:c r="C33" s="43"/>
      <x:c r="D33" s="43"/>
      <x:c r="E33" s="43"/>
      <x:c r="F33" s="45"/>
      <x:c r="G33" s="45"/>
      <x:c r="H33" s="9"/>
      <x:c r="I33" s="9"/>
      <x:c r="J33" s="43"/>
      <x:c r="K33" s="9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9"/>
      <x:c r="B34" s="9"/>
      <x:c r="C34" s="43"/>
      <x:c r="D34" s="43"/>
      <x:c r="E34" s="43"/>
      <x:c r="F34" s="45"/>
      <x:c r="G34" s="45"/>
      <x:c r="H34" s="9"/>
      <x:c r="I34" s="9"/>
      <x:c r="J34" s="43"/>
      <x:c r="K34" s="9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9"/>
      <x:c r="B35" s="9"/>
      <x:c r="C35" s="43"/>
      <x:c r="D35" s="43"/>
      <x:c r="E35" s="43"/>
      <x:c r="F35" s="45"/>
      <x:c r="G35" s="45"/>
      <x:c r="H35" s="9"/>
      <x:c r="I35" s="9"/>
      <x:c r="J35" s="43"/>
      <x:c r="K35" s="9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9"/>
      <x:c r="B36" s="9"/>
      <x:c r="C36" s="43"/>
      <x:c r="D36" s="43"/>
      <x:c r="E36" s="43"/>
      <x:c r="F36" s="45"/>
      <x:c r="G36" s="45"/>
      <x:c r="H36" s="9"/>
      <x:c r="I36" s="9"/>
      <x:c r="J36" s="43"/>
      <x:c r="K36" s="9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9"/>
      <x:c r="B37" s="9"/>
      <x:c r="C37" s="43"/>
      <x:c r="D37" s="43"/>
      <x:c r="E37" s="43"/>
      <x:c r="F37" s="45"/>
      <x:c r="G37" s="45"/>
      <x:c r="H37" s="9"/>
      <x:c r="I37" s="9"/>
      <x:c r="J37" s="43"/>
      <x:c r="K37" s="9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9"/>
      <x:c r="B38" s="9"/>
      <x:c r="C38" s="43"/>
      <x:c r="D38" s="43"/>
      <x:c r="E38" s="43"/>
      <x:c r="F38" s="45"/>
      <x:c r="G38" s="45"/>
      <x:c r="H38" s="9"/>
      <x:c r="I38" s="9"/>
      <x:c r="J38" s="43"/>
      <x:c r="K38" s="9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9"/>
      <x:c r="B39" s="9"/>
      <x:c r="C39" s="43"/>
      <x:c r="D39" s="43"/>
      <x:c r="E39" s="43"/>
      <x:c r="F39" s="45"/>
      <x:c r="G39" s="45"/>
      <x:c r="H39" s="9"/>
      <x:c r="I39" s="9"/>
      <x:c r="J39" s="43"/>
      <x:c r="K39" s="9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9"/>
      <x:c r="B40" s="9"/>
      <x:c r="C40" s="43"/>
      <x:c r="D40" s="43"/>
      <x:c r="E40" s="43"/>
      <x:c r="F40" s="45"/>
      <x:c r="G40" s="45"/>
      <x:c r="H40" s="9"/>
      <x:c r="I40" s="9"/>
      <x:c r="J40" s="43"/>
      <x:c r="K40" s="9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9"/>
      <x:c r="B41" s="9"/>
      <x:c r="C41" s="43"/>
      <x:c r="D41" s="43"/>
      <x:c r="E41" s="43"/>
      <x:c r="F41" s="45"/>
      <x:c r="G41" s="45"/>
      <x:c r="H41" s="9"/>
      <x:c r="I41" s="9"/>
      <x:c r="J41" s="43"/>
      <x:c r="K41" s="9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9"/>
      <x:c r="B42" s="9"/>
      <x:c r="C42" s="43"/>
      <x:c r="D42" s="43"/>
      <x:c r="E42" s="43"/>
      <x:c r="F42" s="45"/>
      <x:c r="G42" s="45"/>
      <x:c r="H42" s="9"/>
      <x:c r="I42" s="9"/>
      <x:c r="J42" s="43"/>
      <x:c r="K42" s="9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9"/>
      <x:c r="B43" s="9"/>
      <x:c r="C43" s="43"/>
      <x:c r="D43" s="43"/>
      <x:c r="E43" s="43"/>
      <x:c r="F43" s="45"/>
      <x:c r="G43" s="45"/>
      <x:c r="H43" s="9"/>
      <x:c r="I43" s="9"/>
      <x:c r="J43" s="43"/>
      <x:c r="K43" s="9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9"/>
      <x:c r="B44" s="9"/>
      <x:c r="C44" s="43"/>
      <x:c r="D44" s="43"/>
      <x:c r="E44" s="43"/>
      <x:c r="F44" s="45"/>
      <x:c r="G44" s="45"/>
      <x:c r="H44" s="9"/>
      <x:c r="I44" s="9"/>
      <x:c r="J44" s="43"/>
      <x:c r="K44" s="9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9"/>
      <x:c r="B45" s="9"/>
      <x:c r="C45" s="43"/>
      <x:c r="D45" s="43"/>
      <x:c r="E45" s="43"/>
      <x:c r="F45" s="45"/>
      <x:c r="G45" s="45"/>
      <x:c r="H45" s="9"/>
      <x:c r="I45" s="9"/>
      <x:c r="J45" s="43"/>
      <x:c r="K45" s="9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9"/>
      <x:c r="B46" s="9"/>
      <x:c r="C46" s="43"/>
      <x:c r="D46" s="43"/>
      <x:c r="E46" s="43"/>
      <x:c r="F46" s="45"/>
      <x:c r="G46" s="45"/>
      <x:c r="H46" s="9"/>
      <x:c r="I46" s="9"/>
      <x:c r="J46" s="43"/>
      <x:c r="K46" s="9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9"/>
      <x:c r="B47" s="9"/>
      <x:c r="C47" s="43"/>
      <x:c r="D47" s="43"/>
      <x:c r="E47" s="43"/>
      <x:c r="F47" s="45"/>
      <x:c r="G47" s="45"/>
      <x:c r="H47" s="9"/>
      <x:c r="I47" s="9"/>
      <x:c r="J47" s="43"/>
      <x:c r="K47" s="9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9"/>
      <x:c r="B48" s="9"/>
      <x:c r="C48" s="43"/>
      <x:c r="D48" s="43"/>
      <x:c r="E48" s="43"/>
      <x:c r="F48" s="45"/>
      <x:c r="G48" s="45"/>
      <x:c r="H48" s="9"/>
      <x:c r="I48" s="9"/>
      <x:c r="J48" s="43"/>
      <x:c r="K48" s="9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9"/>
      <x:c r="B49" s="9"/>
      <x:c r="C49" s="43"/>
      <x:c r="D49" s="43"/>
      <x:c r="E49" s="43"/>
      <x:c r="F49" s="45"/>
      <x:c r="G49" s="45"/>
      <x:c r="H49" s="9"/>
      <x:c r="I49" s="9"/>
      <x:c r="J49" s="43"/>
      <x:c r="K49" s="9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9"/>
      <x:c r="B50" s="9"/>
      <x:c r="C50" s="43"/>
      <x:c r="D50" s="43"/>
      <x:c r="E50" s="43"/>
      <x:c r="F50" s="45"/>
      <x:c r="G50" s="45"/>
      <x:c r="H50" s="9"/>
      <x:c r="I50" s="9"/>
      <x:c r="J50" s="43"/>
      <x:c r="K50" s="9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9"/>
      <x:c r="B51" s="9"/>
      <x:c r="C51" s="43"/>
      <x:c r="D51" s="43"/>
      <x:c r="E51" s="43"/>
      <x:c r="F51" s="45"/>
      <x:c r="G51" s="45"/>
      <x:c r="H51" s="9"/>
      <x:c r="I51" s="9"/>
      <x:c r="J51" s="43"/>
      <x:c r="K51" s="9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9"/>
      <x:c r="B52" s="9"/>
      <x:c r="C52" s="43"/>
      <x:c r="D52" s="43"/>
      <x:c r="E52" s="43"/>
      <x:c r="F52" s="45"/>
      <x:c r="G52" s="45"/>
      <x:c r="H52" s="9"/>
      <x:c r="I52" s="9"/>
      <x:c r="J52" s="43"/>
      <x:c r="K52" s="9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9"/>
      <x:c r="B53" s="9"/>
      <x:c r="C53" s="43"/>
      <x:c r="D53" s="43"/>
      <x:c r="E53" s="43"/>
      <x:c r="F53" s="45"/>
      <x:c r="G53" s="45"/>
      <x:c r="H53" s="9"/>
      <x:c r="I53" s="9"/>
      <x:c r="J53" s="43"/>
      <x:c r="K53" s="9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9"/>
      <x:c r="B54" s="9"/>
      <x:c r="C54" s="43"/>
      <x:c r="D54" s="43"/>
      <x:c r="E54" s="43"/>
      <x:c r="F54" s="45"/>
      <x:c r="G54" s="45"/>
      <x:c r="H54" s="9"/>
      <x:c r="I54" s="9"/>
      <x:c r="J54" s="43"/>
      <x:c r="K54" s="9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9"/>
      <x:c r="B55" s="9"/>
      <x:c r="C55" s="43"/>
      <x:c r="D55" s="43"/>
      <x:c r="E55" s="43"/>
      <x:c r="F55" s="45"/>
      <x:c r="G55" s="45"/>
      <x:c r="H55" s="9"/>
      <x:c r="I55" s="9"/>
      <x:c r="J55" s="43"/>
      <x:c r="K55" s="9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9"/>
      <x:c r="B56" s="9"/>
      <x:c r="C56" s="43"/>
      <x:c r="D56" s="43"/>
      <x:c r="E56" s="43"/>
      <x:c r="F56" s="45"/>
      <x:c r="G56" s="45"/>
      <x:c r="H56" s="9"/>
      <x:c r="I56" s="9"/>
      <x:c r="J56" s="43"/>
      <x:c r="K56" s="9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9"/>
      <x:c r="B57" s="9"/>
      <x:c r="C57" s="43"/>
      <x:c r="D57" s="43"/>
      <x:c r="E57" s="43"/>
      <x:c r="F57" s="45"/>
      <x:c r="G57" s="45"/>
      <x:c r="H57" s="9"/>
      <x:c r="I57" s="9"/>
      <x:c r="J57" s="43"/>
      <x:c r="K57" s="9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9"/>
      <x:c r="B58" s="9"/>
      <x:c r="C58" s="43"/>
      <x:c r="D58" s="43"/>
      <x:c r="E58" s="43"/>
      <x:c r="F58" s="45"/>
      <x:c r="G58" s="45"/>
      <x:c r="H58" s="9"/>
      <x:c r="I58" s="9"/>
      <x:c r="J58" s="43"/>
      <x:c r="K58" s="9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9"/>
      <x:c r="B59" s="9"/>
      <x:c r="C59" s="43"/>
      <x:c r="D59" s="43"/>
      <x:c r="E59" s="43"/>
      <x:c r="F59" s="45"/>
      <x:c r="G59" s="45"/>
      <x:c r="H59" s="9"/>
      <x:c r="I59" s="9"/>
      <x:c r="J59" s="43"/>
      <x:c r="K59" s="9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9"/>
      <x:c r="B60" s="9"/>
      <x:c r="C60" s="43"/>
      <x:c r="D60" s="43"/>
      <x:c r="E60" s="43"/>
      <x:c r="F60" s="45"/>
      <x:c r="G60" s="45"/>
      <x:c r="H60" s="9"/>
      <x:c r="I60" s="9"/>
      <x:c r="J60" s="43"/>
      <x:c r="K60" s="9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9"/>
      <x:c r="B61" s="9"/>
      <x:c r="C61" s="43"/>
      <x:c r="D61" s="43"/>
      <x:c r="E61" s="43"/>
      <x:c r="F61" s="45"/>
      <x:c r="G61" s="45"/>
      <x:c r="H61" s="9"/>
      <x:c r="I61" s="9"/>
      <x:c r="J61" s="43"/>
      <x:c r="K61" s="9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9"/>
      <x:c r="B62" s="9"/>
      <x:c r="C62" s="43"/>
      <x:c r="D62" s="43"/>
      <x:c r="E62" s="43"/>
      <x:c r="F62" s="45"/>
      <x:c r="G62" s="45"/>
      <x:c r="H62" s="9"/>
      <x:c r="I62" s="9"/>
      <x:c r="J62" s="43"/>
      <x:c r="K62" s="9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9"/>
      <x:c r="B63" s="9"/>
      <x:c r="C63" s="43"/>
      <x:c r="D63" s="43"/>
      <x:c r="E63" s="43"/>
      <x:c r="F63" s="45"/>
      <x:c r="G63" s="45"/>
      <x:c r="H63" s="9"/>
      <x:c r="I63" s="9"/>
      <x:c r="J63" s="43"/>
      <x:c r="K63" s="9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9"/>
      <x:c r="B64" s="9"/>
      <x:c r="C64" s="43"/>
      <x:c r="D64" s="43"/>
      <x:c r="E64" s="43"/>
      <x:c r="F64" s="45"/>
      <x:c r="G64" s="45"/>
      <x:c r="H64" s="9"/>
      <x:c r="I64" s="9"/>
      <x:c r="J64" s="43"/>
      <x:c r="K64" s="9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9"/>
      <x:c r="B65" s="9"/>
      <x:c r="C65" s="43"/>
      <x:c r="D65" s="43"/>
      <x:c r="E65" s="43"/>
      <x:c r="F65" s="45"/>
      <x:c r="G65" s="45"/>
      <x:c r="H65" s="9"/>
      <x:c r="I65" s="9"/>
      <x:c r="J65" s="43"/>
      <x:c r="K65" s="9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9"/>
      <x:c r="B66" s="9"/>
      <x:c r="C66" s="43"/>
      <x:c r="D66" s="43"/>
      <x:c r="E66" s="43"/>
      <x:c r="F66" s="45"/>
      <x:c r="G66" s="45"/>
      <x:c r="H66" s="9"/>
      <x:c r="I66" s="9"/>
      <x:c r="J66" s="43"/>
      <x:c r="K66" s="9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9"/>
      <x:c r="B67" s="9"/>
      <x:c r="C67" s="43"/>
      <x:c r="D67" s="43"/>
      <x:c r="E67" s="43"/>
      <x:c r="F67" s="45"/>
      <x:c r="G67" s="45"/>
      <x:c r="H67" s="9"/>
      <x:c r="I67" s="9"/>
      <x:c r="J67" s="43"/>
      <x:c r="K67" s="9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9"/>
      <x:c r="B68" s="9"/>
      <x:c r="C68" s="43"/>
      <x:c r="D68" s="43"/>
      <x:c r="E68" s="43"/>
      <x:c r="F68" s="45"/>
      <x:c r="G68" s="45"/>
      <x:c r="H68" s="9"/>
      <x:c r="I68" s="9"/>
      <x:c r="J68" s="43"/>
      <x:c r="K68" s="9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9"/>
      <x:c r="B69" s="9"/>
      <x:c r="C69" s="43"/>
      <x:c r="D69" s="43"/>
      <x:c r="E69" s="43"/>
      <x:c r="F69" s="45"/>
      <x:c r="G69" s="45"/>
      <x:c r="H69" s="9"/>
      <x:c r="I69" s="9"/>
      <x:c r="J69" s="43"/>
      <x:c r="K69" s="9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9"/>
      <x:c r="B70" s="9"/>
      <x:c r="C70" s="43"/>
      <x:c r="D70" s="43"/>
      <x:c r="E70" s="43"/>
      <x:c r="F70" s="45"/>
      <x:c r="G70" s="45"/>
      <x:c r="H70" s="9"/>
      <x:c r="I70" s="9"/>
      <x:c r="J70" s="43"/>
      <x:c r="K70" s="9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9"/>
      <x:c r="B71" s="9"/>
      <x:c r="C71" s="43"/>
      <x:c r="D71" s="43"/>
      <x:c r="E71" s="43"/>
      <x:c r="F71" s="45"/>
      <x:c r="G71" s="45"/>
      <x:c r="H71" s="9"/>
      <x:c r="I71" s="9"/>
      <x:c r="J71" s="43"/>
      <x:c r="K71" s="9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9"/>
      <x:c r="B72" s="9"/>
      <x:c r="C72" s="43"/>
      <x:c r="D72" s="43"/>
      <x:c r="E72" s="43"/>
      <x:c r="F72" s="45"/>
      <x:c r="G72" s="45"/>
      <x:c r="H72" s="9"/>
      <x:c r="I72" s="9"/>
      <x:c r="J72" s="43"/>
      <x:c r="K72" s="9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9"/>
      <x:c r="B73" s="9"/>
      <x:c r="C73" s="43"/>
      <x:c r="D73" s="43"/>
      <x:c r="E73" s="43"/>
      <x:c r="F73" s="45"/>
      <x:c r="G73" s="45"/>
      <x:c r="H73" s="9"/>
      <x:c r="I73" s="9"/>
      <x:c r="J73" s="43"/>
      <x:c r="K73" s="9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9"/>
      <x:c r="B74" s="9"/>
      <x:c r="C74" s="43"/>
      <x:c r="D74" s="43"/>
      <x:c r="E74" s="43"/>
      <x:c r="F74" s="45"/>
      <x:c r="G74" s="45"/>
      <x:c r="H74" s="9"/>
      <x:c r="I74" s="9"/>
      <x:c r="J74" s="43"/>
      <x:c r="K74" s="9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9"/>
      <x:c r="B75" s="9"/>
      <x:c r="C75" s="43"/>
      <x:c r="D75" s="43"/>
      <x:c r="E75" s="43"/>
      <x:c r="F75" s="45"/>
      <x:c r="G75" s="45"/>
      <x:c r="H75" s="9"/>
      <x:c r="I75" s="9"/>
      <x:c r="J75" s="43"/>
      <x:c r="K75" s="9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9"/>
      <x:c r="B76" s="9"/>
      <x:c r="C76" s="43"/>
      <x:c r="D76" s="43"/>
      <x:c r="E76" s="43"/>
      <x:c r="F76" s="45"/>
      <x:c r="G76" s="45"/>
      <x:c r="H76" s="9"/>
      <x:c r="I76" s="9"/>
      <x:c r="J76" s="43"/>
      <x:c r="K76" s="9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9"/>
      <x:c r="B77" s="9"/>
      <x:c r="C77" s="43"/>
      <x:c r="D77" s="43"/>
      <x:c r="E77" s="43"/>
      <x:c r="F77" s="45"/>
      <x:c r="G77" s="45"/>
      <x:c r="H77" s="9"/>
      <x:c r="I77" s="9"/>
      <x:c r="J77" s="43"/>
      <x:c r="K77" s="9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9"/>
      <x:c r="B78" s="9"/>
      <x:c r="C78" s="43"/>
      <x:c r="D78" s="43"/>
      <x:c r="E78" s="43"/>
      <x:c r="F78" s="45"/>
      <x:c r="G78" s="45"/>
      <x:c r="H78" s="9"/>
      <x:c r="I78" s="9"/>
      <x:c r="J78" s="43"/>
      <x:c r="K78" s="9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9"/>
      <x:c r="B79" s="9"/>
      <x:c r="C79" s="43"/>
      <x:c r="D79" s="43"/>
      <x:c r="E79" s="43"/>
      <x:c r="F79" s="45"/>
      <x:c r="G79" s="45"/>
      <x:c r="H79" s="9"/>
      <x:c r="I79" s="9"/>
      <x:c r="J79" s="43"/>
      <x:c r="K79" s="9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9"/>
      <x:c r="B80" s="9"/>
      <x:c r="C80" s="43"/>
      <x:c r="D80" s="43"/>
      <x:c r="E80" s="43"/>
      <x:c r="F80" s="45"/>
      <x:c r="G80" s="45"/>
      <x:c r="H80" s="9"/>
      <x:c r="I80" s="9"/>
      <x:c r="J80" s="43"/>
      <x:c r="K80" s="9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9"/>
      <x:c r="B81" s="9"/>
      <x:c r="C81" s="43"/>
      <x:c r="D81" s="43"/>
      <x:c r="E81" s="43"/>
      <x:c r="F81" s="45"/>
      <x:c r="G81" s="45"/>
      <x:c r="H81" s="9"/>
      <x:c r="I81" s="9"/>
      <x:c r="J81" s="43"/>
      <x:c r="K81" s="9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9"/>
      <x:c r="B82" s="9"/>
      <x:c r="C82" s="43"/>
      <x:c r="D82" s="43"/>
      <x:c r="E82" s="43"/>
      <x:c r="F82" s="45"/>
      <x:c r="G82" s="45"/>
      <x:c r="H82" s="9"/>
      <x:c r="I82" s="9"/>
      <x:c r="J82" s="43"/>
      <x:c r="K82" s="9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9"/>
      <x:c r="B83" s="9"/>
      <x:c r="C83" s="43"/>
      <x:c r="D83" s="43"/>
      <x:c r="E83" s="43"/>
      <x:c r="F83" s="45"/>
      <x:c r="G83" s="45"/>
      <x:c r="H83" s="9"/>
      <x:c r="I83" s="9"/>
      <x:c r="J83" s="43"/>
      <x:c r="K83" s="9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9"/>
      <x:c r="B84" s="9"/>
      <x:c r="C84" s="43"/>
      <x:c r="D84" s="43"/>
      <x:c r="E84" s="43"/>
      <x:c r="F84" s="45"/>
      <x:c r="G84" s="45"/>
      <x:c r="H84" s="9"/>
      <x:c r="I84" s="9"/>
      <x:c r="J84" s="43"/>
      <x:c r="K84" s="9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9"/>
      <x:c r="B85" s="9"/>
      <x:c r="C85" s="43"/>
      <x:c r="D85" s="43"/>
      <x:c r="E85" s="43"/>
      <x:c r="F85" s="45"/>
      <x:c r="G85" s="45"/>
      <x:c r="H85" s="9"/>
      <x:c r="I85" s="9"/>
      <x:c r="J85" s="43"/>
      <x:c r="K85" s="9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9"/>
      <x:c r="B86" s="9"/>
      <x:c r="C86" s="43"/>
      <x:c r="D86" s="43"/>
      <x:c r="E86" s="43"/>
      <x:c r="F86" s="45"/>
      <x:c r="G86" s="45"/>
      <x:c r="H86" s="9"/>
      <x:c r="I86" s="9"/>
      <x:c r="J86" s="43"/>
      <x:c r="K86" s="9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9"/>
      <x:c r="B87" s="9"/>
      <x:c r="C87" s="43"/>
      <x:c r="D87" s="43"/>
      <x:c r="E87" s="43"/>
      <x:c r="F87" s="45"/>
      <x:c r="G87" s="45"/>
      <x:c r="H87" s="9"/>
      <x:c r="I87" s="9"/>
      <x:c r="J87" s="43"/>
      <x:c r="K87" s="9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9"/>
      <x:c r="B88" s="9"/>
      <x:c r="C88" s="43"/>
      <x:c r="D88" s="43"/>
      <x:c r="E88" s="43"/>
      <x:c r="F88" s="45"/>
      <x:c r="G88" s="45"/>
      <x:c r="H88" s="9"/>
      <x:c r="I88" s="9"/>
      <x:c r="J88" s="43"/>
      <x:c r="K88" s="9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9"/>
      <x:c r="B89" s="9"/>
      <x:c r="C89" s="43"/>
      <x:c r="D89" s="43"/>
      <x:c r="E89" s="43"/>
      <x:c r="F89" s="45"/>
      <x:c r="G89" s="45"/>
      <x:c r="H89" s="9"/>
      <x:c r="I89" s="9"/>
      <x:c r="J89" s="43"/>
      <x:c r="K89" s="9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9"/>
      <x:c r="B90" s="9"/>
      <x:c r="C90" s="43"/>
      <x:c r="D90" s="43"/>
      <x:c r="E90" s="43"/>
      <x:c r="F90" s="45"/>
      <x:c r="G90" s="45"/>
      <x:c r="H90" s="9"/>
      <x:c r="I90" s="9"/>
      <x:c r="J90" s="43"/>
      <x:c r="K90" s="9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9"/>
      <x:c r="B91" s="9"/>
      <x:c r="C91" s="43"/>
      <x:c r="D91" s="43"/>
      <x:c r="E91" s="43"/>
      <x:c r="F91" s="45"/>
      <x:c r="G91" s="45"/>
      <x:c r="H91" s="9"/>
      <x:c r="I91" s="9"/>
      <x:c r="J91" s="43"/>
      <x:c r="K91" s="9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9"/>
      <x:c r="B92" s="9"/>
      <x:c r="C92" s="43"/>
      <x:c r="D92" s="43"/>
      <x:c r="E92" s="43"/>
      <x:c r="F92" s="45"/>
      <x:c r="G92" s="45"/>
      <x:c r="H92" s="9"/>
      <x:c r="I92" s="9"/>
      <x:c r="J92" s="43"/>
      <x:c r="K92" s="9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9"/>
      <x:c r="B93" s="9"/>
      <x:c r="C93" s="43"/>
      <x:c r="D93" s="43"/>
      <x:c r="E93" s="43"/>
      <x:c r="F93" s="45"/>
      <x:c r="G93" s="45"/>
      <x:c r="H93" s="9"/>
      <x:c r="I93" s="9"/>
      <x:c r="J93" s="43"/>
      <x:c r="K93" s="9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9"/>
      <x:c r="B94" s="9"/>
      <x:c r="C94" s="43"/>
      <x:c r="D94" s="43"/>
      <x:c r="E94" s="43"/>
      <x:c r="F94" s="45"/>
      <x:c r="G94" s="45"/>
      <x:c r="H94" s="9"/>
      <x:c r="I94" s="9"/>
      <x:c r="J94" s="43"/>
      <x:c r="K94" s="9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9"/>
      <x:c r="B95" s="9"/>
      <x:c r="C95" s="43"/>
      <x:c r="D95" s="43"/>
      <x:c r="E95" s="43"/>
      <x:c r="F95" s="45"/>
      <x:c r="G95" s="45"/>
      <x:c r="H95" s="9"/>
      <x:c r="I95" s="9"/>
      <x:c r="J95" s="43"/>
      <x:c r="K95" s="9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9"/>
      <x:c r="B96" s="9"/>
      <x:c r="C96" s="43"/>
      <x:c r="D96" s="43"/>
      <x:c r="E96" s="43"/>
      <x:c r="F96" s="45"/>
      <x:c r="G96" s="45"/>
      <x:c r="H96" s="9"/>
      <x:c r="I96" s="9"/>
      <x:c r="J96" s="43"/>
      <x:c r="K96" s="9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9"/>
      <x:c r="B97" s="9"/>
      <x:c r="C97" s="43"/>
      <x:c r="D97" s="43"/>
      <x:c r="E97" s="43"/>
      <x:c r="F97" s="45"/>
      <x:c r="G97" s="45"/>
      <x:c r="H97" s="9"/>
      <x:c r="I97" s="9"/>
      <x:c r="J97" s="43"/>
      <x:c r="K97" s="9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9"/>
      <x:c r="B98" s="9"/>
      <x:c r="C98" s="43"/>
      <x:c r="D98" s="43"/>
      <x:c r="E98" s="43"/>
      <x:c r="F98" s="45"/>
      <x:c r="G98" s="45"/>
      <x:c r="H98" s="9"/>
      <x:c r="I98" s="9"/>
      <x:c r="J98" s="43"/>
      <x:c r="K98" s="9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9"/>
      <x:c r="B99" s="9"/>
      <x:c r="C99" s="43"/>
      <x:c r="D99" s="43"/>
      <x:c r="E99" s="43"/>
      <x:c r="F99" s="45"/>
      <x:c r="G99" s="45"/>
      <x:c r="H99" s="9"/>
      <x:c r="I99" s="9"/>
      <x:c r="J99" s="43"/>
      <x:c r="K99" s="9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9"/>
      <x:c r="B100" s="9"/>
      <x:c r="C100" s="43"/>
      <x:c r="D100" s="43"/>
      <x:c r="E100" s="43"/>
      <x:c r="F100" s="45"/>
      <x:c r="G100" s="45"/>
      <x:c r="H100" s="9"/>
      <x:c r="I100" s="9"/>
      <x:c r="J100" s="43"/>
      <x:c r="K100" s="9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9"/>
      <x:c r="B101" s="9"/>
      <x:c r="C101" s="43"/>
      <x:c r="D101" s="43"/>
      <x:c r="E101" s="43"/>
      <x:c r="F101" s="45"/>
      <x:c r="G101" s="45"/>
      <x:c r="H101" s="9"/>
      <x:c r="I101" s="9"/>
      <x:c r="J101" s="43"/>
      <x:c r="K101" s="9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9"/>
      <x:c r="B102" s="9"/>
      <x:c r="C102" s="43"/>
      <x:c r="D102" s="43"/>
      <x:c r="E102" s="43"/>
      <x:c r="F102" s="45"/>
      <x:c r="G102" s="45"/>
      <x:c r="H102" s="9"/>
      <x:c r="I102" s="9"/>
      <x:c r="J102" s="43"/>
      <x:c r="K102" s="9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9"/>
      <x:c r="B103" s="9"/>
      <x:c r="C103" s="43"/>
      <x:c r="D103" s="43"/>
      <x:c r="E103" s="43"/>
      <x:c r="F103" s="45"/>
      <x:c r="G103" s="45"/>
      <x:c r="H103" s="9"/>
      <x:c r="I103" s="9"/>
      <x:c r="J103" s="43"/>
      <x:c r="K103" s="9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9"/>
      <x:c r="B104" s="9"/>
      <x:c r="C104" s="43"/>
      <x:c r="D104" s="43"/>
      <x:c r="E104" s="43"/>
      <x:c r="F104" s="45"/>
      <x:c r="G104" s="45"/>
      <x:c r="H104" s="9"/>
      <x:c r="I104" s="9"/>
      <x:c r="J104" s="43"/>
      <x:c r="K104" s="9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9"/>
      <x:c r="B105" s="9"/>
      <x:c r="C105" s="43"/>
      <x:c r="D105" s="43"/>
      <x:c r="E105" s="43"/>
      <x:c r="F105" s="45"/>
      <x:c r="G105" s="45"/>
      <x:c r="H105" s="9"/>
      <x:c r="I105" s="9"/>
      <x:c r="J105" s="43"/>
      <x:c r="K105" s="9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9"/>
      <x:c r="B106" s="9"/>
      <x:c r="C106" s="43"/>
      <x:c r="D106" s="43"/>
      <x:c r="E106" s="43"/>
      <x:c r="F106" s="45"/>
      <x:c r="G106" s="45"/>
      <x:c r="H106" s="9"/>
      <x:c r="I106" s="9"/>
      <x:c r="J106" s="43"/>
      <x:c r="K106" s="9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9"/>
      <x:c r="B107" s="9"/>
      <x:c r="C107" s="43"/>
      <x:c r="D107" s="43"/>
      <x:c r="E107" s="43"/>
      <x:c r="F107" s="45"/>
      <x:c r="G107" s="45"/>
      <x:c r="H107" s="9"/>
      <x:c r="I107" s="9"/>
      <x:c r="J107" s="43"/>
      <x:c r="K107" s="9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9"/>
      <x:c r="B108" s="9"/>
      <x:c r="C108" s="43"/>
      <x:c r="D108" s="43"/>
      <x:c r="E108" s="43"/>
      <x:c r="F108" s="45"/>
      <x:c r="G108" s="45"/>
      <x:c r="H108" s="9"/>
      <x:c r="I108" s="9"/>
      <x:c r="J108" s="43"/>
      <x:c r="K108" s="9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9"/>
      <x:c r="B109" s="9"/>
      <x:c r="C109" s="43"/>
      <x:c r="D109" s="43"/>
      <x:c r="E109" s="43"/>
      <x:c r="F109" s="45"/>
      <x:c r="G109" s="45"/>
      <x:c r="H109" s="9"/>
      <x:c r="I109" s="9"/>
      <x:c r="J109" s="43"/>
      <x:c r="K109" s="9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9"/>
      <x:c r="B110" s="9"/>
      <x:c r="C110" s="43"/>
      <x:c r="D110" s="43"/>
      <x:c r="E110" s="43"/>
      <x:c r="F110" s="45"/>
      <x:c r="G110" s="45"/>
      <x:c r="H110" s="9"/>
      <x:c r="I110" s="9"/>
      <x:c r="J110" s="43"/>
      <x:c r="K110" s="9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9"/>
      <x:c r="B111" s="9"/>
      <x:c r="C111" s="43"/>
      <x:c r="D111" s="43"/>
      <x:c r="E111" s="43"/>
      <x:c r="F111" s="45"/>
      <x:c r="G111" s="45"/>
      <x:c r="H111" s="9"/>
      <x:c r="I111" s="9"/>
      <x:c r="J111" s="43"/>
      <x:c r="K111" s="9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9"/>
      <x:c r="B112" s="9"/>
      <x:c r="C112" s="43"/>
      <x:c r="D112" s="43"/>
      <x:c r="E112" s="43"/>
      <x:c r="F112" s="45"/>
      <x:c r="G112" s="45"/>
      <x:c r="H112" s="9"/>
      <x:c r="I112" s="9"/>
      <x:c r="J112" s="43"/>
      <x:c r="K112" s="9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9"/>
      <x:c r="B113" s="9"/>
      <x:c r="C113" s="43"/>
      <x:c r="D113" s="43"/>
      <x:c r="E113" s="43"/>
      <x:c r="F113" s="45"/>
      <x:c r="G113" s="45"/>
      <x:c r="H113" s="9"/>
      <x:c r="I113" s="9"/>
      <x:c r="J113" s="43"/>
      <x:c r="K113" s="9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9"/>
      <x:c r="B114" s="9"/>
      <x:c r="C114" s="43"/>
      <x:c r="D114" s="43"/>
      <x:c r="E114" s="43"/>
      <x:c r="F114" s="45"/>
      <x:c r="G114" s="45"/>
      <x:c r="H114" s="9"/>
      <x:c r="I114" s="9"/>
      <x:c r="J114" s="43"/>
      <x:c r="K114" s="9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9"/>
      <x:c r="B115" s="9"/>
      <x:c r="C115" s="43"/>
      <x:c r="D115" s="43"/>
      <x:c r="E115" s="43"/>
      <x:c r="F115" s="45"/>
      <x:c r="G115" s="45"/>
      <x:c r="H115" s="9"/>
      <x:c r="I115" s="9"/>
      <x:c r="J115" s="43"/>
      <x:c r="K115" s="9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9"/>
      <x:c r="B116" s="9"/>
      <x:c r="C116" s="43"/>
      <x:c r="D116" s="43"/>
      <x:c r="E116" s="43"/>
      <x:c r="F116" s="45"/>
      <x:c r="G116" s="45"/>
      <x:c r="H116" s="9"/>
      <x:c r="I116" s="9"/>
      <x:c r="J116" s="43"/>
      <x:c r="K116" s="9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9"/>
      <x:c r="B117" s="9"/>
      <x:c r="C117" s="43"/>
      <x:c r="D117" s="43"/>
      <x:c r="E117" s="43"/>
      <x:c r="F117" s="45"/>
      <x:c r="G117" s="45"/>
      <x:c r="H117" s="9"/>
      <x:c r="I117" s="9"/>
      <x:c r="J117" s="43"/>
      <x:c r="K117" s="9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9"/>
      <x:c r="B118" s="9"/>
      <x:c r="C118" s="43"/>
      <x:c r="D118" s="43"/>
      <x:c r="E118" s="43"/>
      <x:c r="F118" s="45"/>
      <x:c r="G118" s="45"/>
      <x:c r="H118" s="9"/>
      <x:c r="I118" s="9"/>
      <x:c r="J118" s="43"/>
      <x:c r="K118" s="9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9"/>
      <x:c r="B119" s="9"/>
      <x:c r="C119" s="43"/>
      <x:c r="D119" s="43"/>
      <x:c r="E119" s="43"/>
      <x:c r="F119" s="45"/>
      <x:c r="G119" s="45"/>
      <x:c r="H119" s="9"/>
      <x:c r="I119" s="9"/>
      <x:c r="J119" s="43"/>
      <x:c r="K119" s="9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9"/>
      <x:c r="B120" s="9"/>
      <x:c r="C120" s="43"/>
      <x:c r="D120" s="43"/>
      <x:c r="E120" s="43"/>
      <x:c r="F120" s="45"/>
      <x:c r="G120" s="45"/>
      <x:c r="H120" s="9"/>
      <x:c r="I120" s="9"/>
      <x:c r="J120" s="43"/>
      <x:c r="K120" s="9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9"/>
      <x:c r="B121" s="9"/>
      <x:c r="C121" s="43"/>
      <x:c r="D121" s="43"/>
      <x:c r="E121" s="43"/>
      <x:c r="F121" s="45"/>
      <x:c r="G121" s="45"/>
      <x:c r="H121" s="9"/>
      <x:c r="I121" s="9"/>
      <x:c r="J121" s="43"/>
      <x:c r="K121" s="9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9"/>
      <x:c r="B122" s="9"/>
      <x:c r="C122" s="43"/>
      <x:c r="D122" s="43"/>
      <x:c r="E122" s="43"/>
      <x:c r="F122" s="45"/>
      <x:c r="G122" s="45"/>
      <x:c r="H122" s="9"/>
      <x:c r="I122" s="9"/>
      <x:c r="J122" s="43"/>
      <x:c r="K122" s="9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9"/>
      <x:c r="B123" s="9"/>
      <x:c r="C123" s="43"/>
      <x:c r="D123" s="43"/>
      <x:c r="E123" s="43"/>
      <x:c r="F123" s="45"/>
      <x:c r="G123" s="45"/>
      <x:c r="H123" s="9"/>
      <x:c r="I123" s="9"/>
      <x:c r="J123" s="43"/>
      <x:c r="K123" s="9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9"/>
      <x:c r="B124" s="9"/>
      <x:c r="C124" s="43"/>
      <x:c r="D124" s="43"/>
      <x:c r="E124" s="43"/>
      <x:c r="F124" s="45"/>
      <x:c r="G124" s="45"/>
      <x:c r="H124" s="9"/>
      <x:c r="I124" s="9"/>
      <x:c r="J124" s="43"/>
      <x:c r="K124" s="9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9"/>
      <x:c r="B125" s="9"/>
      <x:c r="C125" s="43"/>
      <x:c r="D125" s="43"/>
      <x:c r="E125" s="43"/>
      <x:c r="F125" s="45"/>
      <x:c r="G125" s="45"/>
      <x:c r="H125" s="9"/>
      <x:c r="I125" s="9"/>
      <x:c r="J125" s="43"/>
      <x:c r="K125" s="9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9"/>
      <x:c r="B126" s="9"/>
      <x:c r="C126" s="43"/>
      <x:c r="D126" s="43"/>
      <x:c r="E126" s="43"/>
      <x:c r="F126" s="45"/>
      <x:c r="G126" s="45"/>
      <x:c r="H126" s="9"/>
      <x:c r="I126" s="9"/>
      <x:c r="J126" s="43"/>
      <x:c r="K126" s="9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9"/>
      <x:c r="B127" s="9"/>
      <x:c r="C127" s="43"/>
      <x:c r="D127" s="43"/>
      <x:c r="E127" s="43"/>
      <x:c r="F127" s="45"/>
      <x:c r="G127" s="45"/>
      <x:c r="H127" s="9"/>
      <x:c r="I127" s="9"/>
      <x:c r="J127" s="43"/>
      <x:c r="K127" s="9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9"/>
      <x:c r="B128" s="9"/>
      <x:c r="C128" s="43"/>
      <x:c r="D128" s="43"/>
      <x:c r="E128" s="43"/>
      <x:c r="F128" s="45"/>
      <x:c r="G128" s="45"/>
      <x:c r="H128" s="9"/>
      <x:c r="I128" s="9"/>
      <x:c r="J128" s="43"/>
      <x:c r="K128" s="9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9"/>
      <x:c r="B129" s="9"/>
      <x:c r="C129" s="43"/>
      <x:c r="D129" s="43"/>
      <x:c r="E129" s="43"/>
      <x:c r="F129" s="45"/>
      <x:c r="G129" s="45"/>
      <x:c r="H129" s="9"/>
      <x:c r="I129" s="9"/>
      <x:c r="J129" s="43"/>
      <x:c r="K129" s="9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9"/>
      <x:c r="B130" s="9"/>
      <x:c r="C130" s="43"/>
      <x:c r="D130" s="43"/>
      <x:c r="E130" s="43"/>
      <x:c r="F130" s="45"/>
      <x:c r="G130" s="45"/>
      <x:c r="H130" s="9"/>
      <x:c r="I130" s="9"/>
      <x:c r="J130" s="43"/>
      <x:c r="K130" s="9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9"/>
      <x:c r="B131" s="9"/>
      <x:c r="C131" s="43"/>
      <x:c r="D131" s="43"/>
      <x:c r="E131" s="43"/>
      <x:c r="F131" s="45"/>
      <x:c r="G131" s="45"/>
      <x:c r="H131" s="9"/>
      <x:c r="I131" s="9"/>
      <x:c r="J131" s="43"/>
      <x:c r="K131" s="9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9"/>
      <x:c r="B132" s="9"/>
      <x:c r="C132" s="43"/>
      <x:c r="D132" s="43"/>
      <x:c r="E132" s="43"/>
      <x:c r="F132" s="45"/>
      <x:c r="G132" s="45"/>
      <x:c r="H132" s="9"/>
      <x:c r="I132" s="9"/>
      <x:c r="J132" s="43"/>
      <x:c r="K132" s="9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9"/>
      <x:c r="B133" s="9"/>
      <x:c r="C133" s="43"/>
      <x:c r="D133" s="43"/>
      <x:c r="E133" s="43"/>
      <x:c r="F133" s="45"/>
      <x:c r="G133" s="45"/>
      <x:c r="H133" s="9"/>
      <x:c r="I133" s="9"/>
      <x:c r="J133" s="43"/>
      <x:c r="K133" s="9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9"/>
      <x:c r="B134" s="9"/>
      <x:c r="C134" s="43"/>
      <x:c r="D134" s="43"/>
      <x:c r="E134" s="43"/>
      <x:c r="F134" s="45"/>
      <x:c r="G134" s="45"/>
      <x:c r="H134" s="9"/>
      <x:c r="I134" s="9"/>
      <x:c r="J134" s="43"/>
      <x:c r="K134" s="9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9"/>
      <x:c r="B135" s="9"/>
      <x:c r="C135" s="43"/>
      <x:c r="D135" s="43"/>
      <x:c r="E135" s="43"/>
      <x:c r="F135" s="45"/>
      <x:c r="G135" s="45"/>
      <x:c r="H135" s="9"/>
      <x:c r="I135" s="9"/>
      <x:c r="J135" s="43"/>
      <x:c r="K135" s="9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9"/>
      <x:c r="B136" s="9"/>
      <x:c r="C136" s="43"/>
      <x:c r="D136" s="43"/>
      <x:c r="E136" s="43"/>
      <x:c r="F136" s="45"/>
      <x:c r="G136" s="45"/>
      <x:c r="H136" s="9"/>
      <x:c r="I136" s="9"/>
      <x:c r="J136" s="43"/>
      <x:c r="K136" s="9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9"/>
      <x:c r="B137" s="9"/>
      <x:c r="C137" s="43"/>
      <x:c r="D137" s="43"/>
      <x:c r="E137" s="43"/>
      <x:c r="F137" s="45"/>
      <x:c r="G137" s="45"/>
      <x:c r="H137" s="9"/>
      <x:c r="I137" s="9"/>
      <x:c r="J137" s="43"/>
      <x:c r="K137" s="9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9"/>
      <x:c r="B138" s="9"/>
      <x:c r="C138" s="43"/>
      <x:c r="D138" s="43"/>
      <x:c r="E138" s="43"/>
      <x:c r="F138" s="45"/>
      <x:c r="G138" s="45"/>
      <x:c r="H138" s="9"/>
      <x:c r="I138" s="9"/>
      <x:c r="J138" s="43"/>
      <x:c r="K138" s="9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9"/>
      <x:c r="B139" s="9"/>
      <x:c r="C139" s="43"/>
      <x:c r="D139" s="43"/>
      <x:c r="E139" s="43"/>
      <x:c r="F139" s="45"/>
      <x:c r="G139" s="45"/>
      <x:c r="H139" s="9"/>
      <x:c r="I139" s="9"/>
      <x:c r="J139" s="43"/>
      <x:c r="K139" s="9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9"/>
      <x:c r="B140" s="9"/>
      <x:c r="C140" s="43"/>
      <x:c r="D140" s="43"/>
      <x:c r="E140" s="43"/>
      <x:c r="F140" s="45"/>
      <x:c r="G140" s="45"/>
      <x:c r="H140" s="9"/>
      <x:c r="I140" s="9"/>
      <x:c r="J140" s="43"/>
      <x:c r="K140" s="9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9"/>
      <x:c r="B141" s="9"/>
      <x:c r="C141" s="43"/>
      <x:c r="D141" s="43"/>
      <x:c r="E141" s="43"/>
      <x:c r="F141" s="45"/>
      <x:c r="G141" s="45"/>
      <x:c r="H141" s="9"/>
      <x:c r="I141" s="9"/>
      <x:c r="J141" s="43"/>
      <x:c r="K141" s="9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9"/>
      <x:c r="B142" s="9"/>
      <x:c r="C142" s="43"/>
      <x:c r="D142" s="43"/>
      <x:c r="E142" s="43"/>
      <x:c r="F142" s="45"/>
      <x:c r="G142" s="45"/>
      <x:c r="H142" s="9"/>
      <x:c r="I142" s="9"/>
      <x:c r="J142" s="43"/>
      <x:c r="K142" s="9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9"/>
      <x:c r="B143" s="9"/>
      <x:c r="C143" s="43"/>
      <x:c r="D143" s="43"/>
      <x:c r="E143" s="43"/>
      <x:c r="F143" s="45"/>
      <x:c r="G143" s="45"/>
      <x:c r="H143" s="9"/>
      <x:c r="I143" s="9"/>
      <x:c r="J143" s="43"/>
      <x:c r="K143" s="9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9"/>
      <x:c r="B144" s="9"/>
      <x:c r="C144" s="43"/>
      <x:c r="D144" s="43"/>
      <x:c r="E144" s="43"/>
      <x:c r="F144" s="45"/>
      <x:c r="G144" s="45"/>
      <x:c r="H144" s="9"/>
      <x:c r="I144" s="9"/>
      <x:c r="J144" s="43"/>
      <x:c r="K144" s="9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9"/>
      <x:c r="B145" s="9"/>
      <x:c r="C145" s="43"/>
      <x:c r="D145" s="43"/>
      <x:c r="E145" s="43"/>
      <x:c r="F145" s="45"/>
      <x:c r="G145" s="45"/>
      <x:c r="H145" s="9"/>
      <x:c r="I145" s="9"/>
      <x:c r="J145" s="43"/>
      <x:c r="K145" s="9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9"/>
      <x:c r="B146" s="9"/>
      <x:c r="C146" s="43"/>
      <x:c r="D146" s="43"/>
      <x:c r="E146" s="43"/>
      <x:c r="F146" s="45"/>
      <x:c r="G146" s="45"/>
      <x:c r="H146" s="9"/>
      <x:c r="I146" s="9"/>
      <x:c r="J146" s="43"/>
      <x:c r="K146" s="9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9"/>
      <x:c r="B147" s="9"/>
      <x:c r="C147" s="43"/>
      <x:c r="D147" s="43"/>
      <x:c r="E147" s="43"/>
      <x:c r="F147" s="45"/>
      <x:c r="G147" s="45"/>
      <x:c r="H147" s="9"/>
      <x:c r="I147" s="9"/>
      <x:c r="J147" s="43"/>
      <x:c r="K147" s="9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9"/>
      <x:c r="B148" s="9"/>
      <x:c r="C148" s="43"/>
      <x:c r="D148" s="43"/>
      <x:c r="E148" s="43"/>
      <x:c r="F148" s="45"/>
      <x:c r="G148" s="45"/>
      <x:c r="H148" s="9"/>
      <x:c r="I148" s="9"/>
      <x:c r="J148" s="43"/>
      <x:c r="K148" s="9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9"/>
      <x:c r="B149" s="9"/>
      <x:c r="C149" s="43"/>
      <x:c r="D149" s="43"/>
      <x:c r="E149" s="43"/>
      <x:c r="F149" s="45"/>
      <x:c r="G149" s="45"/>
      <x:c r="H149" s="9"/>
      <x:c r="I149" s="9"/>
      <x:c r="J149" s="43"/>
      <x:c r="K149" s="9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9"/>
      <x:c r="B150" s="9"/>
      <x:c r="C150" s="43"/>
      <x:c r="D150" s="43"/>
      <x:c r="E150" s="43"/>
      <x:c r="F150" s="45"/>
      <x:c r="G150" s="45"/>
      <x:c r="H150" s="9"/>
      <x:c r="I150" s="9"/>
      <x:c r="J150" s="43"/>
      <x:c r="K150" s="9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9"/>
      <x:c r="B151" s="9"/>
      <x:c r="C151" s="43"/>
      <x:c r="D151" s="43"/>
      <x:c r="E151" s="43"/>
      <x:c r="F151" s="45"/>
      <x:c r="G151" s="45"/>
      <x:c r="H151" s="9"/>
      <x:c r="I151" s="9"/>
      <x:c r="J151" s="43"/>
      <x:c r="K151" s="9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9"/>
      <x:c r="B152" s="9"/>
      <x:c r="C152" s="43"/>
      <x:c r="D152" s="43"/>
      <x:c r="E152" s="43"/>
      <x:c r="F152" s="45"/>
      <x:c r="G152" s="45"/>
      <x:c r="H152" s="9"/>
      <x:c r="I152" s="9"/>
      <x:c r="J152" s="43"/>
      <x:c r="K152" s="9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9"/>
      <x:c r="B153" s="9"/>
      <x:c r="C153" s="43"/>
      <x:c r="D153" s="43"/>
      <x:c r="E153" s="43"/>
      <x:c r="F153" s="45"/>
      <x:c r="G153" s="45"/>
      <x:c r="H153" s="9"/>
      <x:c r="I153" s="9"/>
      <x:c r="J153" s="43"/>
      <x:c r="K153" s="9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9"/>
      <x:c r="B154" s="9"/>
      <x:c r="C154" s="43"/>
      <x:c r="D154" s="43"/>
      <x:c r="E154" s="43"/>
      <x:c r="F154" s="45"/>
      <x:c r="G154" s="45"/>
      <x:c r="H154" s="9"/>
      <x:c r="I154" s="9"/>
      <x:c r="J154" s="43"/>
      <x:c r="K154" s="9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9"/>
      <x:c r="B155" s="9"/>
      <x:c r="C155" s="43"/>
      <x:c r="D155" s="43"/>
      <x:c r="E155" s="43"/>
      <x:c r="F155" s="45"/>
      <x:c r="G155" s="45"/>
      <x:c r="H155" s="9"/>
      <x:c r="I155" s="9"/>
      <x:c r="J155" s="43"/>
      <x:c r="K155" s="9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9"/>
      <x:c r="B156" s="9"/>
      <x:c r="C156" s="43"/>
      <x:c r="D156" s="43"/>
      <x:c r="E156" s="43"/>
      <x:c r="F156" s="45"/>
      <x:c r="G156" s="45"/>
      <x:c r="H156" s="9"/>
      <x:c r="I156" s="9"/>
      <x:c r="J156" s="43"/>
      <x:c r="K156" s="9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9"/>
      <x:c r="B157" s="9"/>
      <x:c r="C157" s="43"/>
      <x:c r="D157" s="43"/>
      <x:c r="E157" s="43"/>
      <x:c r="F157" s="45"/>
      <x:c r="G157" s="45"/>
      <x:c r="H157" s="9"/>
      <x:c r="I157" s="9"/>
      <x:c r="J157" s="43"/>
      <x:c r="K157" s="9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9"/>
      <x:c r="B158" s="9"/>
      <x:c r="C158" s="43"/>
      <x:c r="D158" s="43"/>
      <x:c r="E158" s="43"/>
      <x:c r="F158" s="45"/>
      <x:c r="G158" s="45"/>
      <x:c r="H158" s="9"/>
      <x:c r="I158" s="9"/>
      <x:c r="J158" s="43"/>
      <x:c r="K158" s="9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9"/>
      <x:c r="B159" s="9"/>
      <x:c r="C159" s="43"/>
      <x:c r="D159" s="43"/>
      <x:c r="E159" s="43"/>
      <x:c r="F159" s="45"/>
      <x:c r="G159" s="45"/>
      <x:c r="H159" s="9"/>
      <x:c r="I159" s="9"/>
      <x:c r="J159" s="43"/>
      <x:c r="K159" s="9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9"/>
      <x:c r="B160" s="9"/>
      <x:c r="C160" s="43"/>
      <x:c r="D160" s="43"/>
      <x:c r="E160" s="43"/>
      <x:c r="F160" s="45"/>
      <x:c r="G160" s="45"/>
      <x:c r="H160" s="9"/>
      <x:c r="I160" s="9"/>
      <x:c r="J160" s="43"/>
      <x:c r="K160" s="9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9"/>
      <x:c r="B161" s="9"/>
      <x:c r="C161" s="43"/>
      <x:c r="D161" s="43"/>
      <x:c r="E161" s="43"/>
      <x:c r="F161" s="45"/>
      <x:c r="G161" s="45"/>
      <x:c r="H161" s="9"/>
      <x:c r="I161" s="9"/>
      <x:c r="J161" s="43"/>
      <x:c r="K161" s="9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9"/>
      <x:c r="B162" s="9"/>
      <x:c r="C162" s="43"/>
      <x:c r="D162" s="43"/>
      <x:c r="E162" s="43"/>
      <x:c r="F162" s="45"/>
      <x:c r="G162" s="45"/>
      <x:c r="H162" s="9"/>
      <x:c r="I162" s="9"/>
      <x:c r="J162" s="43"/>
      <x:c r="K162" s="9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9"/>
      <x:c r="B163" s="9"/>
      <x:c r="C163" s="43"/>
      <x:c r="D163" s="43"/>
      <x:c r="E163" s="43"/>
      <x:c r="F163" s="45"/>
      <x:c r="G163" s="45"/>
      <x:c r="H163" s="9"/>
      <x:c r="I163" s="9"/>
      <x:c r="J163" s="43"/>
      <x:c r="K163" s="9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9"/>
      <x:c r="B164" s="9"/>
      <x:c r="C164" s="43"/>
      <x:c r="D164" s="43"/>
      <x:c r="E164" s="43"/>
      <x:c r="F164" s="45"/>
      <x:c r="G164" s="45"/>
      <x:c r="H164" s="9"/>
      <x:c r="I164" s="9"/>
      <x:c r="J164" s="43"/>
      <x:c r="K164" s="9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9"/>
      <x:c r="B165" s="9"/>
      <x:c r="C165" s="43"/>
      <x:c r="D165" s="43"/>
      <x:c r="E165" s="43"/>
      <x:c r="F165" s="45"/>
      <x:c r="G165" s="45"/>
      <x:c r="H165" s="9"/>
      <x:c r="I165" s="9"/>
      <x:c r="J165" s="43"/>
      <x:c r="K165" s="9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9"/>
      <x:c r="B166" s="9"/>
      <x:c r="C166" s="43"/>
      <x:c r="D166" s="43"/>
      <x:c r="E166" s="43"/>
      <x:c r="F166" s="45"/>
      <x:c r="G166" s="45"/>
      <x:c r="H166" s="9"/>
      <x:c r="I166" s="9"/>
      <x:c r="J166" s="43"/>
      <x:c r="K166" s="9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9"/>
      <x:c r="B167" s="9"/>
      <x:c r="C167" s="43"/>
      <x:c r="D167" s="43"/>
      <x:c r="E167" s="43"/>
      <x:c r="F167" s="45"/>
      <x:c r="G167" s="45"/>
      <x:c r="H167" s="9"/>
      <x:c r="I167" s="9"/>
      <x:c r="J167" s="43"/>
      <x:c r="K167" s="9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9"/>
      <x:c r="B168" s="9"/>
      <x:c r="C168" s="43"/>
      <x:c r="D168" s="43"/>
      <x:c r="E168" s="43"/>
      <x:c r="F168" s="45"/>
      <x:c r="G168" s="45"/>
      <x:c r="H168" s="9"/>
      <x:c r="I168" s="9"/>
      <x:c r="J168" s="43"/>
      <x:c r="K168" s="9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9"/>
      <x:c r="B169" s="9"/>
      <x:c r="C169" s="43"/>
      <x:c r="D169" s="43"/>
      <x:c r="E169" s="43"/>
      <x:c r="F169" s="45"/>
      <x:c r="G169" s="45"/>
      <x:c r="H169" s="9"/>
      <x:c r="I169" s="9"/>
      <x:c r="J169" s="43"/>
      <x:c r="K169" s="9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9"/>
      <x:c r="B170" s="9"/>
      <x:c r="C170" s="43"/>
      <x:c r="D170" s="43"/>
      <x:c r="E170" s="43"/>
      <x:c r="F170" s="45"/>
      <x:c r="G170" s="45"/>
      <x:c r="H170" s="9"/>
      <x:c r="I170" s="9"/>
      <x:c r="J170" s="43"/>
      <x:c r="K170" s="9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9"/>
      <x:c r="B171" s="9"/>
      <x:c r="C171" s="43"/>
      <x:c r="D171" s="43"/>
      <x:c r="E171" s="43"/>
      <x:c r="F171" s="45"/>
      <x:c r="G171" s="45"/>
      <x:c r="H171" s="9"/>
      <x:c r="I171" s="9"/>
      <x:c r="J171" s="43"/>
      <x:c r="K171" s="9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9"/>
      <x:c r="B172" s="9"/>
      <x:c r="C172" s="43"/>
      <x:c r="D172" s="43"/>
      <x:c r="E172" s="43"/>
      <x:c r="F172" s="45"/>
      <x:c r="G172" s="45"/>
      <x:c r="H172" s="9"/>
      <x:c r="I172" s="9"/>
      <x:c r="J172" s="43"/>
      <x:c r="K172" s="9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9"/>
      <x:c r="B173" s="9"/>
      <x:c r="C173" s="43"/>
      <x:c r="D173" s="43"/>
      <x:c r="E173" s="43"/>
      <x:c r="F173" s="45"/>
      <x:c r="G173" s="45"/>
      <x:c r="H173" s="9"/>
      <x:c r="I173" s="9"/>
      <x:c r="J173" s="43"/>
      <x:c r="K173" s="9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9"/>
      <x:c r="B174" s="9"/>
      <x:c r="C174" s="43"/>
      <x:c r="D174" s="43"/>
      <x:c r="E174" s="43"/>
      <x:c r="F174" s="45"/>
      <x:c r="G174" s="45"/>
      <x:c r="H174" s="9"/>
      <x:c r="I174" s="9"/>
      <x:c r="J174" s="43"/>
      <x:c r="K174" s="9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9"/>
      <x:c r="B175" s="9"/>
      <x:c r="C175" s="43"/>
      <x:c r="D175" s="43"/>
      <x:c r="E175" s="43"/>
      <x:c r="F175" s="45"/>
      <x:c r="G175" s="45"/>
      <x:c r="H175" s="9"/>
      <x:c r="I175" s="9"/>
      <x:c r="J175" s="43"/>
      <x:c r="K175" s="9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9"/>
      <x:c r="B176" s="9"/>
      <x:c r="C176" s="43"/>
      <x:c r="D176" s="43"/>
      <x:c r="E176" s="43"/>
      <x:c r="F176" s="45"/>
      <x:c r="G176" s="45"/>
      <x:c r="H176" s="9"/>
      <x:c r="I176" s="9"/>
      <x:c r="J176" s="43"/>
      <x:c r="K176" s="9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9"/>
      <x:c r="B177" s="9"/>
      <x:c r="C177" s="43"/>
      <x:c r="D177" s="43"/>
      <x:c r="E177" s="43"/>
      <x:c r="F177" s="45"/>
      <x:c r="G177" s="45"/>
      <x:c r="H177" s="9"/>
      <x:c r="I177" s="9"/>
      <x:c r="J177" s="43"/>
      <x:c r="K177" s="9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9"/>
      <x:c r="B178" s="9"/>
      <x:c r="C178" s="43"/>
      <x:c r="D178" s="43"/>
      <x:c r="E178" s="43"/>
      <x:c r="F178" s="45"/>
      <x:c r="G178" s="45"/>
      <x:c r="H178" s="9"/>
      <x:c r="I178" s="9"/>
      <x:c r="J178" s="43"/>
      <x:c r="K178" s="9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9"/>
      <x:c r="B179" s="9"/>
      <x:c r="C179" s="43"/>
      <x:c r="D179" s="43"/>
      <x:c r="E179" s="43"/>
      <x:c r="F179" s="45"/>
      <x:c r="G179" s="45"/>
      <x:c r="H179" s="9"/>
      <x:c r="I179" s="9"/>
      <x:c r="J179" s="43"/>
      <x:c r="K179" s="9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9"/>
      <x:c r="B180" s="9"/>
      <x:c r="C180" s="43"/>
      <x:c r="D180" s="43"/>
      <x:c r="E180" s="43"/>
      <x:c r="F180" s="45"/>
      <x:c r="G180" s="45"/>
      <x:c r="H180" s="9"/>
      <x:c r="I180" s="9"/>
      <x:c r="J180" s="43"/>
      <x:c r="K180" s="9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9"/>
      <x:c r="B181" s="9"/>
      <x:c r="C181" s="43"/>
      <x:c r="D181" s="43"/>
      <x:c r="E181" s="43"/>
      <x:c r="F181" s="45"/>
      <x:c r="G181" s="45"/>
      <x:c r="H181" s="9"/>
      <x:c r="I181" s="9"/>
      <x:c r="J181" s="43"/>
      <x:c r="K181" s="9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9"/>
      <x:c r="B182" s="9"/>
      <x:c r="C182" s="43"/>
      <x:c r="D182" s="43"/>
      <x:c r="E182" s="43"/>
      <x:c r="F182" s="45"/>
      <x:c r="G182" s="45"/>
      <x:c r="H182" s="9"/>
      <x:c r="I182" s="9"/>
      <x:c r="J182" s="43"/>
      <x:c r="K182" s="9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9"/>
      <x:c r="B183" s="9"/>
      <x:c r="C183" s="43"/>
      <x:c r="D183" s="43"/>
      <x:c r="E183" s="43"/>
      <x:c r="F183" s="45"/>
      <x:c r="G183" s="45"/>
      <x:c r="H183" s="9"/>
      <x:c r="I183" s="9"/>
      <x:c r="J183" s="43"/>
      <x:c r="K183" s="9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9"/>
      <x:c r="B184" s="9"/>
      <x:c r="C184" s="43"/>
      <x:c r="D184" s="43"/>
      <x:c r="E184" s="43"/>
      <x:c r="F184" s="45"/>
      <x:c r="G184" s="45"/>
      <x:c r="H184" s="9"/>
      <x:c r="I184" s="9"/>
      <x:c r="J184" s="43"/>
      <x:c r="K184" s="9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9"/>
      <x:c r="B185" s="9"/>
      <x:c r="C185" s="43"/>
      <x:c r="D185" s="43"/>
      <x:c r="E185" s="43"/>
      <x:c r="F185" s="45"/>
      <x:c r="G185" s="45"/>
      <x:c r="H185" s="9"/>
      <x:c r="I185" s="9"/>
      <x:c r="J185" s="43"/>
      <x:c r="K185" s="9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9"/>
      <x:c r="B186" s="9"/>
      <x:c r="C186" s="43"/>
      <x:c r="D186" s="43"/>
      <x:c r="E186" s="43"/>
      <x:c r="F186" s="45"/>
      <x:c r="G186" s="45"/>
      <x:c r="H186" s="9"/>
      <x:c r="I186" s="9"/>
      <x:c r="J186" s="43"/>
      <x:c r="K186" s="9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9"/>
      <x:c r="B187" s="9"/>
      <x:c r="C187" s="43"/>
      <x:c r="D187" s="43"/>
      <x:c r="E187" s="43"/>
      <x:c r="F187" s="45"/>
      <x:c r="G187" s="45"/>
      <x:c r="H187" s="9"/>
      <x:c r="I187" s="9"/>
      <x:c r="J187" s="43"/>
      <x:c r="K187" s="9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9"/>
      <x:c r="B188" s="9"/>
      <x:c r="C188" s="43"/>
      <x:c r="D188" s="43"/>
      <x:c r="E188" s="43"/>
      <x:c r="F188" s="45"/>
      <x:c r="G188" s="45"/>
      <x:c r="H188" s="9"/>
      <x:c r="I188" s="9"/>
      <x:c r="J188" s="43"/>
      <x:c r="K188" s="9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9"/>
      <x:c r="B189" s="9"/>
      <x:c r="C189" s="43"/>
      <x:c r="D189" s="43"/>
      <x:c r="E189" s="43"/>
      <x:c r="F189" s="45"/>
      <x:c r="G189" s="45"/>
      <x:c r="H189" s="9"/>
      <x:c r="I189" s="9"/>
      <x:c r="J189" s="43"/>
      <x:c r="K189" s="9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9"/>
      <x:c r="B190" s="9"/>
      <x:c r="C190" s="43"/>
      <x:c r="D190" s="43"/>
      <x:c r="E190" s="43"/>
      <x:c r="F190" s="45"/>
      <x:c r="G190" s="45"/>
      <x:c r="H190" s="9"/>
      <x:c r="I190" s="9"/>
      <x:c r="J190" s="43"/>
      <x:c r="K190" s="9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9"/>
      <x:c r="B191" s="9"/>
      <x:c r="C191" s="43"/>
      <x:c r="D191" s="43"/>
      <x:c r="E191" s="43"/>
      <x:c r="F191" s="45"/>
      <x:c r="G191" s="45"/>
      <x:c r="H191" s="9"/>
      <x:c r="I191" s="9"/>
      <x:c r="J191" s="43"/>
      <x:c r="K191" s="9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9"/>
      <x:c r="B192" s="9"/>
      <x:c r="C192" s="43"/>
      <x:c r="D192" s="43"/>
      <x:c r="E192" s="43"/>
      <x:c r="F192" s="45"/>
      <x:c r="G192" s="45"/>
      <x:c r="H192" s="9"/>
      <x:c r="I192" s="9"/>
      <x:c r="J192" s="43"/>
      <x:c r="K192" s="9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9"/>
      <x:c r="B193" s="9"/>
      <x:c r="C193" s="43"/>
      <x:c r="D193" s="43"/>
      <x:c r="E193" s="43"/>
      <x:c r="F193" s="45"/>
      <x:c r="G193" s="45"/>
      <x:c r="H193" s="9"/>
      <x:c r="I193" s="9"/>
      <x:c r="J193" s="43"/>
      <x:c r="K193" s="9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9"/>
      <x:c r="B194" s="9"/>
      <x:c r="C194" s="43"/>
      <x:c r="D194" s="43"/>
      <x:c r="E194" s="43"/>
      <x:c r="F194" s="45"/>
      <x:c r="G194" s="45"/>
      <x:c r="H194" s="9"/>
      <x:c r="I194" s="9"/>
      <x:c r="J194" s="43"/>
      <x:c r="K194" s="9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9"/>
      <x:c r="B195" s="9"/>
      <x:c r="C195" s="43"/>
      <x:c r="D195" s="43"/>
      <x:c r="E195" s="43"/>
      <x:c r="F195" s="45"/>
      <x:c r="G195" s="45"/>
      <x:c r="H195" s="9"/>
      <x:c r="I195" s="9"/>
      <x:c r="J195" s="43"/>
      <x:c r="K195" s="9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9"/>
      <x:c r="B196" s="9"/>
      <x:c r="C196" s="43"/>
      <x:c r="D196" s="43"/>
      <x:c r="E196" s="43"/>
      <x:c r="F196" s="45"/>
      <x:c r="G196" s="45"/>
      <x:c r="H196" s="9"/>
      <x:c r="I196" s="9"/>
      <x:c r="J196" s="43"/>
      <x:c r="K196" s="9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9"/>
      <x:c r="B197" s="9"/>
      <x:c r="C197" s="43"/>
      <x:c r="D197" s="43"/>
      <x:c r="E197" s="43"/>
      <x:c r="F197" s="45"/>
      <x:c r="G197" s="45"/>
      <x:c r="H197" s="9"/>
      <x:c r="I197" s="9"/>
      <x:c r="J197" s="43"/>
      <x:c r="K197" s="9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9"/>
      <x:c r="B198" s="9"/>
      <x:c r="C198" s="43"/>
      <x:c r="D198" s="43"/>
      <x:c r="E198" s="43"/>
      <x:c r="F198" s="45"/>
      <x:c r="G198" s="45"/>
      <x:c r="H198" s="9"/>
      <x:c r="I198" s="9"/>
      <x:c r="J198" s="43"/>
      <x:c r="K198" s="9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9"/>
      <x:c r="B199" s="9"/>
      <x:c r="C199" s="43"/>
      <x:c r="D199" s="43"/>
      <x:c r="E199" s="43"/>
      <x:c r="F199" s="45"/>
      <x:c r="G199" s="45"/>
      <x:c r="H199" s="9"/>
      <x:c r="I199" s="9"/>
      <x:c r="J199" s="43"/>
      <x:c r="K199" s="9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9"/>
      <x:c r="B200" s="9"/>
      <x:c r="C200" s="43"/>
      <x:c r="D200" s="43"/>
      <x:c r="E200" s="43"/>
      <x:c r="F200" s="45"/>
      <x:c r="G200" s="45"/>
      <x:c r="H200" s="9"/>
      <x:c r="I200" s="9"/>
      <x:c r="J200" s="43"/>
      <x:c r="K200" s="9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9"/>
      <x:c r="B201" s="9"/>
      <x:c r="C201" s="43"/>
      <x:c r="D201" s="43"/>
      <x:c r="E201" s="43"/>
      <x:c r="F201" s="45"/>
      <x:c r="G201" s="45"/>
      <x:c r="H201" s="9"/>
      <x:c r="I201" s="9"/>
      <x:c r="J201" s="43"/>
      <x:c r="K201" s="9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9"/>
      <x:c r="B202" s="9"/>
      <x:c r="C202" s="43"/>
      <x:c r="D202" s="43"/>
      <x:c r="E202" s="43"/>
      <x:c r="F202" s="45"/>
      <x:c r="G202" s="45"/>
      <x:c r="H202" s="9"/>
      <x:c r="I202" s="9"/>
      <x:c r="J202" s="43"/>
      <x:c r="K202" s="9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9"/>
      <x:c r="B203" s="9"/>
      <x:c r="C203" s="43"/>
      <x:c r="D203" s="43"/>
      <x:c r="E203" s="43"/>
      <x:c r="F203" s="45"/>
      <x:c r="G203" s="45"/>
      <x:c r="H203" s="9"/>
      <x:c r="I203" s="9"/>
      <x:c r="J203" s="43"/>
      <x:c r="K203" s="9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9"/>
      <x:c r="B204" s="9"/>
      <x:c r="C204" s="43"/>
      <x:c r="D204" s="43"/>
      <x:c r="E204" s="43"/>
      <x:c r="F204" s="45"/>
      <x:c r="G204" s="45"/>
      <x:c r="H204" s="9"/>
      <x:c r="I204" s="9"/>
      <x:c r="J204" s="43"/>
      <x:c r="K204" s="9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9"/>
      <x:c r="B205" s="9"/>
      <x:c r="C205" s="43"/>
      <x:c r="D205" s="43"/>
      <x:c r="E205" s="43"/>
      <x:c r="F205" s="45"/>
      <x:c r="G205" s="45"/>
      <x:c r="H205" s="9"/>
      <x:c r="I205" s="9"/>
      <x:c r="J205" s="43"/>
      <x:c r="K205" s="9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9"/>
      <x:c r="B206" s="9"/>
      <x:c r="C206" s="43"/>
      <x:c r="D206" s="43"/>
      <x:c r="E206" s="43"/>
      <x:c r="F206" s="45"/>
      <x:c r="G206" s="45"/>
      <x:c r="H206" s="9"/>
      <x:c r="I206" s="9"/>
      <x:c r="J206" s="43"/>
      <x:c r="K206" s="9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9"/>
      <x:c r="B207" s="9"/>
      <x:c r="C207" s="43"/>
      <x:c r="D207" s="43"/>
      <x:c r="E207" s="43"/>
      <x:c r="F207" s="45"/>
      <x:c r="G207" s="45"/>
      <x:c r="H207" s="9"/>
      <x:c r="I207" s="9"/>
      <x:c r="J207" s="43"/>
      <x:c r="K207" s="9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9"/>
      <x:c r="B208" s="9"/>
      <x:c r="C208" s="43"/>
      <x:c r="D208" s="43"/>
      <x:c r="E208" s="43"/>
      <x:c r="F208" s="45"/>
      <x:c r="G208" s="45"/>
      <x:c r="H208" s="9"/>
      <x:c r="I208" s="9"/>
      <x:c r="J208" s="43"/>
      <x:c r="K208" s="9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9"/>
      <x:c r="B209" s="9"/>
      <x:c r="C209" s="43"/>
      <x:c r="D209" s="43"/>
      <x:c r="E209" s="43"/>
      <x:c r="F209" s="45"/>
      <x:c r="G209" s="45"/>
      <x:c r="H209" s="9"/>
      <x:c r="I209" s="9"/>
      <x:c r="J209" s="43"/>
      <x:c r="K209" s="9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9"/>
      <x:c r="B210" s="9"/>
      <x:c r="C210" s="43"/>
      <x:c r="D210" s="43"/>
      <x:c r="E210" s="43"/>
      <x:c r="F210" s="45"/>
      <x:c r="G210" s="45"/>
      <x:c r="H210" s="9"/>
      <x:c r="I210" s="9"/>
      <x:c r="J210" s="43"/>
      <x:c r="K210" s="9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9"/>
      <x:c r="B211" s="9"/>
      <x:c r="C211" s="43"/>
      <x:c r="D211" s="43"/>
      <x:c r="E211" s="43"/>
      <x:c r="F211" s="45"/>
      <x:c r="G211" s="45"/>
      <x:c r="H211" s="9"/>
      <x:c r="I211" s="9"/>
      <x:c r="J211" s="43"/>
      <x:c r="K211" s="9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9"/>
      <x:c r="B212" s="9"/>
      <x:c r="C212" s="43"/>
      <x:c r="D212" s="43"/>
      <x:c r="E212" s="43"/>
      <x:c r="F212" s="45"/>
      <x:c r="G212" s="45"/>
      <x:c r="H212" s="9"/>
      <x:c r="I212" s="9"/>
      <x:c r="J212" s="43"/>
      <x:c r="K212" s="9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9"/>
      <x:c r="B213" s="9"/>
      <x:c r="C213" s="43"/>
      <x:c r="D213" s="43"/>
      <x:c r="E213" s="43"/>
      <x:c r="F213" s="45"/>
      <x:c r="G213" s="45"/>
      <x:c r="H213" s="9"/>
      <x:c r="I213" s="9"/>
      <x:c r="J213" s="43"/>
      <x:c r="K213" s="9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9"/>
      <x:c r="B214" s="9"/>
      <x:c r="C214" s="43"/>
      <x:c r="D214" s="43"/>
      <x:c r="E214" s="43"/>
      <x:c r="F214" s="45"/>
      <x:c r="G214" s="45"/>
      <x:c r="H214" s="9"/>
      <x:c r="I214" s="9"/>
      <x:c r="J214" s="43"/>
      <x:c r="K214" s="9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9"/>
      <x:c r="B215" s="9"/>
      <x:c r="C215" s="43"/>
      <x:c r="D215" s="43"/>
      <x:c r="E215" s="43"/>
      <x:c r="F215" s="45"/>
      <x:c r="G215" s="45"/>
      <x:c r="H215" s="9"/>
      <x:c r="I215" s="9"/>
      <x:c r="J215" s="43"/>
      <x:c r="K215" s="9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9"/>
      <x:c r="B216" s="9"/>
      <x:c r="C216" s="43"/>
      <x:c r="D216" s="43"/>
      <x:c r="E216" s="43"/>
      <x:c r="F216" s="45"/>
      <x:c r="G216" s="45"/>
      <x:c r="H216" s="9"/>
      <x:c r="I216" s="9"/>
      <x:c r="J216" s="43"/>
      <x:c r="K216" s="9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9"/>
      <x:c r="B217" s="9"/>
      <x:c r="C217" s="43"/>
      <x:c r="D217" s="43"/>
      <x:c r="E217" s="43"/>
      <x:c r="F217" s="45"/>
      <x:c r="G217" s="45"/>
      <x:c r="H217" s="9"/>
      <x:c r="I217" s="9"/>
      <x:c r="J217" s="43"/>
      <x:c r="K217" s="9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9"/>
      <x:c r="B218" s="9"/>
      <x:c r="C218" s="43"/>
      <x:c r="D218" s="43"/>
      <x:c r="E218" s="43"/>
      <x:c r="F218" s="45"/>
      <x:c r="G218" s="45"/>
      <x:c r="H218" s="9"/>
      <x:c r="I218" s="9"/>
      <x:c r="J218" s="43"/>
      <x:c r="K218" s="9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9"/>
      <x:c r="B219" s="9"/>
      <x:c r="C219" s="43"/>
      <x:c r="D219" s="43"/>
      <x:c r="E219" s="43"/>
      <x:c r="F219" s="45"/>
      <x:c r="G219" s="45"/>
      <x:c r="H219" s="9"/>
      <x:c r="I219" s="9"/>
      <x:c r="J219" s="43"/>
      <x:c r="K219" s="9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9"/>
      <x:c r="B220" s="9"/>
      <x:c r="C220" s="43"/>
      <x:c r="D220" s="43"/>
      <x:c r="E220" s="43"/>
      <x:c r="F220" s="45"/>
      <x:c r="G220" s="45"/>
      <x:c r="H220" s="9"/>
      <x:c r="I220" s="9"/>
      <x:c r="J220" s="43"/>
      <x:c r="K220" s="9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9"/>
      <x:c r="B221" s="9"/>
      <x:c r="C221" s="43"/>
      <x:c r="D221" s="43"/>
      <x:c r="E221" s="43"/>
      <x:c r="F221" s="45"/>
      <x:c r="G221" s="45"/>
      <x:c r="H221" s="9"/>
      <x:c r="I221" s="9"/>
      <x:c r="J221" s="43"/>
      <x:c r="K221" s="9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9"/>
      <x:c r="B222" s="9"/>
      <x:c r="C222" s="43"/>
      <x:c r="D222" s="43"/>
      <x:c r="E222" s="43"/>
      <x:c r="F222" s="45"/>
      <x:c r="G222" s="45"/>
      <x:c r="H222" s="9"/>
      <x:c r="I222" s="9"/>
      <x:c r="J222" s="43"/>
      <x:c r="K222" s="9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9"/>
      <x:c r="B223" s="9"/>
      <x:c r="C223" s="43"/>
      <x:c r="D223" s="43"/>
      <x:c r="E223" s="43"/>
      <x:c r="F223" s="45"/>
      <x:c r="G223" s="45"/>
      <x:c r="H223" s="9"/>
      <x:c r="I223" s="9"/>
      <x:c r="J223" s="43"/>
      <x:c r="K223" s="9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9"/>
      <x:c r="B224" s="9"/>
      <x:c r="C224" s="43"/>
      <x:c r="D224" s="43"/>
      <x:c r="E224" s="43"/>
      <x:c r="F224" s="45"/>
      <x:c r="G224" s="45"/>
      <x:c r="H224" s="9"/>
      <x:c r="I224" s="9"/>
      <x:c r="J224" s="43"/>
      <x:c r="K224" s="9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9"/>
      <x:c r="B225" s="9"/>
      <x:c r="C225" s="43"/>
      <x:c r="D225" s="43"/>
      <x:c r="E225" s="43"/>
      <x:c r="F225" s="45"/>
      <x:c r="G225" s="45"/>
      <x:c r="H225" s="9"/>
      <x:c r="I225" s="9"/>
      <x:c r="J225" s="43"/>
      <x:c r="K225" s="9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9"/>
      <x:c r="B226" s="9"/>
      <x:c r="C226" s="43"/>
      <x:c r="D226" s="43"/>
      <x:c r="E226" s="43"/>
      <x:c r="F226" s="45"/>
      <x:c r="G226" s="45"/>
      <x:c r="H226" s="9"/>
      <x:c r="I226" s="9"/>
      <x:c r="J226" s="43"/>
      <x:c r="K226" s="9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9"/>
      <x:c r="B227" s="9"/>
      <x:c r="C227" s="43"/>
      <x:c r="D227" s="43"/>
      <x:c r="E227" s="43"/>
      <x:c r="F227" s="45"/>
      <x:c r="G227" s="45"/>
      <x:c r="H227" s="9"/>
      <x:c r="I227" s="9"/>
      <x:c r="J227" s="43"/>
      <x:c r="K227" s="9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9"/>
      <x:c r="B228" s="9"/>
      <x:c r="C228" s="43"/>
      <x:c r="D228" s="43"/>
      <x:c r="E228" s="43"/>
      <x:c r="F228" s="45"/>
      <x:c r="G228" s="45"/>
      <x:c r="H228" s="9"/>
      <x:c r="I228" s="9"/>
      <x:c r="J228" s="43"/>
      <x:c r="K228" s="9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9"/>
      <x:c r="B229" s="9"/>
      <x:c r="C229" s="43"/>
      <x:c r="D229" s="43"/>
      <x:c r="E229" s="43"/>
      <x:c r="F229" s="45"/>
      <x:c r="G229" s="45"/>
      <x:c r="H229" s="9"/>
      <x:c r="I229" s="9"/>
      <x:c r="J229" s="43"/>
      <x:c r="K229" s="9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9"/>
      <x:c r="B230" s="9"/>
      <x:c r="C230" s="43"/>
      <x:c r="D230" s="43"/>
      <x:c r="E230" s="43"/>
      <x:c r="F230" s="45"/>
      <x:c r="G230" s="45"/>
      <x:c r="H230" s="9"/>
      <x:c r="I230" s="9"/>
      <x:c r="J230" s="43"/>
      <x:c r="K230" s="9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9"/>
      <x:c r="B231" s="9"/>
      <x:c r="C231" s="43"/>
      <x:c r="D231" s="43"/>
      <x:c r="E231" s="43"/>
      <x:c r="F231" s="45"/>
      <x:c r="G231" s="45"/>
      <x:c r="H231" s="9"/>
      <x:c r="I231" s="9"/>
      <x:c r="J231" s="43"/>
      <x:c r="K231" s="9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9"/>
      <x:c r="B232" s="9"/>
      <x:c r="C232" s="43"/>
      <x:c r="D232" s="43"/>
      <x:c r="E232" s="43"/>
      <x:c r="F232" s="45"/>
      <x:c r="G232" s="45"/>
      <x:c r="H232" s="9"/>
      <x:c r="I232" s="9"/>
      <x:c r="J232" s="43"/>
      <x:c r="K232" s="9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9"/>
      <x:c r="B233" s="9"/>
      <x:c r="C233" s="43"/>
      <x:c r="D233" s="43"/>
      <x:c r="E233" s="43"/>
      <x:c r="F233" s="45"/>
      <x:c r="G233" s="45"/>
      <x:c r="H233" s="9"/>
      <x:c r="I233" s="9"/>
      <x:c r="J233" s="43"/>
      <x:c r="K233" s="9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9"/>
      <x:c r="B234" s="9"/>
      <x:c r="C234" s="43"/>
      <x:c r="D234" s="43"/>
      <x:c r="E234" s="43"/>
      <x:c r="F234" s="45"/>
      <x:c r="G234" s="45"/>
      <x:c r="H234" s="9"/>
      <x:c r="I234" s="9"/>
      <x:c r="J234" s="43"/>
      <x:c r="K234" s="9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9"/>
      <x:c r="B235" s="9"/>
      <x:c r="C235" s="43"/>
      <x:c r="D235" s="43"/>
      <x:c r="E235" s="43"/>
      <x:c r="F235" s="45"/>
      <x:c r="G235" s="45"/>
      <x:c r="H235" s="9"/>
      <x:c r="I235" s="9"/>
      <x:c r="J235" s="43"/>
      <x:c r="K235" s="9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9"/>
      <x:c r="B236" s="9"/>
      <x:c r="C236" s="43"/>
      <x:c r="D236" s="43"/>
      <x:c r="E236" s="43"/>
      <x:c r="F236" s="45"/>
      <x:c r="G236" s="45"/>
      <x:c r="H236" s="9"/>
      <x:c r="I236" s="9"/>
      <x:c r="J236" s="43"/>
      <x:c r="K236" s="9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9"/>
      <x:c r="B237" s="9"/>
      <x:c r="C237" s="43"/>
      <x:c r="D237" s="43"/>
      <x:c r="E237" s="43"/>
      <x:c r="F237" s="45"/>
      <x:c r="G237" s="45"/>
      <x:c r="H237" s="9"/>
      <x:c r="I237" s="9"/>
      <x:c r="J237" s="43"/>
      <x:c r="K237" s="9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9"/>
      <x:c r="B238" s="9"/>
      <x:c r="C238" s="43"/>
      <x:c r="D238" s="43"/>
      <x:c r="E238" s="43"/>
      <x:c r="F238" s="45"/>
      <x:c r="G238" s="45"/>
      <x:c r="H238" s="9"/>
      <x:c r="I238" s="9"/>
      <x:c r="J238" s="43"/>
      <x:c r="K238" s="9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9"/>
      <x:c r="B239" s="9"/>
      <x:c r="C239" s="43"/>
      <x:c r="D239" s="43"/>
      <x:c r="E239" s="43"/>
      <x:c r="F239" s="45"/>
      <x:c r="G239" s="45"/>
      <x:c r="H239" s="9"/>
      <x:c r="I239" s="9"/>
      <x:c r="J239" s="43"/>
      <x:c r="K239" s="9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9"/>
      <x:c r="B240" s="9"/>
      <x:c r="C240" s="43"/>
      <x:c r="D240" s="43"/>
      <x:c r="E240" s="43"/>
      <x:c r="F240" s="45"/>
      <x:c r="G240" s="45"/>
      <x:c r="H240" s="9"/>
      <x:c r="I240" s="9"/>
      <x:c r="J240" s="43"/>
      <x:c r="K240" s="9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9"/>
      <x:c r="B241" s="9"/>
      <x:c r="C241" s="43"/>
      <x:c r="D241" s="43"/>
      <x:c r="E241" s="43"/>
      <x:c r="F241" s="45"/>
      <x:c r="G241" s="45"/>
      <x:c r="H241" s="9"/>
      <x:c r="I241" s="9"/>
      <x:c r="J241" s="43"/>
      <x:c r="K241" s="9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9"/>
      <x:c r="B242" s="9"/>
      <x:c r="C242" s="43"/>
      <x:c r="D242" s="43"/>
      <x:c r="E242" s="43"/>
      <x:c r="F242" s="45"/>
      <x:c r="G242" s="45"/>
      <x:c r="H242" s="9"/>
      <x:c r="I242" s="9"/>
      <x:c r="J242" s="43"/>
      <x:c r="K242" s="9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9"/>
      <x:c r="B243" s="9"/>
      <x:c r="C243" s="43"/>
      <x:c r="D243" s="43"/>
      <x:c r="E243" s="43"/>
      <x:c r="F243" s="45"/>
      <x:c r="G243" s="45"/>
      <x:c r="H243" s="9"/>
      <x:c r="I243" s="9"/>
      <x:c r="J243" s="43"/>
      <x:c r="K243" s="9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9"/>
      <x:c r="B244" s="9"/>
      <x:c r="C244" s="43"/>
      <x:c r="D244" s="43"/>
      <x:c r="E244" s="43"/>
      <x:c r="F244" s="45"/>
      <x:c r="G244" s="45"/>
      <x:c r="H244" s="9"/>
      <x:c r="I244" s="9"/>
      <x:c r="J244" s="43"/>
      <x:c r="K244" s="9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9"/>
      <x:c r="B245" s="9"/>
      <x:c r="C245" s="43"/>
      <x:c r="D245" s="43"/>
      <x:c r="E245" s="43"/>
      <x:c r="F245" s="45"/>
      <x:c r="G245" s="45"/>
      <x:c r="H245" s="9"/>
      <x:c r="I245" s="9"/>
      <x:c r="J245" s="43"/>
      <x:c r="K245" s="9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9"/>
      <x:c r="B246" s="9"/>
      <x:c r="C246" s="43"/>
      <x:c r="D246" s="43"/>
      <x:c r="E246" s="43"/>
      <x:c r="F246" s="45"/>
      <x:c r="G246" s="45"/>
      <x:c r="H246" s="9"/>
      <x:c r="I246" s="9"/>
      <x:c r="J246" s="43"/>
      <x:c r="K246" s="9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9"/>
      <x:c r="B247" s="9"/>
      <x:c r="C247" s="43"/>
      <x:c r="D247" s="43"/>
      <x:c r="E247" s="43"/>
      <x:c r="F247" s="45"/>
      <x:c r="G247" s="45"/>
      <x:c r="H247" s="9"/>
      <x:c r="I247" s="9"/>
      <x:c r="J247" s="43"/>
      <x:c r="K247" s="9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9"/>
      <x:c r="B248" s="9"/>
      <x:c r="C248" s="43"/>
      <x:c r="D248" s="43"/>
      <x:c r="E248" s="43"/>
      <x:c r="F248" s="45"/>
      <x:c r="G248" s="45"/>
      <x:c r="H248" s="9"/>
      <x:c r="I248" s="9"/>
      <x:c r="J248" s="43"/>
      <x:c r="K248" s="9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9"/>
      <x:c r="B249" s="9"/>
      <x:c r="C249" s="43"/>
      <x:c r="D249" s="43"/>
      <x:c r="E249" s="43"/>
      <x:c r="F249" s="45"/>
      <x:c r="G249" s="45"/>
      <x:c r="H249" s="9"/>
      <x:c r="I249" s="9"/>
      <x:c r="J249" s="43"/>
      <x:c r="K249" s="9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9"/>
      <x:c r="B250" s="9"/>
      <x:c r="C250" s="43"/>
      <x:c r="D250" s="43"/>
      <x:c r="E250" s="43"/>
      <x:c r="F250" s="45"/>
      <x:c r="G250" s="45"/>
      <x:c r="H250" s="9"/>
      <x:c r="I250" s="9"/>
      <x:c r="J250" s="43"/>
      <x:c r="K250" s="9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9"/>
      <x:c r="B251" s="9"/>
      <x:c r="C251" s="43"/>
      <x:c r="D251" s="43"/>
      <x:c r="E251" s="43"/>
      <x:c r="F251" s="45"/>
      <x:c r="G251" s="45"/>
      <x:c r="H251" s="9"/>
      <x:c r="I251" s="9"/>
      <x:c r="J251" s="43"/>
      <x:c r="K251" s="9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9"/>
      <x:c r="B252" s="9"/>
      <x:c r="C252" s="43"/>
      <x:c r="D252" s="43"/>
      <x:c r="E252" s="43"/>
      <x:c r="F252" s="45"/>
      <x:c r="G252" s="45"/>
      <x:c r="H252" s="9"/>
      <x:c r="I252" s="9"/>
      <x:c r="J252" s="43"/>
      <x:c r="K252" s="9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9"/>
      <x:c r="B253" s="9"/>
      <x:c r="C253" s="43"/>
      <x:c r="D253" s="43"/>
      <x:c r="E253" s="43"/>
      <x:c r="F253" s="45"/>
      <x:c r="G253" s="45"/>
      <x:c r="H253" s="9"/>
      <x:c r="I253" s="9"/>
      <x:c r="J253" s="43"/>
      <x:c r="K253" s="9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9"/>
      <x:c r="B254" s="9"/>
      <x:c r="C254" s="43"/>
      <x:c r="D254" s="43"/>
      <x:c r="E254" s="43"/>
      <x:c r="F254" s="45"/>
      <x:c r="G254" s="45"/>
      <x:c r="H254" s="9"/>
      <x:c r="I254" s="9"/>
      <x:c r="J254" s="43"/>
      <x:c r="K254" s="9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9"/>
      <x:c r="B255" s="9"/>
      <x:c r="C255" s="43"/>
      <x:c r="D255" s="43"/>
      <x:c r="E255" s="43"/>
      <x:c r="F255" s="45"/>
      <x:c r="G255" s="45"/>
      <x:c r="H255" s="9"/>
      <x:c r="I255" s="9"/>
      <x:c r="J255" s="43"/>
      <x:c r="K255" s="9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9"/>
      <x:c r="B256" s="9"/>
      <x:c r="C256" s="43"/>
      <x:c r="D256" s="43"/>
      <x:c r="E256" s="43"/>
      <x:c r="F256" s="45"/>
      <x:c r="G256" s="45"/>
      <x:c r="H256" s="9"/>
      <x:c r="I256" s="9"/>
      <x:c r="J256" s="43"/>
      <x:c r="K256" s="9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9"/>
      <x:c r="B257" s="9"/>
      <x:c r="C257" s="43"/>
      <x:c r="D257" s="43"/>
      <x:c r="E257" s="43"/>
      <x:c r="F257" s="45"/>
      <x:c r="G257" s="45"/>
      <x:c r="H257" s="9"/>
      <x:c r="I257" s="9"/>
      <x:c r="J257" s="43"/>
      <x:c r="K257" s="9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9"/>
      <x:c r="B258" s="9"/>
      <x:c r="C258" s="43"/>
      <x:c r="D258" s="43"/>
      <x:c r="E258" s="43"/>
      <x:c r="F258" s="45"/>
      <x:c r="G258" s="45"/>
      <x:c r="H258" s="9"/>
      <x:c r="I258" s="9"/>
      <x:c r="J258" s="43"/>
      <x:c r="K258" s="9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9"/>
      <x:c r="B259" s="9"/>
      <x:c r="C259" s="43"/>
      <x:c r="D259" s="43"/>
      <x:c r="E259" s="43"/>
      <x:c r="F259" s="45"/>
      <x:c r="G259" s="45"/>
      <x:c r="H259" s="9"/>
      <x:c r="I259" s="9"/>
      <x:c r="J259" s="43"/>
      <x:c r="K259" s="9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9"/>
      <x:c r="B260" s="9"/>
      <x:c r="C260" s="43"/>
      <x:c r="D260" s="43"/>
      <x:c r="E260" s="43"/>
      <x:c r="F260" s="45"/>
      <x:c r="G260" s="45"/>
      <x:c r="H260" s="9"/>
      <x:c r="I260" s="9"/>
      <x:c r="J260" s="43"/>
      <x:c r="K260" s="9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9"/>
      <x:c r="B261" s="9"/>
      <x:c r="C261" s="43"/>
      <x:c r="D261" s="43"/>
      <x:c r="E261" s="43"/>
      <x:c r="F261" s="45"/>
      <x:c r="G261" s="45"/>
      <x:c r="H261" s="9"/>
      <x:c r="I261" s="9"/>
      <x:c r="J261" s="43"/>
      <x:c r="K261" s="9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9"/>
      <x:c r="B262" s="9"/>
      <x:c r="C262" s="43"/>
      <x:c r="D262" s="43"/>
      <x:c r="E262" s="43"/>
      <x:c r="F262" s="45"/>
      <x:c r="G262" s="45"/>
      <x:c r="H262" s="9"/>
      <x:c r="I262" s="9"/>
      <x:c r="J262" s="43"/>
      <x:c r="K262" s="9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9"/>
      <x:c r="B263" s="9"/>
      <x:c r="C263" s="43"/>
      <x:c r="D263" s="43"/>
      <x:c r="E263" s="43"/>
      <x:c r="F263" s="45"/>
      <x:c r="G263" s="45"/>
      <x:c r="H263" s="9"/>
      <x:c r="I263" s="9"/>
      <x:c r="J263" s="43"/>
      <x:c r="K263" s="9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9"/>
      <x:c r="B264" s="9"/>
      <x:c r="C264" s="43"/>
      <x:c r="D264" s="43"/>
      <x:c r="E264" s="43"/>
      <x:c r="F264" s="45"/>
      <x:c r="G264" s="45"/>
      <x:c r="H264" s="9"/>
      <x:c r="I264" s="9"/>
      <x:c r="J264" s="43"/>
      <x:c r="K264" s="9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9"/>
      <x:c r="B265" s="9"/>
      <x:c r="C265" s="43"/>
      <x:c r="D265" s="43"/>
      <x:c r="E265" s="43"/>
      <x:c r="F265" s="45"/>
      <x:c r="G265" s="45"/>
      <x:c r="H265" s="9"/>
      <x:c r="I265" s="9"/>
      <x:c r="J265" s="43"/>
      <x:c r="K265" s="9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9"/>
      <x:c r="B266" s="9"/>
      <x:c r="C266" s="43"/>
      <x:c r="D266" s="43"/>
      <x:c r="E266" s="43"/>
      <x:c r="F266" s="45"/>
      <x:c r="G266" s="45"/>
      <x:c r="H266" s="9"/>
      <x:c r="I266" s="9"/>
      <x:c r="J266" s="43"/>
      <x:c r="K266" s="9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9"/>
      <x:c r="B267" s="9"/>
      <x:c r="C267" s="43"/>
      <x:c r="D267" s="43"/>
      <x:c r="E267" s="43"/>
      <x:c r="F267" s="45"/>
      <x:c r="G267" s="45"/>
      <x:c r="H267" s="9"/>
      <x:c r="I267" s="9"/>
      <x:c r="J267" s="43"/>
      <x:c r="K267" s="9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9"/>
      <x:c r="B268" s="9"/>
      <x:c r="C268" s="43"/>
      <x:c r="D268" s="43"/>
      <x:c r="E268" s="43"/>
      <x:c r="F268" s="45"/>
      <x:c r="G268" s="45"/>
      <x:c r="H268" s="9"/>
      <x:c r="I268" s="9"/>
      <x:c r="J268" s="43"/>
      <x:c r="K268" s="9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9"/>
      <x:c r="B269" s="9"/>
      <x:c r="C269" s="43"/>
      <x:c r="D269" s="43"/>
      <x:c r="E269" s="43"/>
      <x:c r="F269" s="45"/>
      <x:c r="G269" s="45"/>
      <x:c r="H269" s="9"/>
      <x:c r="I269" s="9"/>
      <x:c r="J269" s="43"/>
      <x:c r="K269" s="9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9"/>
      <x:c r="B270" s="9"/>
      <x:c r="C270" s="43"/>
      <x:c r="D270" s="43"/>
      <x:c r="E270" s="43"/>
      <x:c r="F270" s="45"/>
      <x:c r="G270" s="45"/>
      <x:c r="H270" s="9"/>
      <x:c r="I270" s="9"/>
      <x:c r="J270" s="43"/>
      <x:c r="K270" s="9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9"/>
      <x:c r="B271" s="9"/>
      <x:c r="C271" s="43"/>
      <x:c r="D271" s="43"/>
      <x:c r="E271" s="43"/>
      <x:c r="F271" s="45"/>
      <x:c r="G271" s="45"/>
      <x:c r="H271" s="9"/>
      <x:c r="I271" s="9"/>
      <x:c r="J271" s="43"/>
      <x:c r="K271" s="9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9"/>
      <x:c r="B272" s="9"/>
      <x:c r="C272" s="43"/>
      <x:c r="D272" s="43"/>
      <x:c r="E272" s="43"/>
      <x:c r="F272" s="45"/>
      <x:c r="G272" s="45"/>
      <x:c r="H272" s="9"/>
      <x:c r="I272" s="9"/>
      <x:c r="J272" s="43"/>
      <x:c r="K272" s="9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9"/>
      <x:c r="B273" s="9"/>
      <x:c r="C273" s="43"/>
      <x:c r="D273" s="43"/>
      <x:c r="E273" s="43"/>
      <x:c r="F273" s="45"/>
      <x:c r="G273" s="45"/>
      <x:c r="H273" s="9"/>
      <x:c r="I273" s="9"/>
      <x:c r="J273" s="43"/>
      <x:c r="K273" s="9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9"/>
      <x:c r="B274" s="9"/>
      <x:c r="C274" s="43"/>
      <x:c r="D274" s="43"/>
      <x:c r="E274" s="43"/>
      <x:c r="F274" s="45"/>
      <x:c r="G274" s="45"/>
      <x:c r="H274" s="9"/>
      <x:c r="I274" s="9"/>
      <x:c r="J274" s="43"/>
      <x:c r="K274" s="9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9"/>
      <x:c r="B275" s="9"/>
      <x:c r="C275" s="43"/>
      <x:c r="D275" s="43"/>
      <x:c r="E275" s="43"/>
      <x:c r="F275" s="45"/>
      <x:c r="G275" s="45"/>
      <x:c r="H275" s="9"/>
      <x:c r="I275" s="9"/>
      <x:c r="J275" s="43"/>
      <x:c r="K275" s="9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9"/>
      <x:c r="B276" s="9"/>
      <x:c r="C276" s="43"/>
      <x:c r="D276" s="43"/>
      <x:c r="E276" s="43"/>
      <x:c r="F276" s="45"/>
      <x:c r="G276" s="45"/>
      <x:c r="H276" s="9"/>
      <x:c r="I276" s="9"/>
      <x:c r="J276" s="43"/>
      <x:c r="K276" s="9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9"/>
      <x:c r="B277" s="9"/>
      <x:c r="C277" s="43"/>
      <x:c r="D277" s="43"/>
      <x:c r="E277" s="43"/>
      <x:c r="F277" s="45"/>
      <x:c r="G277" s="45"/>
      <x:c r="H277" s="9"/>
      <x:c r="I277" s="9"/>
      <x:c r="J277" s="43"/>
      <x:c r="K277" s="9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9"/>
      <x:c r="B278" s="9"/>
      <x:c r="C278" s="43"/>
      <x:c r="D278" s="43"/>
      <x:c r="E278" s="43"/>
      <x:c r="F278" s="45"/>
      <x:c r="G278" s="45"/>
      <x:c r="H278" s="9"/>
      <x:c r="I278" s="9"/>
      <x:c r="J278" s="43"/>
      <x:c r="K278" s="9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9"/>
      <x:c r="B279" s="9"/>
      <x:c r="C279" s="43"/>
      <x:c r="D279" s="43"/>
      <x:c r="E279" s="43"/>
      <x:c r="F279" s="45"/>
      <x:c r="G279" s="45"/>
      <x:c r="H279" s="9"/>
      <x:c r="I279" s="9"/>
      <x:c r="J279" s="43"/>
      <x:c r="K279" s="9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9"/>
      <x:c r="B280" s="9"/>
      <x:c r="C280" s="43"/>
      <x:c r="D280" s="43"/>
      <x:c r="E280" s="43"/>
      <x:c r="F280" s="45"/>
      <x:c r="G280" s="45"/>
      <x:c r="H280" s="9"/>
      <x:c r="I280" s="9"/>
      <x:c r="J280" s="43"/>
      <x:c r="K280" s="9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9"/>
      <x:c r="B281" s="9"/>
      <x:c r="C281" s="43"/>
      <x:c r="D281" s="43"/>
      <x:c r="E281" s="43"/>
      <x:c r="F281" s="45"/>
      <x:c r="G281" s="45"/>
      <x:c r="H281" s="9"/>
      <x:c r="I281" s="9"/>
      <x:c r="J281" s="43"/>
      <x:c r="K281" s="9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9"/>
      <x:c r="B282" s="9"/>
      <x:c r="C282" s="43"/>
      <x:c r="D282" s="43"/>
      <x:c r="E282" s="43"/>
      <x:c r="F282" s="45"/>
      <x:c r="G282" s="45"/>
      <x:c r="H282" s="9"/>
      <x:c r="I282" s="9"/>
      <x:c r="J282" s="43"/>
      <x:c r="K282" s="9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9"/>
      <x:c r="B283" s="9"/>
      <x:c r="C283" s="43"/>
      <x:c r="D283" s="43"/>
      <x:c r="E283" s="43"/>
      <x:c r="F283" s="45"/>
      <x:c r="G283" s="45"/>
      <x:c r="H283" s="9"/>
      <x:c r="I283" s="9"/>
      <x:c r="J283" s="43"/>
      <x:c r="K283" s="9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9"/>
      <x:c r="B284" s="9"/>
      <x:c r="C284" s="43"/>
      <x:c r="D284" s="43"/>
      <x:c r="E284" s="43"/>
      <x:c r="F284" s="45"/>
      <x:c r="G284" s="45"/>
      <x:c r="H284" s="9"/>
      <x:c r="I284" s="9"/>
      <x:c r="J284" s="43"/>
      <x:c r="K284" s="9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9"/>
      <x:c r="B285" s="9"/>
      <x:c r="C285" s="43"/>
      <x:c r="D285" s="43"/>
      <x:c r="E285" s="43"/>
      <x:c r="F285" s="45"/>
      <x:c r="G285" s="45"/>
      <x:c r="H285" s="9"/>
      <x:c r="I285" s="9"/>
      <x:c r="J285" s="43"/>
      <x:c r="K285" s="9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9"/>
      <x:c r="B286" s="9"/>
      <x:c r="C286" s="43"/>
      <x:c r="D286" s="43"/>
      <x:c r="E286" s="43"/>
      <x:c r="F286" s="45"/>
      <x:c r="G286" s="45"/>
      <x:c r="H286" s="9"/>
      <x:c r="I286" s="9"/>
      <x:c r="J286" s="43"/>
      <x:c r="K286" s="9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9"/>
      <x:c r="B287" s="9"/>
      <x:c r="C287" s="43"/>
      <x:c r="D287" s="43"/>
      <x:c r="E287" s="43"/>
      <x:c r="F287" s="45"/>
      <x:c r="G287" s="45"/>
      <x:c r="H287" s="9"/>
      <x:c r="I287" s="9"/>
      <x:c r="J287" s="43"/>
      <x:c r="K287" s="9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9"/>
      <x:c r="B288" s="9"/>
      <x:c r="C288" s="43"/>
      <x:c r="D288" s="43"/>
      <x:c r="E288" s="43"/>
      <x:c r="F288" s="45"/>
      <x:c r="G288" s="45"/>
      <x:c r="H288" s="9"/>
      <x:c r="I288" s="9"/>
      <x:c r="J288" s="43"/>
      <x:c r="K288" s="9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9"/>
      <x:c r="B289" s="9"/>
      <x:c r="C289" s="43"/>
      <x:c r="D289" s="43"/>
      <x:c r="E289" s="43"/>
      <x:c r="F289" s="45"/>
      <x:c r="G289" s="45"/>
      <x:c r="H289" s="9"/>
      <x:c r="I289" s="9"/>
      <x:c r="J289" s="43"/>
      <x:c r="K289" s="9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9"/>
      <x:c r="B290" s="9"/>
      <x:c r="C290" s="43"/>
      <x:c r="D290" s="43"/>
      <x:c r="E290" s="43"/>
      <x:c r="F290" s="45"/>
      <x:c r="G290" s="45"/>
      <x:c r="H290" s="9"/>
      <x:c r="I290" s="9"/>
      <x:c r="J290" s="43"/>
      <x:c r="K290" s="9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9"/>
      <x:c r="B291" s="9"/>
      <x:c r="C291" s="43"/>
      <x:c r="D291" s="43"/>
      <x:c r="E291" s="43"/>
      <x:c r="F291" s="45"/>
      <x:c r="G291" s="45"/>
      <x:c r="H291" s="9"/>
      <x:c r="I291" s="9"/>
      <x:c r="J291" s="43"/>
      <x:c r="K291" s="9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9"/>
      <x:c r="B292" s="9"/>
      <x:c r="C292" s="43"/>
      <x:c r="D292" s="43"/>
      <x:c r="E292" s="43"/>
      <x:c r="F292" s="45"/>
      <x:c r="G292" s="45"/>
      <x:c r="H292" s="9"/>
      <x:c r="I292" s="9"/>
      <x:c r="J292" s="43"/>
      <x:c r="K292" s="9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9"/>
      <x:c r="B293" s="9"/>
      <x:c r="C293" s="43"/>
      <x:c r="D293" s="43"/>
      <x:c r="E293" s="43"/>
      <x:c r="F293" s="45"/>
      <x:c r="G293" s="45"/>
      <x:c r="H293" s="9"/>
      <x:c r="I293" s="9"/>
      <x:c r="J293" s="43"/>
      <x:c r="K293" s="9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9"/>
      <x:c r="B294" s="9"/>
      <x:c r="C294" s="43"/>
      <x:c r="D294" s="43"/>
      <x:c r="E294" s="43"/>
      <x:c r="F294" s="45"/>
      <x:c r="G294" s="45"/>
      <x:c r="H294" s="9"/>
      <x:c r="I294" s="9"/>
      <x:c r="J294" s="43"/>
      <x:c r="K294" s="9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9"/>
      <x:c r="B295" s="9"/>
      <x:c r="C295" s="43"/>
      <x:c r="D295" s="43"/>
      <x:c r="E295" s="43"/>
      <x:c r="F295" s="45"/>
      <x:c r="G295" s="45"/>
      <x:c r="H295" s="9"/>
      <x:c r="I295" s="9"/>
      <x:c r="J295" s="43"/>
      <x:c r="K295" s="9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9"/>
      <x:c r="B296" s="9"/>
      <x:c r="C296" s="43"/>
      <x:c r="D296" s="43"/>
      <x:c r="E296" s="43"/>
      <x:c r="F296" s="45"/>
      <x:c r="G296" s="45"/>
      <x:c r="H296" s="9"/>
      <x:c r="I296" s="9"/>
      <x:c r="J296" s="43"/>
      <x:c r="K296" s="9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9"/>
      <x:c r="B297" s="9"/>
      <x:c r="C297" s="43"/>
      <x:c r="D297" s="43"/>
      <x:c r="E297" s="43"/>
      <x:c r="F297" s="45"/>
      <x:c r="G297" s="45"/>
      <x:c r="H297" s="9"/>
      <x:c r="I297" s="9"/>
      <x:c r="J297" s="43"/>
      <x:c r="K297" s="9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9"/>
      <x:c r="B298" s="9"/>
      <x:c r="C298" s="43"/>
      <x:c r="D298" s="43"/>
      <x:c r="E298" s="43"/>
      <x:c r="F298" s="45"/>
      <x:c r="G298" s="45"/>
      <x:c r="H298" s="9"/>
      <x:c r="I298" s="9"/>
      <x:c r="J298" s="43"/>
      <x:c r="K298" s="9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9"/>
      <x:c r="B299" s="9"/>
      <x:c r="C299" s="43"/>
      <x:c r="D299" s="43"/>
      <x:c r="E299" s="43"/>
      <x:c r="F299" s="45"/>
      <x:c r="G299" s="45"/>
      <x:c r="H299" s="9"/>
      <x:c r="I299" s="9"/>
      <x:c r="J299" s="43"/>
      <x:c r="K299" s="9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9"/>
      <x:c r="B300" s="9"/>
      <x:c r="C300" s="43"/>
      <x:c r="D300" s="43"/>
      <x:c r="E300" s="43"/>
      <x:c r="F300" s="45"/>
      <x:c r="G300" s="45"/>
      <x:c r="H300" s="9"/>
      <x:c r="I300" s="9"/>
      <x:c r="J300" s="43"/>
      <x:c r="K300" s="9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9"/>
      <x:c r="B301" s="9"/>
      <x:c r="C301" s="43"/>
      <x:c r="D301" s="43"/>
      <x:c r="E301" s="43"/>
      <x:c r="F301" s="45"/>
      <x:c r="G301" s="45"/>
      <x:c r="H301" s="9"/>
      <x:c r="I301" s="9"/>
      <x:c r="J301" s="43"/>
      <x:c r="K301" s="9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9"/>
      <x:c r="B302" s="9"/>
      <x:c r="C302" s="43"/>
      <x:c r="D302" s="43"/>
      <x:c r="E302" s="43"/>
      <x:c r="F302" s="45"/>
      <x:c r="G302" s="45"/>
      <x:c r="H302" s="9"/>
      <x:c r="I302" s="9"/>
      <x:c r="J302" s="43"/>
      <x:c r="K302" s="9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9"/>
      <x:c r="B303" s="9"/>
      <x:c r="C303" s="43"/>
      <x:c r="D303" s="43"/>
      <x:c r="E303" s="43"/>
      <x:c r="F303" s="45"/>
      <x:c r="G303" s="45"/>
      <x:c r="H303" s="9"/>
      <x:c r="I303" s="9"/>
      <x:c r="J303" s="43"/>
      <x:c r="K303" s="9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9"/>
      <x:c r="B304" s="9"/>
      <x:c r="C304" s="43"/>
      <x:c r="D304" s="43"/>
      <x:c r="E304" s="43"/>
      <x:c r="F304" s="45"/>
      <x:c r="G304" s="45"/>
      <x:c r="H304" s="9"/>
      <x:c r="I304" s="9"/>
      <x:c r="J304" s="43"/>
      <x:c r="K304" s="9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9"/>
      <x:c r="B305" s="9"/>
      <x:c r="C305" s="43"/>
      <x:c r="D305" s="43"/>
      <x:c r="E305" s="43"/>
      <x:c r="F305" s="45"/>
      <x:c r="G305" s="45"/>
      <x:c r="H305" s="9"/>
      <x:c r="I305" s="9"/>
      <x:c r="J305" s="43"/>
      <x:c r="K305" s="9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9"/>
      <x:c r="B306" s="9"/>
      <x:c r="C306" s="43"/>
      <x:c r="D306" s="43"/>
      <x:c r="E306" s="43"/>
      <x:c r="F306" s="45"/>
      <x:c r="G306" s="45"/>
      <x:c r="H306" s="9"/>
      <x:c r="I306" s="9"/>
      <x:c r="J306" s="43"/>
      <x:c r="K306" s="9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9"/>
      <x:c r="B307" s="9"/>
      <x:c r="C307" s="43"/>
      <x:c r="D307" s="43"/>
      <x:c r="E307" s="43"/>
      <x:c r="F307" s="45"/>
      <x:c r="G307" s="45"/>
      <x:c r="H307" s="9"/>
      <x:c r="I307" s="9"/>
      <x:c r="J307" s="43"/>
      <x:c r="K307" s="9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9"/>
      <x:c r="B308" s="9"/>
      <x:c r="C308" s="43"/>
      <x:c r="D308" s="43"/>
      <x:c r="E308" s="43"/>
      <x:c r="F308" s="45"/>
      <x:c r="G308" s="45"/>
      <x:c r="H308" s="9"/>
      <x:c r="I308" s="9"/>
      <x:c r="J308" s="43"/>
      <x:c r="K308" s="9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9"/>
      <x:c r="B309" s="9"/>
      <x:c r="C309" s="43"/>
      <x:c r="D309" s="43"/>
      <x:c r="E309" s="43"/>
      <x:c r="F309" s="45"/>
      <x:c r="G309" s="45"/>
      <x:c r="H309" s="9"/>
      <x:c r="I309" s="9"/>
      <x:c r="J309" s="43"/>
      <x:c r="K309" s="9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9"/>
      <x:c r="B310" s="9"/>
      <x:c r="C310" s="43"/>
      <x:c r="D310" s="43"/>
      <x:c r="E310" s="43"/>
      <x:c r="F310" s="45"/>
      <x:c r="G310" s="45"/>
      <x:c r="H310" s="9"/>
      <x:c r="I310" s="9"/>
      <x:c r="J310" s="43"/>
      <x:c r="K310" s="9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9"/>
      <x:c r="B311" s="9"/>
      <x:c r="C311" s="43"/>
      <x:c r="D311" s="43"/>
      <x:c r="E311" s="43"/>
      <x:c r="F311" s="45"/>
      <x:c r="G311" s="45"/>
      <x:c r="H311" s="9"/>
      <x:c r="I311" s="9"/>
      <x:c r="J311" s="43"/>
      <x:c r="K311" s="9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9"/>
      <x:c r="B312" s="9"/>
      <x:c r="C312" s="43"/>
      <x:c r="D312" s="43"/>
      <x:c r="E312" s="43"/>
      <x:c r="F312" s="45"/>
      <x:c r="G312" s="45"/>
      <x:c r="H312" s="9"/>
      <x:c r="I312" s="9"/>
      <x:c r="J312" s="43"/>
      <x:c r="K312" s="9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9"/>
      <x:c r="B313" s="9"/>
      <x:c r="C313" s="43"/>
      <x:c r="D313" s="43"/>
      <x:c r="E313" s="43"/>
      <x:c r="F313" s="45"/>
      <x:c r="G313" s="45"/>
      <x:c r="H313" s="9"/>
      <x:c r="I313" s="9"/>
      <x:c r="J313" s="43"/>
      <x:c r="K313" s="9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9"/>
      <x:c r="B314" s="9"/>
      <x:c r="C314" s="43"/>
      <x:c r="D314" s="43"/>
      <x:c r="E314" s="43"/>
      <x:c r="F314" s="45"/>
      <x:c r="G314" s="45"/>
      <x:c r="H314" s="9"/>
      <x:c r="I314" s="9"/>
      <x:c r="J314" s="43"/>
      <x:c r="K314" s="9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9"/>
      <x:c r="B315" s="9"/>
      <x:c r="C315" s="43"/>
      <x:c r="D315" s="43"/>
      <x:c r="E315" s="43"/>
      <x:c r="F315" s="45"/>
      <x:c r="G315" s="45"/>
      <x:c r="H315" s="9"/>
      <x:c r="I315" s="9"/>
      <x:c r="J315" s="43"/>
      <x:c r="K315" s="9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9"/>
      <x:c r="B316" s="9"/>
      <x:c r="C316" s="43"/>
      <x:c r="D316" s="43"/>
      <x:c r="E316" s="43"/>
      <x:c r="F316" s="45"/>
      <x:c r="G316" s="45"/>
      <x:c r="H316" s="9"/>
      <x:c r="I316" s="9"/>
      <x:c r="J316" s="43"/>
      <x:c r="K316" s="9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9"/>
      <x:c r="B317" s="9"/>
      <x:c r="C317" s="43"/>
      <x:c r="D317" s="43"/>
      <x:c r="E317" s="43"/>
      <x:c r="F317" s="45"/>
      <x:c r="G317" s="45"/>
      <x:c r="H317" s="9"/>
      <x:c r="I317" s="9"/>
      <x:c r="J317" s="43"/>
      <x:c r="K317" s="9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9"/>
      <x:c r="B318" s="9"/>
      <x:c r="C318" s="43"/>
      <x:c r="D318" s="43"/>
      <x:c r="E318" s="43"/>
      <x:c r="F318" s="45"/>
      <x:c r="G318" s="45"/>
      <x:c r="H318" s="9"/>
      <x:c r="I318" s="9"/>
      <x:c r="J318" s="43"/>
      <x:c r="K318" s="9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9"/>
      <x:c r="B319" s="9"/>
      <x:c r="C319" s="43"/>
      <x:c r="D319" s="43"/>
      <x:c r="E319" s="43"/>
      <x:c r="F319" s="45"/>
      <x:c r="G319" s="45"/>
      <x:c r="H319" s="9"/>
      <x:c r="I319" s="9"/>
      <x:c r="J319" s="43"/>
      <x:c r="K319" s="9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9"/>
      <x:c r="B320" s="9"/>
      <x:c r="C320" s="43"/>
      <x:c r="D320" s="43"/>
      <x:c r="E320" s="43"/>
      <x:c r="F320" s="45"/>
      <x:c r="G320" s="45"/>
      <x:c r="H320" s="9"/>
      <x:c r="I320" s="9"/>
      <x:c r="J320" s="43"/>
      <x:c r="K320" s="9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9"/>
      <x:c r="B321" s="9"/>
      <x:c r="C321" s="43"/>
      <x:c r="D321" s="43"/>
      <x:c r="E321" s="43"/>
      <x:c r="F321" s="45"/>
      <x:c r="G321" s="45"/>
      <x:c r="H321" s="9"/>
      <x:c r="I321" s="9"/>
      <x:c r="J321" s="43"/>
      <x:c r="K321" s="9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9"/>
      <x:c r="B322" s="9"/>
      <x:c r="C322" s="43"/>
      <x:c r="D322" s="43"/>
      <x:c r="E322" s="43"/>
      <x:c r="F322" s="45"/>
      <x:c r="G322" s="45"/>
      <x:c r="H322" s="9"/>
      <x:c r="I322" s="9"/>
      <x:c r="J322" s="43"/>
      <x:c r="K322" s="9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9"/>
      <x:c r="B323" s="9"/>
      <x:c r="C323" s="43"/>
      <x:c r="D323" s="43"/>
      <x:c r="E323" s="43"/>
      <x:c r="F323" s="45"/>
      <x:c r="G323" s="45"/>
      <x:c r="H323" s="9"/>
      <x:c r="I323" s="9"/>
      <x:c r="J323" s="43"/>
      <x:c r="K323" s="9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9"/>
      <x:c r="B324" s="9"/>
      <x:c r="C324" s="43"/>
      <x:c r="D324" s="43"/>
      <x:c r="E324" s="43"/>
      <x:c r="F324" s="45"/>
      <x:c r="G324" s="45"/>
      <x:c r="H324" s="9"/>
      <x:c r="I324" s="9"/>
      <x:c r="J324" s="43"/>
      <x:c r="K324" s="9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9"/>
      <x:c r="B325" s="9"/>
      <x:c r="C325" s="43"/>
      <x:c r="D325" s="43"/>
      <x:c r="E325" s="43"/>
      <x:c r="F325" s="45"/>
      <x:c r="G325" s="45"/>
      <x:c r="H325" s="9"/>
      <x:c r="I325" s="9"/>
      <x:c r="J325" s="43"/>
      <x:c r="K325" s="9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9"/>
      <x:c r="B326" s="9"/>
      <x:c r="C326" s="43"/>
      <x:c r="D326" s="43"/>
      <x:c r="E326" s="43"/>
      <x:c r="F326" s="45"/>
      <x:c r="G326" s="45"/>
      <x:c r="H326" s="9"/>
      <x:c r="I326" s="9"/>
      <x:c r="J326" s="43"/>
      <x:c r="K326" s="9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9"/>
      <x:c r="B327" s="9"/>
      <x:c r="C327" s="43"/>
      <x:c r="D327" s="43"/>
      <x:c r="E327" s="43"/>
      <x:c r="F327" s="45"/>
      <x:c r="G327" s="45"/>
      <x:c r="H327" s="9"/>
      <x:c r="I327" s="9"/>
      <x:c r="J327" s="43"/>
      <x:c r="K327" s="9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9"/>
      <x:c r="B328" s="9"/>
      <x:c r="C328" s="43"/>
      <x:c r="D328" s="43"/>
      <x:c r="E328" s="43"/>
      <x:c r="F328" s="45"/>
      <x:c r="G328" s="45"/>
      <x:c r="H328" s="9"/>
      <x:c r="I328" s="9"/>
      <x:c r="J328" s="43"/>
      <x:c r="K328" s="9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9"/>
      <x:c r="B329" s="9"/>
      <x:c r="C329" s="43"/>
      <x:c r="D329" s="43"/>
      <x:c r="E329" s="43"/>
      <x:c r="F329" s="45"/>
      <x:c r="G329" s="45"/>
      <x:c r="H329" s="9"/>
      <x:c r="I329" s="9"/>
      <x:c r="J329" s="43"/>
      <x:c r="K329" s="9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9"/>
      <x:c r="B330" s="9"/>
      <x:c r="C330" s="43"/>
      <x:c r="D330" s="43"/>
      <x:c r="E330" s="43"/>
      <x:c r="F330" s="45"/>
      <x:c r="G330" s="45"/>
      <x:c r="H330" s="9"/>
      <x:c r="I330" s="9"/>
      <x:c r="J330" s="43"/>
      <x:c r="K330" s="9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9"/>
      <x:c r="B331" s="9"/>
      <x:c r="C331" s="43"/>
      <x:c r="D331" s="43"/>
      <x:c r="E331" s="43"/>
      <x:c r="F331" s="45"/>
      <x:c r="G331" s="45"/>
      <x:c r="H331" s="9"/>
      <x:c r="I331" s="9"/>
      <x:c r="J331" s="43"/>
      <x:c r="K331" s="9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9"/>
      <x:c r="B332" s="9"/>
      <x:c r="C332" s="43"/>
      <x:c r="D332" s="43"/>
      <x:c r="E332" s="43"/>
      <x:c r="F332" s="45"/>
      <x:c r="G332" s="45"/>
      <x:c r="H332" s="9"/>
      <x:c r="I332" s="9"/>
      <x:c r="J332" s="43"/>
      <x:c r="K332" s="9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9"/>
      <x:c r="B333" s="9"/>
      <x:c r="C333" s="43"/>
      <x:c r="D333" s="43"/>
      <x:c r="E333" s="43"/>
      <x:c r="F333" s="45"/>
      <x:c r="G333" s="45"/>
      <x:c r="H333" s="9"/>
      <x:c r="I333" s="9"/>
      <x:c r="J333" s="43"/>
      <x:c r="K333" s="9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9"/>
      <x:c r="B334" s="9"/>
      <x:c r="C334" s="43"/>
      <x:c r="D334" s="43"/>
      <x:c r="E334" s="43"/>
      <x:c r="F334" s="45"/>
      <x:c r="G334" s="45"/>
      <x:c r="H334" s="9"/>
      <x:c r="I334" s="9"/>
      <x:c r="J334" s="43"/>
      <x:c r="K334" s="9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9"/>
      <x:c r="B335" s="9"/>
      <x:c r="C335" s="43"/>
      <x:c r="D335" s="43"/>
      <x:c r="E335" s="43"/>
      <x:c r="F335" s="45"/>
      <x:c r="G335" s="45"/>
      <x:c r="H335" s="9"/>
      <x:c r="I335" s="9"/>
      <x:c r="J335" s="43"/>
      <x:c r="K335" s="9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9"/>
      <x:c r="B336" s="9"/>
      <x:c r="C336" s="43"/>
      <x:c r="D336" s="43"/>
      <x:c r="E336" s="43"/>
      <x:c r="F336" s="45"/>
      <x:c r="G336" s="45"/>
      <x:c r="H336" s="9"/>
      <x:c r="I336" s="9"/>
      <x:c r="J336" s="43"/>
      <x:c r="K336" s="9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9"/>
      <x:c r="B337" s="9"/>
      <x:c r="C337" s="43"/>
      <x:c r="D337" s="43"/>
      <x:c r="E337" s="43"/>
      <x:c r="F337" s="45"/>
      <x:c r="G337" s="45"/>
      <x:c r="H337" s="9"/>
      <x:c r="I337" s="9"/>
      <x:c r="J337" s="43"/>
      <x:c r="K337" s="9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9"/>
      <x:c r="B338" s="9"/>
      <x:c r="C338" s="43"/>
      <x:c r="D338" s="43"/>
      <x:c r="E338" s="43"/>
      <x:c r="F338" s="45"/>
      <x:c r="G338" s="45"/>
      <x:c r="H338" s="9"/>
      <x:c r="I338" s="9"/>
      <x:c r="J338" s="43"/>
      <x:c r="K338" s="9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9"/>
      <x:c r="B339" s="9"/>
      <x:c r="C339" s="43"/>
      <x:c r="D339" s="43"/>
      <x:c r="E339" s="43"/>
      <x:c r="F339" s="45"/>
      <x:c r="G339" s="45"/>
      <x:c r="H339" s="9"/>
      <x:c r="I339" s="9"/>
      <x:c r="J339" s="43"/>
      <x:c r="K339" s="9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9"/>
      <x:c r="B340" s="9"/>
      <x:c r="C340" s="43"/>
      <x:c r="D340" s="43"/>
      <x:c r="E340" s="43"/>
      <x:c r="F340" s="45"/>
      <x:c r="G340" s="45"/>
      <x:c r="H340" s="9"/>
      <x:c r="I340" s="9"/>
      <x:c r="J340" s="43"/>
      <x:c r="K340" s="9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9"/>
      <x:c r="B341" s="9"/>
      <x:c r="C341" s="43"/>
      <x:c r="D341" s="43"/>
      <x:c r="E341" s="43"/>
      <x:c r="F341" s="45"/>
      <x:c r="G341" s="45"/>
      <x:c r="H341" s="9"/>
      <x:c r="I341" s="9"/>
      <x:c r="J341" s="43"/>
      <x:c r="K341" s="9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9"/>
      <x:c r="B342" s="9"/>
      <x:c r="C342" s="43"/>
      <x:c r="D342" s="43"/>
      <x:c r="E342" s="43"/>
      <x:c r="F342" s="45"/>
      <x:c r="G342" s="45"/>
      <x:c r="H342" s="9"/>
      <x:c r="I342" s="9"/>
      <x:c r="J342" s="43"/>
      <x:c r="K342" s="9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9"/>
      <x:c r="B343" s="9"/>
      <x:c r="C343" s="43"/>
      <x:c r="D343" s="43"/>
      <x:c r="E343" s="43"/>
      <x:c r="F343" s="45"/>
      <x:c r="G343" s="45"/>
      <x:c r="H343" s="9"/>
      <x:c r="I343" s="9"/>
      <x:c r="J343" s="43"/>
      <x:c r="K343" s="9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9"/>
      <x:c r="B344" s="9"/>
      <x:c r="C344" s="43"/>
      <x:c r="D344" s="43"/>
      <x:c r="E344" s="43"/>
      <x:c r="F344" s="45"/>
      <x:c r="G344" s="45"/>
      <x:c r="H344" s="9"/>
      <x:c r="I344" s="9"/>
      <x:c r="J344" s="43"/>
      <x:c r="K344" s="9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9"/>
      <x:c r="B345" s="9"/>
      <x:c r="C345" s="43"/>
      <x:c r="D345" s="43"/>
      <x:c r="E345" s="43"/>
      <x:c r="F345" s="45"/>
      <x:c r="G345" s="45"/>
      <x:c r="H345" s="9"/>
      <x:c r="I345" s="9"/>
      <x:c r="J345" s="43"/>
      <x:c r="K345" s="9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9"/>
      <x:c r="B346" s="9"/>
      <x:c r="C346" s="43"/>
      <x:c r="D346" s="43"/>
      <x:c r="E346" s="43"/>
      <x:c r="F346" s="45"/>
      <x:c r="G346" s="45"/>
      <x:c r="H346" s="9"/>
      <x:c r="I346" s="9"/>
      <x:c r="J346" s="43"/>
      <x:c r="K346" s="9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9"/>
      <x:c r="B347" s="9"/>
      <x:c r="C347" s="43"/>
      <x:c r="D347" s="43"/>
      <x:c r="E347" s="43"/>
      <x:c r="F347" s="45"/>
      <x:c r="G347" s="45"/>
      <x:c r="H347" s="9"/>
      <x:c r="I347" s="9"/>
      <x:c r="J347" s="43"/>
      <x:c r="K347" s="9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9"/>
      <x:c r="B348" s="9"/>
      <x:c r="C348" s="43"/>
      <x:c r="D348" s="43"/>
      <x:c r="E348" s="43"/>
      <x:c r="F348" s="45"/>
      <x:c r="G348" s="45"/>
      <x:c r="H348" s="9"/>
      <x:c r="I348" s="9"/>
      <x:c r="J348" s="43"/>
      <x:c r="K348" s="9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9"/>
      <x:c r="B349" s="9"/>
      <x:c r="C349" s="43"/>
      <x:c r="D349" s="43"/>
      <x:c r="E349" s="43"/>
      <x:c r="F349" s="45"/>
      <x:c r="G349" s="45"/>
      <x:c r="H349" s="9"/>
      <x:c r="I349" s="9"/>
      <x:c r="J349" s="43"/>
      <x:c r="K349" s="9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9"/>
      <x:c r="B350" s="9"/>
      <x:c r="C350" s="43"/>
      <x:c r="D350" s="43"/>
      <x:c r="E350" s="43"/>
      <x:c r="F350" s="45"/>
      <x:c r="G350" s="45"/>
      <x:c r="H350" s="9"/>
      <x:c r="I350" s="9"/>
      <x:c r="J350" s="43"/>
      <x:c r="K350" s="9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9"/>
      <x:c r="B351" s="9"/>
      <x:c r="C351" s="43"/>
      <x:c r="D351" s="43"/>
      <x:c r="E351" s="43"/>
      <x:c r="F351" s="45"/>
      <x:c r="G351" s="45"/>
      <x:c r="H351" s="9"/>
      <x:c r="I351" s="9"/>
      <x:c r="J351" s="43"/>
      <x:c r="K351" s="9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9"/>
      <x:c r="B352" s="9"/>
      <x:c r="C352" s="43"/>
      <x:c r="D352" s="43"/>
      <x:c r="E352" s="43"/>
      <x:c r="F352" s="45"/>
      <x:c r="G352" s="45"/>
      <x:c r="H352" s="9"/>
      <x:c r="I352" s="9"/>
      <x:c r="J352" s="43"/>
      <x:c r="K352" s="9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9"/>
      <x:c r="B353" s="9"/>
      <x:c r="C353" s="43"/>
      <x:c r="D353" s="43"/>
      <x:c r="E353" s="43"/>
      <x:c r="F353" s="45"/>
      <x:c r="G353" s="45"/>
      <x:c r="H353" s="9"/>
      <x:c r="I353" s="9"/>
      <x:c r="J353" s="43"/>
      <x:c r="K353" s="9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9"/>
      <x:c r="B354" s="9"/>
      <x:c r="C354" s="43"/>
      <x:c r="D354" s="43"/>
      <x:c r="E354" s="43"/>
      <x:c r="F354" s="45"/>
      <x:c r="G354" s="45"/>
      <x:c r="H354" s="9"/>
      <x:c r="I354" s="9"/>
      <x:c r="J354" s="43"/>
      <x:c r="K354" s="9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9"/>
      <x:c r="B355" s="9"/>
      <x:c r="C355" s="43"/>
      <x:c r="D355" s="43"/>
      <x:c r="E355" s="43"/>
      <x:c r="F355" s="45"/>
      <x:c r="G355" s="45"/>
      <x:c r="H355" s="9"/>
      <x:c r="I355" s="9"/>
      <x:c r="J355" s="43"/>
      <x:c r="K355" s="9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9"/>
      <x:c r="B356" s="9"/>
      <x:c r="C356" s="43"/>
      <x:c r="D356" s="43"/>
      <x:c r="E356" s="43"/>
      <x:c r="F356" s="45"/>
      <x:c r="G356" s="45"/>
      <x:c r="H356" s="9"/>
      <x:c r="I356" s="9"/>
      <x:c r="J356" s="43"/>
      <x:c r="K356" s="9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9"/>
      <x:c r="B357" s="9"/>
      <x:c r="C357" s="43"/>
      <x:c r="D357" s="43"/>
      <x:c r="E357" s="43"/>
      <x:c r="F357" s="45"/>
      <x:c r="G357" s="45"/>
      <x:c r="H357" s="9"/>
      <x:c r="I357" s="9"/>
      <x:c r="J357" s="43"/>
      <x:c r="K357" s="9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9"/>
      <x:c r="B358" s="9"/>
      <x:c r="C358" s="43"/>
      <x:c r="D358" s="43"/>
      <x:c r="E358" s="43"/>
      <x:c r="F358" s="45"/>
      <x:c r="G358" s="45"/>
      <x:c r="H358" s="9"/>
      <x:c r="I358" s="9"/>
      <x:c r="J358" s="43"/>
      <x:c r="K358" s="9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9"/>
      <x:c r="B359" s="9"/>
      <x:c r="C359" s="43"/>
      <x:c r="D359" s="43"/>
      <x:c r="E359" s="43"/>
      <x:c r="F359" s="45"/>
      <x:c r="G359" s="45"/>
      <x:c r="H359" s="9"/>
      <x:c r="I359" s="9"/>
      <x:c r="J359" s="43"/>
      <x:c r="K359" s="9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9"/>
      <x:c r="B360" s="9"/>
      <x:c r="C360" s="43"/>
      <x:c r="D360" s="43"/>
      <x:c r="E360" s="43"/>
      <x:c r="F360" s="45"/>
      <x:c r="G360" s="45"/>
      <x:c r="H360" s="9"/>
      <x:c r="I360" s="9"/>
      <x:c r="J360" s="43"/>
      <x:c r="K360" s="9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9"/>
      <x:c r="B361" s="9"/>
      <x:c r="C361" s="43"/>
      <x:c r="D361" s="43"/>
      <x:c r="E361" s="43"/>
      <x:c r="F361" s="45"/>
      <x:c r="G361" s="45"/>
      <x:c r="H361" s="9"/>
      <x:c r="I361" s="9"/>
      <x:c r="J361" s="43"/>
      <x:c r="K361" s="9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9"/>
      <x:c r="B362" s="9"/>
      <x:c r="C362" s="43"/>
      <x:c r="D362" s="43"/>
      <x:c r="E362" s="43"/>
      <x:c r="F362" s="45"/>
      <x:c r="G362" s="45"/>
      <x:c r="H362" s="9"/>
      <x:c r="I362" s="9"/>
      <x:c r="J362" s="43"/>
      <x:c r="K362" s="9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9"/>
      <x:c r="B363" s="9"/>
      <x:c r="C363" s="43"/>
      <x:c r="D363" s="43"/>
      <x:c r="E363" s="43"/>
      <x:c r="F363" s="45"/>
      <x:c r="G363" s="45"/>
      <x:c r="H363" s="9"/>
      <x:c r="I363" s="9"/>
      <x:c r="J363" s="43"/>
      <x:c r="K363" s="9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9"/>
      <x:c r="B364" s="9"/>
      <x:c r="C364" s="43"/>
      <x:c r="D364" s="43"/>
      <x:c r="E364" s="43"/>
      <x:c r="F364" s="45"/>
      <x:c r="G364" s="45"/>
      <x:c r="H364" s="9"/>
      <x:c r="I364" s="9"/>
      <x:c r="J364" s="43"/>
      <x:c r="K364" s="9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9"/>
      <x:c r="B365" s="9"/>
      <x:c r="C365" s="43"/>
      <x:c r="D365" s="43"/>
      <x:c r="E365" s="43"/>
      <x:c r="F365" s="45"/>
      <x:c r="G365" s="45"/>
      <x:c r="H365" s="9"/>
      <x:c r="I365" s="9"/>
      <x:c r="J365" s="43"/>
      <x:c r="K365" s="9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9"/>
      <x:c r="B366" s="9"/>
      <x:c r="C366" s="43"/>
      <x:c r="D366" s="43"/>
      <x:c r="E366" s="43"/>
      <x:c r="F366" s="45"/>
      <x:c r="G366" s="45"/>
      <x:c r="H366" s="9"/>
      <x:c r="I366" s="9"/>
      <x:c r="J366" s="43"/>
      <x:c r="K366" s="9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9"/>
      <x:c r="B367" s="9"/>
      <x:c r="C367" s="43"/>
      <x:c r="D367" s="43"/>
      <x:c r="E367" s="43"/>
      <x:c r="F367" s="45"/>
      <x:c r="G367" s="45"/>
      <x:c r="H367" s="9"/>
      <x:c r="I367" s="9"/>
      <x:c r="J367" s="43"/>
      <x:c r="K367" s="9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9"/>
      <x:c r="B368" s="9"/>
      <x:c r="C368" s="43"/>
      <x:c r="D368" s="43"/>
      <x:c r="E368" s="43"/>
      <x:c r="F368" s="45"/>
      <x:c r="G368" s="45"/>
      <x:c r="H368" s="9"/>
      <x:c r="I368" s="9"/>
      <x:c r="J368" s="43"/>
      <x:c r="K368" s="9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9"/>
      <x:c r="B369" s="9"/>
      <x:c r="C369" s="43"/>
      <x:c r="D369" s="43"/>
      <x:c r="E369" s="43"/>
      <x:c r="F369" s="45"/>
      <x:c r="G369" s="45"/>
      <x:c r="H369" s="9"/>
      <x:c r="I369" s="9"/>
      <x:c r="J369" s="43"/>
      <x:c r="K369" s="9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9"/>
      <x:c r="B370" s="9"/>
      <x:c r="C370" s="43"/>
      <x:c r="D370" s="43"/>
      <x:c r="E370" s="43"/>
      <x:c r="F370" s="45"/>
      <x:c r="G370" s="45"/>
      <x:c r="H370" s="9"/>
      <x:c r="I370" s="9"/>
      <x:c r="J370" s="43"/>
      <x:c r="K370" s="9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9"/>
      <x:c r="B371" s="9"/>
      <x:c r="C371" s="43"/>
      <x:c r="D371" s="43"/>
      <x:c r="E371" s="43"/>
      <x:c r="F371" s="45"/>
      <x:c r="G371" s="45"/>
      <x:c r="H371" s="9"/>
      <x:c r="I371" s="9"/>
      <x:c r="J371" s="43"/>
      <x:c r="K371" s="9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9"/>
      <x:c r="B372" s="9"/>
      <x:c r="C372" s="43"/>
      <x:c r="D372" s="43"/>
      <x:c r="E372" s="43"/>
      <x:c r="F372" s="45"/>
      <x:c r="G372" s="45"/>
      <x:c r="H372" s="9"/>
      <x:c r="I372" s="9"/>
      <x:c r="J372" s="43"/>
      <x:c r="K372" s="9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9"/>
      <x:c r="B373" s="9"/>
      <x:c r="C373" s="43"/>
      <x:c r="D373" s="43"/>
      <x:c r="E373" s="43"/>
      <x:c r="F373" s="45"/>
      <x:c r="G373" s="45"/>
      <x:c r="H373" s="9"/>
      <x:c r="I373" s="9"/>
      <x:c r="J373" s="43"/>
      <x:c r="K373" s="9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9"/>
      <x:c r="B374" s="9"/>
      <x:c r="C374" s="43"/>
      <x:c r="D374" s="43"/>
      <x:c r="E374" s="43"/>
      <x:c r="F374" s="45"/>
      <x:c r="G374" s="45"/>
      <x:c r="H374" s="9"/>
      <x:c r="I374" s="9"/>
      <x:c r="J374" s="43"/>
      <x:c r="K374" s="9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9"/>
      <x:c r="B375" s="9"/>
      <x:c r="C375" s="43"/>
      <x:c r="D375" s="43"/>
      <x:c r="E375" s="43"/>
      <x:c r="F375" s="45"/>
      <x:c r="G375" s="45"/>
      <x:c r="H375" s="9"/>
      <x:c r="I375" s="9"/>
      <x:c r="J375" s="43"/>
      <x:c r="K375" s="9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9"/>
      <x:c r="B376" s="9"/>
      <x:c r="C376" s="43"/>
      <x:c r="D376" s="43"/>
      <x:c r="E376" s="43"/>
      <x:c r="F376" s="45"/>
      <x:c r="G376" s="45"/>
      <x:c r="H376" s="9"/>
      <x:c r="I376" s="9"/>
      <x:c r="J376" s="43"/>
      <x:c r="K376" s="9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9"/>
      <x:c r="B377" s="9"/>
      <x:c r="C377" s="43"/>
      <x:c r="D377" s="43"/>
      <x:c r="E377" s="43"/>
      <x:c r="F377" s="45"/>
      <x:c r="G377" s="45"/>
      <x:c r="H377" s="9"/>
      <x:c r="I377" s="9"/>
      <x:c r="J377" s="43"/>
      <x:c r="K377" s="9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9"/>
      <x:c r="B378" s="9"/>
      <x:c r="C378" s="43"/>
      <x:c r="D378" s="43"/>
      <x:c r="E378" s="43"/>
      <x:c r="F378" s="45"/>
      <x:c r="G378" s="45"/>
      <x:c r="H378" s="9"/>
      <x:c r="I378" s="9"/>
      <x:c r="J378" s="43"/>
      <x:c r="K378" s="9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9"/>
      <x:c r="B379" s="9"/>
      <x:c r="C379" s="43"/>
      <x:c r="D379" s="43"/>
      <x:c r="E379" s="43"/>
      <x:c r="F379" s="45"/>
      <x:c r="G379" s="45"/>
      <x:c r="H379" s="9"/>
      <x:c r="I379" s="9"/>
      <x:c r="J379" s="43"/>
      <x:c r="K379" s="9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9"/>
      <x:c r="B380" s="9"/>
      <x:c r="C380" s="43"/>
      <x:c r="D380" s="43"/>
      <x:c r="E380" s="43"/>
      <x:c r="F380" s="45"/>
      <x:c r="G380" s="45"/>
      <x:c r="H380" s="9"/>
      <x:c r="I380" s="9"/>
      <x:c r="J380" s="43"/>
      <x:c r="K380" s="9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9"/>
      <x:c r="B381" s="9"/>
      <x:c r="C381" s="43"/>
      <x:c r="D381" s="43"/>
      <x:c r="E381" s="43"/>
      <x:c r="F381" s="45"/>
      <x:c r="G381" s="45"/>
      <x:c r="H381" s="9"/>
      <x:c r="I381" s="9"/>
      <x:c r="J381" s="43"/>
      <x:c r="K381" s="9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9"/>
      <x:c r="B382" s="9"/>
      <x:c r="C382" s="43"/>
      <x:c r="D382" s="43"/>
      <x:c r="E382" s="43"/>
      <x:c r="F382" s="45"/>
      <x:c r="G382" s="45"/>
      <x:c r="H382" s="9"/>
      <x:c r="I382" s="9"/>
      <x:c r="J382" s="43"/>
      <x:c r="K382" s="9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9"/>
      <x:c r="B383" s="9"/>
      <x:c r="C383" s="43"/>
      <x:c r="D383" s="43"/>
      <x:c r="E383" s="43"/>
      <x:c r="F383" s="45"/>
      <x:c r="G383" s="45"/>
      <x:c r="H383" s="9"/>
      <x:c r="I383" s="9"/>
      <x:c r="J383" s="43"/>
      <x:c r="K383" s="9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9"/>
      <x:c r="B384" s="9"/>
      <x:c r="C384" s="43"/>
      <x:c r="D384" s="43"/>
      <x:c r="E384" s="43"/>
      <x:c r="F384" s="45"/>
      <x:c r="G384" s="45"/>
      <x:c r="H384" s="9"/>
      <x:c r="I384" s="9"/>
      <x:c r="J384" s="43"/>
      <x:c r="K384" s="9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9"/>
      <x:c r="B385" s="9"/>
      <x:c r="C385" s="43"/>
      <x:c r="D385" s="43"/>
      <x:c r="E385" s="43"/>
      <x:c r="F385" s="45"/>
      <x:c r="G385" s="45"/>
      <x:c r="H385" s="9"/>
      <x:c r="I385" s="9"/>
      <x:c r="J385" s="43"/>
      <x:c r="K385" s="9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9"/>
      <x:c r="B386" s="9"/>
      <x:c r="C386" s="43"/>
      <x:c r="D386" s="43"/>
      <x:c r="E386" s="43"/>
      <x:c r="F386" s="45"/>
      <x:c r="G386" s="45"/>
      <x:c r="H386" s="9"/>
      <x:c r="I386" s="9"/>
      <x:c r="J386" s="43"/>
      <x:c r="K386" s="9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9"/>
      <x:c r="B387" s="9"/>
      <x:c r="C387" s="43"/>
      <x:c r="D387" s="43"/>
      <x:c r="E387" s="43"/>
      <x:c r="F387" s="45"/>
      <x:c r="G387" s="45"/>
      <x:c r="H387" s="9"/>
      <x:c r="I387" s="9"/>
      <x:c r="J387" s="43"/>
      <x:c r="K387" s="9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9"/>
      <x:c r="B388" s="9"/>
      <x:c r="C388" s="43"/>
      <x:c r="D388" s="43"/>
      <x:c r="E388" s="43"/>
      <x:c r="F388" s="45"/>
      <x:c r="G388" s="45"/>
      <x:c r="H388" s="9"/>
      <x:c r="I388" s="9"/>
      <x:c r="J388" s="43"/>
      <x:c r="K388" s="9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9"/>
      <x:c r="B389" s="9"/>
      <x:c r="C389" s="43"/>
      <x:c r="D389" s="43"/>
      <x:c r="E389" s="43"/>
      <x:c r="F389" s="45"/>
      <x:c r="G389" s="45"/>
      <x:c r="H389" s="9"/>
      <x:c r="I389" s="9"/>
      <x:c r="J389" s="43"/>
      <x:c r="K389" s="9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9"/>
      <x:c r="B390" s="9"/>
      <x:c r="C390" s="43"/>
      <x:c r="D390" s="43"/>
      <x:c r="E390" s="43"/>
      <x:c r="F390" s="45"/>
      <x:c r="G390" s="45"/>
      <x:c r="H390" s="9"/>
      <x:c r="I390" s="9"/>
      <x:c r="J390" s="43"/>
      <x:c r="K390" s="9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9"/>
      <x:c r="B391" s="9"/>
      <x:c r="C391" s="43"/>
      <x:c r="D391" s="43"/>
      <x:c r="E391" s="43"/>
      <x:c r="F391" s="45"/>
      <x:c r="G391" s="45"/>
      <x:c r="H391" s="9"/>
      <x:c r="I391" s="9"/>
      <x:c r="J391" s="43"/>
      <x:c r="K391" s="9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9"/>
      <x:c r="B392" s="9"/>
      <x:c r="C392" s="43"/>
      <x:c r="D392" s="43"/>
      <x:c r="E392" s="43"/>
      <x:c r="F392" s="45"/>
      <x:c r="G392" s="45"/>
      <x:c r="H392" s="9"/>
      <x:c r="I392" s="9"/>
      <x:c r="J392" s="43"/>
      <x:c r="K392" s="9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9"/>
      <x:c r="B393" s="9"/>
      <x:c r="C393" s="43"/>
      <x:c r="D393" s="43"/>
      <x:c r="E393" s="43"/>
      <x:c r="F393" s="45"/>
      <x:c r="G393" s="45"/>
      <x:c r="H393" s="9"/>
      <x:c r="I393" s="9"/>
      <x:c r="J393" s="43"/>
      <x:c r="K393" s="9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9"/>
      <x:c r="B394" s="9"/>
      <x:c r="C394" s="43"/>
      <x:c r="D394" s="43"/>
      <x:c r="E394" s="43"/>
      <x:c r="F394" s="45"/>
      <x:c r="G394" s="45"/>
      <x:c r="H394" s="9"/>
      <x:c r="I394" s="9"/>
      <x:c r="J394" s="43"/>
      <x:c r="K394" s="9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9"/>
      <x:c r="B395" s="9"/>
      <x:c r="C395" s="43"/>
      <x:c r="D395" s="43"/>
      <x:c r="E395" s="43"/>
      <x:c r="F395" s="45"/>
      <x:c r="G395" s="45"/>
      <x:c r="H395" s="9"/>
      <x:c r="I395" s="9"/>
      <x:c r="J395" s="43"/>
      <x:c r="K395" s="9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9"/>
      <x:c r="B396" s="9"/>
      <x:c r="C396" s="43"/>
      <x:c r="D396" s="43"/>
      <x:c r="E396" s="43"/>
      <x:c r="F396" s="45"/>
      <x:c r="G396" s="45"/>
      <x:c r="H396" s="9"/>
      <x:c r="I396" s="9"/>
      <x:c r="J396" s="43"/>
      <x:c r="K396" s="9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9"/>
      <x:c r="B397" s="9"/>
      <x:c r="C397" s="43"/>
      <x:c r="D397" s="43"/>
      <x:c r="E397" s="43"/>
      <x:c r="F397" s="45"/>
      <x:c r="G397" s="45"/>
      <x:c r="H397" s="9"/>
      <x:c r="I397" s="9"/>
      <x:c r="J397" s="43"/>
      <x:c r="K397" s="9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9"/>
      <x:c r="B398" s="9"/>
      <x:c r="C398" s="43"/>
      <x:c r="D398" s="43"/>
      <x:c r="E398" s="43"/>
      <x:c r="F398" s="45"/>
      <x:c r="G398" s="45"/>
      <x:c r="H398" s="9"/>
      <x:c r="I398" s="9"/>
      <x:c r="J398" s="43"/>
      <x:c r="K398" s="9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9"/>
      <x:c r="B399" s="9"/>
      <x:c r="C399" s="43"/>
      <x:c r="D399" s="43"/>
      <x:c r="E399" s="43"/>
      <x:c r="F399" s="45"/>
      <x:c r="G399" s="45"/>
      <x:c r="H399" s="9"/>
      <x:c r="I399" s="9"/>
      <x:c r="J399" s="43"/>
      <x:c r="K399" s="9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9"/>
      <x:c r="B400" s="9"/>
      <x:c r="C400" s="43"/>
      <x:c r="D400" s="43"/>
      <x:c r="E400" s="43"/>
      <x:c r="F400" s="45"/>
      <x:c r="G400" s="45"/>
      <x:c r="H400" s="9"/>
      <x:c r="I400" s="9"/>
      <x:c r="J400" s="43"/>
      <x:c r="K400" s="9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9"/>
      <x:c r="B401" s="9"/>
      <x:c r="C401" s="43"/>
      <x:c r="D401" s="43"/>
      <x:c r="E401" s="43"/>
      <x:c r="F401" s="45"/>
      <x:c r="G401" s="45"/>
      <x:c r="H401" s="9"/>
      <x:c r="I401" s="9"/>
      <x:c r="J401" s="43"/>
      <x:c r="K401" s="9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9"/>
      <x:c r="B402" s="9"/>
      <x:c r="C402" s="43"/>
      <x:c r="D402" s="43"/>
      <x:c r="E402" s="43"/>
      <x:c r="F402" s="45"/>
      <x:c r="G402" s="45"/>
      <x:c r="H402" s="9"/>
      <x:c r="I402" s="9"/>
      <x:c r="J402" s="43"/>
      <x:c r="K402" s="9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9"/>
      <x:c r="B403" s="9"/>
      <x:c r="C403" s="43"/>
      <x:c r="D403" s="43"/>
      <x:c r="E403" s="43"/>
      <x:c r="F403" s="45"/>
      <x:c r="G403" s="45"/>
      <x:c r="H403" s="9"/>
      <x:c r="I403" s="9"/>
      <x:c r="J403" s="43"/>
      <x:c r="K403" s="9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9"/>
      <x:c r="B404" s="9"/>
      <x:c r="C404" s="43"/>
      <x:c r="D404" s="43"/>
      <x:c r="E404" s="43"/>
      <x:c r="F404" s="45"/>
      <x:c r="G404" s="45"/>
      <x:c r="H404" s="9"/>
      <x:c r="I404" s="9"/>
      <x:c r="J404" s="43"/>
      <x:c r="K404" s="9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9"/>
      <x:c r="B405" s="9"/>
      <x:c r="C405" s="43"/>
      <x:c r="D405" s="43"/>
      <x:c r="E405" s="43"/>
      <x:c r="F405" s="45"/>
      <x:c r="G405" s="45"/>
      <x:c r="H405" s="9"/>
      <x:c r="I405" s="9"/>
      <x:c r="J405" s="43"/>
      <x:c r="K405" s="9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9"/>
      <x:c r="B406" s="9"/>
      <x:c r="C406" s="43"/>
      <x:c r="D406" s="43"/>
      <x:c r="E406" s="43"/>
      <x:c r="F406" s="45"/>
      <x:c r="G406" s="45"/>
      <x:c r="H406" s="9"/>
      <x:c r="I406" s="9"/>
      <x:c r="J406" s="43"/>
      <x:c r="K406" s="9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9"/>
      <x:c r="B407" s="9"/>
      <x:c r="C407" s="43"/>
      <x:c r="D407" s="43"/>
      <x:c r="E407" s="43"/>
      <x:c r="F407" s="45"/>
      <x:c r="G407" s="45"/>
      <x:c r="H407" s="9"/>
      <x:c r="I407" s="9"/>
      <x:c r="J407" s="43"/>
      <x:c r="K407" s="9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9"/>
      <x:c r="B408" s="9"/>
      <x:c r="C408" s="43"/>
      <x:c r="D408" s="43"/>
      <x:c r="E408" s="43"/>
      <x:c r="F408" s="45"/>
      <x:c r="G408" s="45"/>
      <x:c r="H408" s="9"/>
      <x:c r="I408" s="9"/>
      <x:c r="J408" s="43"/>
      <x:c r="K408" s="9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9"/>
      <x:c r="B409" s="9"/>
      <x:c r="C409" s="43"/>
      <x:c r="D409" s="43"/>
      <x:c r="E409" s="43"/>
      <x:c r="F409" s="45"/>
      <x:c r="G409" s="45"/>
      <x:c r="H409" s="9"/>
      <x:c r="I409" s="9"/>
      <x:c r="J409" s="43"/>
      <x:c r="K409" s="9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9"/>
      <x:c r="B410" s="9"/>
      <x:c r="C410" s="43"/>
      <x:c r="D410" s="43"/>
      <x:c r="E410" s="43"/>
      <x:c r="F410" s="45"/>
      <x:c r="G410" s="45"/>
      <x:c r="H410" s="9"/>
      <x:c r="I410" s="9"/>
      <x:c r="J410" s="43"/>
      <x:c r="K410" s="9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9"/>
      <x:c r="B411" s="9"/>
      <x:c r="C411" s="43"/>
      <x:c r="D411" s="43"/>
      <x:c r="E411" s="43"/>
      <x:c r="F411" s="45"/>
      <x:c r="G411" s="45"/>
      <x:c r="H411" s="9"/>
      <x:c r="I411" s="9"/>
      <x:c r="J411" s="43"/>
      <x:c r="K411" s="9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9"/>
      <x:c r="B412" s="9"/>
      <x:c r="C412" s="43"/>
      <x:c r="D412" s="43"/>
      <x:c r="E412" s="43"/>
      <x:c r="F412" s="45"/>
      <x:c r="G412" s="45"/>
      <x:c r="H412" s="9"/>
      <x:c r="I412" s="9"/>
      <x:c r="J412" s="43"/>
      <x:c r="K412" s="9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9"/>
      <x:c r="B413" s="9"/>
      <x:c r="C413" s="43"/>
      <x:c r="D413" s="43"/>
      <x:c r="E413" s="43"/>
      <x:c r="F413" s="45"/>
      <x:c r="G413" s="45"/>
      <x:c r="H413" s="9"/>
      <x:c r="I413" s="9"/>
      <x:c r="J413" s="43"/>
      <x:c r="K413" s="9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9"/>
      <x:c r="B414" s="9"/>
      <x:c r="C414" s="43"/>
      <x:c r="D414" s="43"/>
      <x:c r="E414" s="43"/>
      <x:c r="F414" s="45"/>
      <x:c r="G414" s="45"/>
      <x:c r="H414" s="9"/>
      <x:c r="I414" s="9"/>
      <x:c r="J414" s="43"/>
      <x:c r="K414" s="9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9"/>
      <x:c r="B415" s="9"/>
      <x:c r="C415" s="43"/>
      <x:c r="D415" s="43"/>
      <x:c r="E415" s="43"/>
      <x:c r="F415" s="45"/>
      <x:c r="G415" s="45"/>
      <x:c r="H415" s="9"/>
      <x:c r="I415" s="9"/>
      <x:c r="J415" s="43"/>
      <x:c r="K415" s="9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9"/>
      <x:c r="B416" s="9"/>
      <x:c r="C416" s="43"/>
      <x:c r="D416" s="43"/>
      <x:c r="E416" s="43"/>
      <x:c r="F416" s="45"/>
      <x:c r="G416" s="45"/>
      <x:c r="H416" s="9"/>
      <x:c r="I416" s="9"/>
      <x:c r="J416" s="43"/>
      <x:c r="K416" s="9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9"/>
      <x:c r="B417" s="9"/>
      <x:c r="C417" s="43"/>
      <x:c r="D417" s="43"/>
      <x:c r="E417" s="43"/>
      <x:c r="F417" s="45"/>
      <x:c r="G417" s="45"/>
      <x:c r="H417" s="9"/>
      <x:c r="I417" s="9"/>
      <x:c r="J417" s="43"/>
      <x:c r="K417" s="9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9"/>
      <x:c r="B418" s="9"/>
      <x:c r="C418" s="43"/>
      <x:c r="D418" s="43"/>
      <x:c r="E418" s="43"/>
      <x:c r="F418" s="45"/>
      <x:c r="G418" s="45"/>
      <x:c r="H418" s="9"/>
      <x:c r="I418" s="9"/>
      <x:c r="J418" s="43"/>
      <x:c r="K418" s="9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9"/>
      <x:c r="B419" s="9"/>
      <x:c r="C419" s="43"/>
      <x:c r="D419" s="43"/>
      <x:c r="E419" s="43"/>
      <x:c r="F419" s="45"/>
      <x:c r="G419" s="45"/>
      <x:c r="H419" s="9"/>
      <x:c r="I419" s="9"/>
      <x:c r="J419" s="43"/>
      <x:c r="K419" s="9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9"/>
      <x:c r="B420" s="9"/>
      <x:c r="C420" s="43"/>
      <x:c r="D420" s="43"/>
      <x:c r="E420" s="43"/>
      <x:c r="F420" s="45"/>
      <x:c r="G420" s="45"/>
      <x:c r="H420" s="9"/>
      <x:c r="I420" s="9"/>
      <x:c r="J420" s="43"/>
      <x:c r="K420" s="9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9"/>
      <x:c r="B421" s="9"/>
      <x:c r="C421" s="43"/>
      <x:c r="D421" s="43"/>
      <x:c r="E421" s="43"/>
      <x:c r="F421" s="45"/>
      <x:c r="G421" s="45"/>
      <x:c r="H421" s="9"/>
      <x:c r="I421" s="9"/>
      <x:c r="J421" s="43"/>
      <x:c r="K421" s="9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9"/>
      <x:c r="B422" s="9"/>
      <x:c r="C422" s="43"/>
      <x:c r="D422" s="43"/>
      <x:c r="E422" s="43"/>
      <x:c r="F422" s="45"/>
      <x:c r="G422" s="45"/>
      <x:c r="H422" s="9"/>
      <x:c r="I422" s="9"/>
      <x:c r="J422" s="43"/>
      <x:c r="K422" s="9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9"/>
      <x:c r="B423" s="9"/>
      <x:c r="C423" s="43"/>
      <x:c r="D423" s="43"/>
      <x:c r="E423" s="43"/>
      <x:c r="F423" s="45"/>
      <x:c r="G423" s="45"/>
      <x:c r="H423" s="9"/>
      <x:c r="I423" s="9"/>
      <x:c r="J423" s="43"/>
      <x:c r="K423" s="9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9"/>
      <x:c r="B424" s="9"/>
      <x:c r="C424" s="43"/>
      <x:c r="D424" s="43"/>
      <x:c r="E424" s="43"/>
      <x:c r="F424" s="45"/>
      <x:c r="G424" s="45"/>
      <x:c r="H424" s="9"/>
      <x:c r="I424" s="9"/>
      <x:c r="J424" s="43"/>
      <x:c r="K424" s="9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9"/>
      <x:c r="B425" s="9"/>
      <x:c r="C425" s="43"/>
      <x:c r="D425" s="43"/>
      <x:c r="E425" s="43"/>
      <x:c r="F425" s="45"/>
      <x:c r="G425" s="45"/>
      <x:c r="H425" s="9"/>
      <x:c r="I425" s="9"/>
      <x:c r="J425" s="43"/>
      <x:c r="K425" s="9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9"/>
      <x:c r="B426" s="9"/>
      <x:c r="C426" s="43"/>
      <x:c r="D426" s="43"/>
      <x:c r="E426" s="43"/>
      <x:c r="F426" s="45"/>
      <x:c r="G426" s="45"/>
      <x:c r="H426" s="9"/>
      <x:c r="I426" s="9"/>
      <x:c r="J426" s="43"/>
      <x:c r="K426" s="9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9"/>
      <x:c r="B427" s="9"/>
      <x:c r="C427" s="43"/>
      <x:c r="D427" s="43"/>
      <x:c r="E427" s="43"/>
      <x:c r="F427" s="45"/>
      <x:c r="G427" s="45"/>
      <x:c r="H427" s="9"/>
      <x:c r="I427" s="9"/>
      <x:c r="J427" s="43"/>
      <x:c r="K427" s="9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9"/>
      <x:c r="B428" s="9"/>
      <x:c r="C428" s="43"/>
      <x:c r="D428" s="43"/>
      <x:c r="E428" s="43"/>
      <x:c r="F428" s="45"/>
      <x:c r="G428" s="45"/>
      <x:c r="H428" s="9"/>
      <x:c r="I428" s="9"/>
      <x:c r="J428" s="43"/>
      <x:c r="K428" s="9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9"/>
      <x:c r="B429" s="9"/>
      <x:c r="C429" s="43"/>
      <x:c r="D429" s="43"/>
      <x:c r="E429" s="43"/>
      <x:c r="F429" s="45"/>
      <x:c r="G429" s="45"/>
      <x:c r="H429" s="9"/>
      <x:c r="I429" s="9"/>
      <x:c r="J429" s="43"/>
      <x:c r="K429" s="9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9"/>
      <x:c r="B430" s="9"/>
      <x:c r="C430" s="43"/>
      <x:c r="D430" s="43"/>
      <x:c r="E430" s="43"/>
      <x:c r="F430" s="45"/>
      <x:c r="G430" s="45"/>
      <x:c r="H430" s="9"/>
      <x:c r="I430" s="9"/>
      <x:c r="J430" s="43"/>
      <x:c r="K430" s="9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9"/>
      <x:c r="B431" s="9"/>
      <x:c r="C431" s="43"/>
      <x:c r="D431" s="43"/>
      <x:c r="E431" s="43"/>
      <x:c r="F431" s="45"/>
      <x:c r="G431" s="45"/>
      <x:c r="H431" s="9"/>
      <x:c r="I431" s="9"/>
      <x:c r="J431" s="43"/>
      <x:c r="K431" s="9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9"/>
      <x:c r="B432" s="9"/>
      <x:c r="C432" s="43"/>
      <x:c r="D432" s="43"/>
      <x:c r="E432" s="43"/>
      <x:c r="F432" s="45"/>
      <x:c r="G432" s="45"/>
      <x:c r="H432" s="9"/>
      <x:c r="I432" s="9"/>
      <x:c r="J432" s="43"/>
      <x:c r="K432" s="9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9"/>
      <x:c r="B433" s="9"/>
      <x:c r="C433" s="43"/>
      <x:c r="D433" s="43"/>
      <x:c r="E433" s="43"/>
      <x:c r="F433" s="45"/>
      <x:c r="G433" s="45"/>
      <x:c r="H433" s="9"/>
      <x:c r="I433" s="9"/>
      <x:c r="J433" s="43"/>
      <x:c r="K433" s="9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9"/>
      <x:c r="B434" s="9"/>
      <x:c r="C434" s="43"/>
      <x:c r="D434" s="43"/>
      <x:c r="E434" s="43"/>
      <x:c r="F434" s="45"/>
      <x:c r="G434" s="45"/>
      <x:c r="H434" s="9"/>
      <x:c r="I434" s="9"/>
      <x:c r="J434" s="43"/>
      <x:c r="K434" s="9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9"/>
      <x:c r="B435" s="9"/>
      <x:c r="C435" s="43"/>
      <x:c r="D435" s="43"/>
      <x:c r="E435" s="43"/>
      <x:c r="F435" s="45"/>
      <x:c r="G435" s="45"/>
      <x:c r="H435" s="9"/>
      <x:c r="I435" s="9"/>
      <x:c r="J435" s="43"/>
      <x:c r="K435" s="9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9"/>
      <x:c r="B436" s="9"/>
      <x:c r="C436" s="43"/>
      <x:c r="D436" s="43"/>
      <x:c r="E436" s="43"/>
      <x:c r="F436" s="45"/>
      <x:c r="G436" s="45"/>
      <x:c r="H436" s="9"/>
      <x:c r="I436" s="9"/>
      <x:c r="J436" s="43"/>
      <x:c r="K436" s="9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9"/>
      <x:c r="B437" s="9"/>
      <x:c r="C437" s="43"/>
      <x:c r="D437" s="43"/>
      <x:c r="E437" s="43"/>
      <x:c r="F437" s="45"/>
      <x:c r="G437" s="45"/>
      <x:c r="H437" s="9"/>
      <x:c r="I437" s="9"/>
      <x:c r="J437" s="43"/>
      <x:c r="K437" s="9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9"/>
      <x:c r="B438" s="9"/>
      <x:c r="C438" s="43"/>
      <x:c r="D438" s="43"/>
      <x:c r="E438" s="43"/>
      <x:c r="F438" s="45"/>
      <x:c r="G438" s="45"/>
      <x:c r="H438" s="9"/>
      <x:c r="I438" s="9"/>
      <x:c r="J438" s="43"/>
      <x:c r="K438" s="9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9"/>
      <x:c r="B439" s="9"/>
      <x:c r="C439" s="43"/>
      <x:c r="D439" s="43"/>
      <x:c r="E439" s="43"/>
      <x:c r="F439" s="45"/>
      <x:c r="G439" s="45"/>
      <x:c r="H439" s="9"/>
      <x:c r="I439" s="9"/>
      <x:c r="J439" s="43"/>
      <x:c r="K439" s="9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9"/>
      <x:c r="B440" s="9"/>
      <x:c r="C440" s="43"/>
      <x:c r="D440" s="43"/>
      <x:c r="E440" s="43"/>
      <x:c r="F440" s="45"/>
      <x:c r="G440" s="45"/>
      <x:c r="H440" s="9"/>
      <x:c r="I440" s="9"/>
      <x:c r="J440" s="43"/>
      <x:c r="K440" s="9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9"/>
      <x:c r="B441" s="9"/>
      <x:c r="C441" s="43"/>
      <x:c r="D441" s="43"/>
      <x:c r="E441" s="43"/>
      <x:c r="F441" s="45"/>
      <x:c r="G441" s="45"/>
      <x:c r="H441" s="9"/>
      <x:c r="I441" s="9"/>
      <x:c r="J441" s="43"/>
      <x:c r="K441" s="9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9"/>
      <x:c r="B442" s="9"/>
      <x:c r="C442" s="43"/>
      <x:c r="D442" s="43"/>
      <x:c r="E442" s="43"/>
      <x:c r="F442" s="45"/>
      <x:c r="G442" s="45"/>
      <x:c r="H442" s="9"/>
      <x:c r="I442" s="9"/>
      <x:c r="J442" s="43"/>
      <x:c r="K442" s="9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9"/>
      <x:c r="B443" s="9"/>
      <x:c r="C443" s="43"/>
      <x:c r="D443" s="43"/>
      <x:c r="E443" s="43"/>
      <x:c r="F443" s="45"/>
      <x:c r="G443" s="45"/>
      <x:c r="H443" s="9"/>
      <x:c r="I443" s="9"/>
      <x:c r="J443" s="43"/>
      <x:c r="K443" s="9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9"/>
      <x:c r="B444" s="9"/>
      <x:c r="C444" s="43"/>
      <x:c r="D444" s="43"/>
      <x:c r="E444" s="43"/>
      <x:c r="F444" s="45"/>
      <x:c r="G444" s="45"/>
      <x:c r="H444" s="9"/>
      <x:c r="I444" s="9"/>
      <x:c r="J444" s="43"/>
      <x:c r="K444" s="9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9"/>
      <x:c r="B445" s="9"/>
      <x:c r="C445" s="43"/>
      <x:c r="D445" s="43"/>
      <x:c r="E445" s="43"/>
      <x:c r="F445" s="45"/>
      <x:c r="G445" s="45"/>
      <x:c r="H445" s="9"/>
      <x:c r="I445" s="9"/>
      <x:c r="J445" s="43"/>
      <x:c r="K445" s="9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9"/>
      <x:c r="B446" s="9"/>
      <x:c r="C446" s="43"/>
      <x:c r="D446" s="43"/>
      <x:c r="E446" s="43"/>
      <x:c r="F446" s="45"/>
      <x:c r="G446" s="45"/>
      <x:c r="H446" s="9"/>
      <x:c r="I446" s="9"/>
      <x:c r="J446" s="43"/>
      <x:c r="K446" s="9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9"/>
      <x:c r="B447" s="9"/>
      <x:c r="C447" s="43"/>
      <x:c r="D447" s="43"/>
      <x:c r="E447" s="43"/>
      <x:c r="F447" s="45"/>
      <x:c r="G447" s="45"/>
      <x:c r="H447" s="9"/>
      <x:c r="I447" s="9"/>
      <x:c r="J447" s="43"/>
      <x:c r="K447" s="9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9"/>
      <x:c r="B448" s="9"/>
      <x:c r="C448" s="43"/>
      <x:c r="D448" s="43"/>
      <x:c r="E448" s="43"/>
      <x:c r="F448" s="45"/>
      <x:c r="G448" s="45"/>
      <x:c r="H448" s="9"/>
      <x:c r="I448" s="9"/>
      <x:c r="J448" s="43"/>
      <x:c r="K448" s="9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9"/>
      <x:c r="B449" s="9"/>
      <x:c r="C449" s="43"/>
      <x:c r="D449" s="43"/>
      <x:c r="E449" s="43"/>
      <x:c r="F449" s="45"/>
      <x:c r="G449" s="45"/>
      <x:c r="H449" s="9"/>
      <x:c r="I449" s="9"/>
      <x:c r="J449" s="43"/>
      <x:c r="K449" s="9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9"/>
      <x:c r="B450" s="9"/>
      <x:c r="C450" s="43"/>
      <x:c r="D450" s="43"/>
      <x:c r="E450" s="43"/>
      <x:c r="F450" s="45"/>
      <x:c r="G450" s="45"/>
      <x:c r="H450" s="9"/>
      <x:c r="I450" s="9"/>
      <x:c r="J450" s="43"/>
      <x:c r="K450" s="9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9"/>
      <x:c r="B451" s="9"/>
      <x:c r="C451" s="43"/>
      <x:c r="D451" s="43"/>
      <x:c r="E451" s="43"/>
      <x:c r="F451" s="45"/>
      <x:c r="G451" s="45"/>
      <x:c r="H451" s="9"/>
      <x:c r="I451" s="9"/>
      <x:c r="J451" s="43"/>
      <x:c r="K451" s="9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9"/>
      <x:c r="B452" s="9"/>
      <x:c r="C452" s="43"/>
      <x:c r="D452" s="43"/>
      <x:c r="E452" s="43"/>
      <x:c r="F452" s="45"/>
      <x:c r="G452" s="45"/>
      <x:c r="H452" s="9"/>
      <x:c r="I452" s="9"/>
      <x:c r="J452" s="43"/>
      <x:c r="K452" s="9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9"/>
      <x:c r="B453" s="9"/>
      <x:c r="C453" s="43"/>
      <x:c r="D453" s="43"/>
      <x:c r="E453" s="43"/>
      <x:c r="F453" s="45"/>
      <x:c r="G453" s="45"/>
      <x:c r="H453" s="9"/>
      <x:c r="I453" s="9"/>
      <x:c r="J453" s="43"/>
      <x:c r="K453" s="9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9"/>
      <x:c r="B454" s="9"/>
      <x:c r="C454" s="43"/>
      <x:c r="D454" s="43"/>
      <x:c r="E454" s="43"/>
      <x:c r="F454" s="45"/>
      <x:c r="G454" s="45"/>
      <x:c r="H454" s="9"/>
      <x:c r="I454" s="9"/>
      <x:c r="J454" s="43"/>
      <x:c r="K454" s="9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9"/>
      <x:c r="B455" s="9"/>
      <x:c r="C455" s="43"/>
      <x:c r="D455" s="43"/>
      <x:c r="E455" s="43"/>
      <x:c r="F455" s="45"/>
      <x:c r="G455" s="45"/>
      <x:c r="H455" s="9"/>
      <x:c r="I455" s="9"/>
      <x:c r="J455" s="43"/>
      <x:c r="K455" s="9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9"/>
      <x:c r="B456" s="9"/>
      <x:c r="C456" s="43"/>
      <x:c r="D456" s="43"/>
      <x:c r="E456" s="43"/>
      <x:c r="F456" s="45"/>
      <x:c r="G456" s="45"/>
      <x:c r="H456" s="9"/>
      <x:c r="I456" s="9"/>
      <x:c r="J456" s="43"/>
      <x:c r="K456" s="9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9"/>
      <x:c r="B457" s="9"/>
      <x:c r="C457" s="43"/>
      <x:c r="D457" s="43"/>
      <x:c r="E457" s="43"/>
      <x:c r="F457" s="45"/>
      <x:c r="G457" s="45"/>
      <x:c r="H457" s="9"/>
      <x:c r="I457" s="9"/>
      <x:c r="J457" s="43"/>
      <x:c r="K457" s="9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9"/>
      <x:c r="B458" s="9"/>
      <x:c r="C458" s="43"/>
      <x:c r="D458" s="43"/>
      <x:c r="E458" s="43"/>
      <x:c r="F458" s="45"/>
      <x:c r="G458" s="45"/>
      <x:c r="H458" s="9"/>
      <x:c r="I458" s="9"/>
      <x:c r="J458" s="43"/>
      <x:c r="K458" s="9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9"/>
      <x:c r="B459" s="9"/>
      <x:c r="C459" s="43"/>
      <x:c r="D459" s="43"/>
      <x:c r="E459" s="43"/>
      <x:c r="F459" s="45"/>
      <x:c r="G459" s="45"/>
      <x:c r="H459" s="9"/>
      <x:c r="I459" s="9"/>
      <x:c r="J459" s="43"/>
      <x:c r="K459" s="9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9"/>
      <x:c r="B460" s="9"/>
      <x:c r="C460" s="43"/>
      <x:c r="D460" s="43"/>
      <x:c r="E460" s="43"/>
      <x:c r="F460" s="45"/>
      <x:c r="G460" s="45"/>
      <x:c r="H460" s="9"/>
      <x:c r="I460" s="9"/>
      <x:c r="J460" s="43"/>
      <x:c r="K460" s="9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9"/>
      <x:c r="B461" s="9"/>
      <x:c r="C461" s="43"/>
      <x:c r="D461" s="43"/>
      <x:c r="E461" s="43"/>
      <x:c r="F461" s="45"/>
      <x:c r="G461" s="45"/>
      <x:c r="H461" s="9"/>
      <x:c r="I461" s="9"/>
      <x:c r="J461" s="43"/>
      <x:c r="K461" s="9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9"/>
      <x:c r="B462" s="9"/>
      <x:c r="C462" s="43"/>
      <x:c r="D462" s="43"/>
      <x:c r="E462" s="43"/>
      <x:c r="F462" s="45"/>
      <x:c r="G462" s="45"/>
      <x:c r="H462" s="9"/>
      <x:c r="I462" s="9"/>
      <x:c r="J462" s="43"/>
      <x:c r="K462" s="9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9"/>
      <x:c r="B463" s="9"/>
      <x:c r="C463" s="43"/>
      <x:c r="D463" s="43"/>
      <x:c r="E463" s="43"/>
      <x:c r="F463" s="45"/>
      <x:c r="G463" s="45"/>
      <x:c r="H463" s="9"/>
      <x:c r="I463" s="9"/>
      <x:c r="J463" s="43"/>
      <x:c r="K463" s="9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9"/>
      <x:c r="B464" s="9"/>
      <x:c r="C464" s="43"/>
      <x:c r="D464" s="43"/>
      <x:c r="E464" s="43"/>
      <x:c r="F464" s="45"/>
      <x:c r="G464" s="45"/>
      <x:c r="H464" s="9"/>
      <x:c r="I464" s="9"/>
      <x:c r="J464" s="43"/>
      <x:c r="K464" s="9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9"/>
      <x:c r="B465" s="9"/>
      <x:c r="C465" s="43"/>
      <x:c r="D465" s="43"/>
      <x:c r="E465" s="43"/>
      <x:c r="F465" s="45"/>
      <x:c r="G465" s="45"/>
      <x:c r="H465" s="9"/>
      <x:c r="I465" s="9"/>
      <x:c r="J465" s="43"/>
      <x:c r="K465" s="9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9"/>
      <x:c r="B466" s="9"/>
      <x:c r="C466" s="43"/>
      <x:c r="D466" s="43"/>
      <x:c r="E466" s="43"/>
      <x:c r="F466" s="45"/>
      <x:c r="G466" s="45"/>
      <x:c r="H466" s="9"/>
      <x:c r="I466" s="9"/>
      <x:c r="J466" s="43"/>
      <x:c r="K466" s="9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9"/>
      <x:c r="B467" s="9"/>
      <x:c r="C467" s="43"/>
      <x:c r="D467" s="43"/>
      <x:c r="E467" s="43"/>
      <x:c r="F467" s="45"/>
      <x:c r="G467" s="45"/>
      <x:c r="H467" s="9"/>
      <x:c r="I467" s="9"/>
      <x:c r="J467" s="43"/>
      <x:c r="K467" s="9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9"/>
      <x:c r="B468" s="9"/>
      <x:c r="C468" s="43"/>
      <x:c r="D468" s="43"/>
      <x:c r="E468" s="43"/>
      <x:c r="F468" s="45"/>
      <x:c r="G468" s="45"/>
      <x:c r="H468" s="9"/>
      <x:c r="I468" s="9"/>
      <x:c r="J468" s="43"/>
      <x:c r="K468" s="9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9"/>
      <x:c r="B469" s="9"/>
      <x:c r="C469" s="43"/>
      <x:c r="D469" s="43"/>
      <x:c r="E469" s="43"/>
      <x:c r="F469" s="45"/>
      <x:c r="G469" s="45"/>
      <x:c r="H469" s="9"/>
      <x:c r="I469" s="9"/>
      <x:c r="J469" s="43"/>
      <x:c r="K469" s="9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9"/>
      <x:c r="B470" s="9"/>
      <x:c r="C470" s="43"/>
      <x:c r="D470" s="43"/>
      <x:c r="E470" s="43"/>
      <x:c r="F470" s="45"/>
      <x:c r="G470" s="45"/>
      <x:c r="H470" s="9"/>
      <x:c r="I470" s="9"/>
      <x:c r="J470" s="43"/>
      <x:c r="K470" s="9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9"/>
      <x:c r="B471" s="9"/>
      <x:c r="C471" s="43"/>
      <x:c r="D471" s="43"/>
      <x:c r="E471" s="43"/>
      <x:c r="F471" s="45"/>
      <x:c r="G471" s="45"/>
      <x:c r="H471" s="9"/>
      <x:c r="I471" s="9"/>
      <x:c r="J471" s="43"/>
      <x:c r="K471" s="9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9"/>
      <x:c r="B472" s="9"/>
      <x:c r="C472" s="43"/>
      <x:c r="D472" s="43"/>
      <x:c r="E472" s="43"/>
      <x:c r="F472" s="45"/>
      <x:c r="G472" s="45"/>
      <x:c r="H472" s="9"/>
      <x:c r="I472" s="9"/>
      <x:c r="J472" s="43"/>
      <x:c r="K472" s="9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9"/>
      <x:c r="B473" s="9"/>
      <x:c r="C473" s="43"/>
      <x:c r="D473" s="43"/>
      <x:c r="E473" s="43"/>
      <x:c r="F473" s="45"/>
      <x:c r="G473" s="45"/>
      <x:c r="H473" s="9"/>
      <x:c r="I473" s="9"/>
      <x:c r="J473" s="43"/>
      <x:c r="K473" s="9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9"/>
      <x:c r="B474" s="9"/>
      <x:c r="C474" s="43"/>
      <x:c r="D474" s="43"/>
      <x:c r="E474" s="43"/>
      <x:c r="F474" s="45"/>
      <x:c r="G474" s="45"/>
      <x:c r="H474" s="9"/>
      <x:c r="I474" s="9"/>
      <x:c r="J474" s="43"/>
      <x:c r="K474" s="9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9"/>
      <x:c r="B475" s="9"/>
      <x:c r="C475" s="43"/>
      <x:c r="D475" s="43"/>
      <x:c r="E475" s="43"/>
      <x:c r="F475" s="45"/>
      <x:c r="G475" s="45"/>
      <x:c r="H475" s="9"/>
      <x:c r="I475" s="9"/>
      <x:c r="J475" s="43"/>
      <x:c r="K475" s="9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9"/>
      <x:c r="B476" s="9"/>
      <x:c r="C476" s="43"/>
      <x:c r="D476" s="43"/>
      <x:c r="E476" s="43"/>
      <x:c r="F476" s="45"/>
      <x:c r="G476" s="45"/>
      <x:c r="H476" s="9"/>
      <x:c r="I476" s="9"/>
      <x:c r="J476" s="43"/>
      <x:c r="K476" s="9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9"/>
      <x:c r="B477" s="9"/>
      <x:c r="C477" s="43"/>
      <x:c r="D477" s="43"/>
      <x:c r="E477" s="43"/>
      <x:c r="F477" s="45"/>
      <x:c r="G477" s="45"/>
      <x:c r="H477" s="9"/>
      <x:c r="I477" s="9"/>
      <x:c r="J477" s="43"/>
      <x:c r="K477" s="9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9"/>
      <x:c r="B478" s="9"/>
      <x:c r="C478" s="43"/>
      <x:c r="D478" s="43"/>
      <x:c r="E478" s="43"/>
      <x:c r="F478" s="45"/>
      <x:c r="G478" s="45"/>
      <x:c r="H478" s="9"/>
      <x:c r="I478" s="9"/>
      <x:c r="J478" s="43"/>
      <x:c r="K478" s="9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9"/>
      <x:c r="B479" s="9"/>
      <x:c r="C479" s="43"/>
      <x:c r="D479" s="43"/>
      <x:c r="E479" s="43"/>
      <x:c r="F479" s="45"/>
      <x:c r="G479" s="45"/>
      <x:c r="H479" s="9"/>
      <x:c r="I479" s="9"/>
      <x:c r="J479" s="43"/>
      <x:c r="K479" s="9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9"/>
      <x:c r="B480" s="9"/>
      <x:c r="C480" s="43"/>
      <x:c r="D480" s="43"/>
      <x:c r="E480" s="43"/>
      <x:c r="F480" s="45"/>
      <x:c r="G480" s="45"/>
      <x:c r="H480" s="9"/>
      <x:c r="I480" s="9"/>
      <x:c r="J480" s="43"/>
      <x:c r="K480" s="9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9"/>
      <x:c r="B481" s="9"/>
      <x:c r="C481" s="43"/>
      <x:c r="D481" s="43"/>
      <x:c r="E481" s="43"/>
      <x:c r="F481" s="45"/>
      <x:c r="G481" s="45"/>
      <x:c r="H481" s="9"/>
      <x:c r="I481" s="9"/>
      <x:c r="J481" s="43"/>
      <x:c r="K481" s="9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9"/>
      <x:c r="B482" s="9"/>
      <x:c r="C482" s="43"/>
      <x:c r="D482" s="43"/>
      <x:c r="E482" s="43"/>
      <x:c r="F482" s="45"/>
      <x:c r="G482" s="45"/>
      <x:c r="H482" s="9"/>
      <x:c r="I482" s="9"/>
      <x:c r="J482" s="43"/>
      <x:c r="K482" s="9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9"/>
      <x:c r="B483" s="9"/>
      <x:c r="C483" s="43"/>
      <x:c r="D483" s="43"/>
      <x:c r="E483" s="43"/>
      <x:c r="F483" s="45"/>
      <x:c r="G483" s="45"/>
      <x:c r="H483" s="9"/>
      <x:c r="I483" s="9"/>
      <x:c r="J483" s="43"/>
      <x:c r="K483" s="9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9"/>
      <x:c r="B484" s="9"/>
      <x:c r="C484" s="43"/>
      <x:c r="D484" s="43"/>
      <x:c r="E484" s="43"/>
      <x:c r="F484" s="45"/>
      <x:c r="G484" s="45"/>
      <x:c r="H484" s="9"/>
      <x:c r="I484" s="9"/>
      <x:c r="J484" s="43"/>
      <x:c r="K484" s="9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9"/>
      <x:c r="B485" s="9"/>
      <x:c r="C485" s="43"/>
      <x:c r="D485" s="43"/>
      <x:c r="E485" s="43"/>
      <x:c r="F485" s="45"/>
      <x:c r="G485" s="45"/>
      <x:c r="H485" s="9"/>
      <x:c r="I485" s="9"/>
      <x:c r="J485" s="43"/>
      <x:c r="K485" s="9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9"/>
      <x:c r="B486" s="9"/>
      <x:c r="C486" s="43"/>
      <x:c r="D486" s="43"/>
      <x:c r="E486" s="43"/>
      <x:c r="F486" s="45"/>
      <x:c r="G486" s="45"/>
      <x:c r="H486" s="9"/>
      <x:c r="I486" s="9"/>
      <x:c r="J486" s="43"/>
      <x:c r="K486" s="9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9"/>
      <x:c r="B487" s="9"/>
      <x:c r="C487" s="43"/>
      <x:c r="D487" s="43"/>
      <x:c r="E487" s="43"/>
      <x:c r="F487" s="45"/>
      <x:c r="G487" s="45"/>
      <x:c r="H487" s="9"/>
      <x:c r="I487" s="9"/>
      <x:c r="J487" s="43"/>
      <x:c r="K487" s="9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9"/>
      <x:c r="B488" s="9"/>
      <x:c r="C488" s="43"/>
      <x:c r="D488" s="43"/>
      <x:c r="E488" s="43"/>
      <x:c r="F488" s="45"/>
      <x:c r="G488" s="45"/>
      <x:c r="H488" s="9"/>
      <x:c r="I488" s="9"/>
      <x:c r="J488" s="43"/>
      <x:c r="K488" s="9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9"/>
      <x:c r="B489" s="9"/>
      <x:c r="C489" s="43"/>
      <x:c r="D489" s="43"/>
      <x:c r="E489" s="43"/>
      <x:c r="F489" s="45"/>
      <x:c r="G489" s="45"/>
      <x:c r="H489" s="9"/>
      <x:c r="I489" s="9"/>
      <x:c r="J489" s="43"/>
      <x:c r="K489" s="9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9"/>
      <x:c r="B490" s="9"/>
      <x:c r="C490" s="43"/>
      <x:c r="D490" s="43"/>
      <x:c r="E490" s="43"/>
      <x:c r="F490" s="45"/>
      <x:c r="G490" s="45"/>
      <x:c r="H490" s="9"/>
      <x:c r="I490" s="9"/>
      <x:c r="J490" s="43"/>
      <x:c r="K490" s="9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9"/>
      <x:c r="B491" s="9"/>
      <x:c r="C491" s="43"/>
      <x:c r="D491" s="43"/>
      <x:c r="E491" s="43"/>
      <x:c r="F491" s="45"/>
      <x:c r="G491" s="45"/>
      <x:c r="H491" s="9"/>
      <x:c r="I491" s="9"/>
      <x:c r="J491" s="43"/>
      <x:c r="K491" s="9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9"/>
      <x:c r="B492" s="9"/>
      <x:c r="C492" s="43"/>
      <x:c r="D492" s="43"/>
      <x:c r="E492" s="43"/>
      <x:c r="F492" s="45"/>
      <x:c r="G492" s="45"/>
      <x:c r="H492" s="9"/>
      <x:c r="I492" s="9"/>
      <x:c r="J492" s="43"/>
      <x:c r="K492" s="9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9"/>
      <x:c r="B493" s="9"/>
      <x:c r="C493" s="43"/>
      <x:c r="D493" s="43"/>
      <x:c r="E493" s="43"/>
      <x:c r="F493" s="45"/>
      <x:c r="G493" s="45"/>
      <x:c r="H493" s="9"/>
      <x:c r="I493" s="9"/>
      <x:c r="J493" s="43"/>
      <x:c r="K493" s="9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9"/>
      <x:c r="B494" s="9"/>
      <x:c r="C494" s="43"/>
      <x:c r="D494" s="43"/>
      <x:c r="E494" s="43"/>
      <x:c r="F494" s="45"/>
      <x:c r="G494" s="45"/>
      <x:c r="H494" s="9"/>
      <x:c r="I494" s="9"/>
      <x:c r="J494" s="43"/>
      <x:c r="K494" s="9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9"/>
      <x:c r="B495" s="9"/>
      <x:c r="C495" s="43"/>
      <x:c r="D495" s="43"/>
      <x:c r="E495" s="43"/>
      <x:c r="F495" s="45"/>
      <x:c r="G495" s="45"/>
      <x:c r="H495" s="9"/>
      <x:c r="I495" s="9"/>
      <x:c r="J495" s="43"/>
      <x:c r="K495" s="9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9"/>
      <x:c r="B496" s="9"/>
      <x:c r="C496" s="43"/>
      <x:c r="D496" s="43"/>
      <x:c r="E496" s="43"/>
      <x:c r="F496" s="45"/>
      <x:c r="G496" s="45"/>
      <x:c r="H496" s="9"/>
      <x:c r="I496" s="9"/>
      <x:c r="J496" s="43"/>
      <x:c r="K496" s="9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9"/>
      <x:c r="B497" s="9"/>
      <x:c r="C497" s="43"/>
      <x:c r="D497" s="43"/>
      <x:c r="E497" s="43"/>
      <x:c r="F497" s="45"/>
      <x:c r="G497" s="45"/>
      <x:c r="H497" s="9"/>
      <x:c r="I497" s="9"/>
      <x:c r="J497" s="43"/>
      <x:c r="K497" s="9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9"/>
      <x:c r="B498" s="9"/>
      <x:c r="C498" s="43"/>
      <x:c r="D498" s="43"/>
      <x:c r="E498" s="43"/>
      <x:c r="F498" s="45"/>
      <x:c r="G498" s="45"/>
      <x:c r="H498" s="9"/>
      <x:c r="I498" s="9"/>
      <x:c r="J498" s="43"/>
      <x:c r="K498" s="9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9"/>
      <x:c r="B499" s="9"/>
      <x:c r="C499" s="43"/>
      <x:c r="D499" s="43"/>
      <x:c r="E499" s="43"/>
      <x:c r="F499" s="45"/>
      <x:c r="G499" s="45"/>
      <x:c r="H499" s="9"/>
      <x:c r="I499" s="9"/>
      <x:c r="J499" s="43"/>
      <x:c r="K499" s="9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9"/>
      <x:c r="B500" s="9"/>
      <x:c r="C500" s="43"/>
      <x:c r="D500" s="43"/>
      <x:c r="E500" s="43"/>
      <x:c r="F500" s="45"/>
      <x:c r="G500" s="45"/>
      <x:c r="H500" s="9"/>
      <x:c r="I500" s="9"/>
      <x:c r="J500" s="43"/>
      <x:c r="K500" s="9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9"/>
      <x:c r="B501" s="9"/>
      <x:c r="C501" s="43"/>
      <x:c r="D501" s="43"/>
      <x:c r="E501" s="43"/>
      <x:c r="F501" s="45"/>
      <x:c r="G501" s="45"/>
      <x:c r="H501" s="9"/>
      <x:c r="I501" s="9"/>
      <x:c r="J501" s="43"/>
      <x:c r="K501" s="9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9"/>
      <x:c r="B502" s="9"/>
      <x:c r="C502" s="43"/>
      <x:c r="D502" s="43"/>
      <x:c r="E502" s="43"/>
      <x:c r="F502" s="45"/>
      <x:c r="G502" s="45"/>
      <x:c r="H502" s="9"/>
      <x:c r="I502" s="9"/>
      <x:c r="J502" s="43"/>
      <x:c r="K502" s="9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9"/>
      <x:c r="B503" s="9"/>
      <x:c r="C503" s="43"/>
      <x:c r="D503" s="43"/>
      <x:c r="E503" s="43"/>
      <x:c r="F503" s="45"/>
      <x:c r="G503" s="45"/>
      <x:c r="H503" s="9"/>
      <x:c r="I503" s="9"/>
      <x:c r="J503" s="43"/>
      <x:c r="K503" s="9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1"/>
      <x:c r="B504" s="21"/>
      <x:c r="C504" s="44"/>
      <x:c r="D504" s="44"/>
      <x:c r="E504" s="44"/>
      <x:c r="F504" s="48"/>
      <x:c r="G504" s="48"/>
      <x:c r="H504" s="21"/>
      <x:c r="I504" s="21"/>
      <x:c r="J504" s="44"/>
      <x:c r="K504" s="21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</x:sheetData>
  <x:mergeCells>
    <x:mergeCell ref="A1:K1"/>
    <x:mergeCell ref="A2:K2"/>
  </x:mergeCells>
  <x:dataValidations count="1">
    <x:dataValidation type="list" sqref="H5:H504">
      <x:formula1>Lists!$G$5:$G$8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18" hidden="0" customWidth="1"/>
    <x:col min="8" max="8" width="19" hidden="0" customWidth="1"/>
  </x:cols>
  <x:sheetData>
    <x:row r="1" ht="25" customHeight="1">
      <x:c r="A1" s="3" t="str">
        <x:v>Lists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9" customHeight="1">
      <x:c r="A2" s="4" t="str">
        <x:v>Controlled values used by the drop-down fields in the database sheets.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5"/>
      <x:c r="B3" s="5"/>
      <x:c r="C3" s="5"/>
      <x:c r="D3" s="5"/>
      <x:c r="E3" s="5"/>
      <x:c r="F3" s="5"/>
      <x:c r="G3" s="5"/>
      <x:c r="H3" s="5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53" t="str">
        <x:v>Account status</x:v>
      </x:c>
      <x:c r="B4" s="53" t="str">
        <x:v>Password setup</x:v>
      </x:c>
      <x:c r="C4" s="53" t="str">
        <x:v>Payment status</x:v>
      </x:c>
      <x:c r="D4" s="53" t="str">
        <x:v>Course access</x:v>
      </x:c>
      <x:c r="E4" s="53" t="str">
        <x:v>Commission status</x:v>
      </x:c>
      <x:c r="F4" s="53" t="str">
        <x:v>Affiliate status</x:v>
      </x:c>
      <x:c r="G4" s="53" t="str">
        <x:v>Payout status</x:v>
      </x:c>
      <x:c r="H4" s="53" t="str">
        <x:v>Payout method</x:v>
      </x:c>
      <x:c r="I4" s="54"/>
      <x:c r="J4" s="54"/>
      <x:c r="K4" s="54"/>
      <x:c r="L4" s="54"/>
      <x:c r="M4" s="54"/>
      <x:c r="N4" s="54"/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</x:row>
    <x:row r="5">
      <x:c r="A5" s="9" t="str">
        <x:v>Active</x:v>
      </x:c>
      <x:c r="B5" s="9" t="str">
        <x:v>Not sent</x:v>
      </x:c>
      <x:c r="C5" s="9" t="str">
        <x:v>Pending</x:v>
      </x:c>
      <x:c r="D5" s="9" t="str">
        <x:v>Not granted</x:v>
      </x:c>
      <x:c r="E5" s="9" t="str">
        <x:v>Pending</x:v>
      </x:c>
      <x:c r="F5" s="9" t="str">
        <x:v>Active</x:v>
      </x:c>
      <x:c r="G5" s="9" t="str">
        <x:v>Requested</x:v>
      </x:c>
      <x:c r="H5" s="9" t="str">
        <x:v>UPI</x:v>
      </x:c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9" t="str">
        <x:v>Inactive</x:v>
      </x:c>
      <x:c r="B6" s="9" t="str">
        <x:v>Sent</x:v>
      </x:c>
      <x:c r="C6" s="9" t="str">
        <x:v>Paid</x:v>
      </x:c>
      <x:c r="D6" s="9" t="str">
        <x:v>Granted</x:v>
      </x:c>
      <x:c r="E6" s="9" t="str">
        <x:v>Approved</x:v>
      </x:c>
      <x:c r="F6" s="9" t="str">
        <x:v>Paused</x:v>
      </x:c>
      <x:c r="G6" s="9" t="str">
        <x:v>Approved</x:v>
      </x:c>
      <x:c r="H6" s="9" t="str">
        <x:v>Bank transfer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9" t="str">
        <x:v>Blocked</x:v>
      </x:c>
      <x:c r="B7" s="9" t="str">
        <x:v>Set</x:v>
      </x:c>
      <x:c r="C7" s="9" t="str">
        <x:v>Failed</x:v>
      </x:c>
      <x:c r="D7" s="9" t="str">
        <x:v>Revoked</x:v>
      </x:c>
      <x:c r="E7" s="9" t="str">
        <x:v>Paid</x:v>
      </x:c>
      <x:c r="F7" s="9" t="str">
        <x:v>Blocked</x:v>
      </x:c>
      <x:c r="G7" s="9" t="str">
        <x:v>Paid</x:v>
      </x:c>
      <x:c r="H7" s="9" t="str">
        <x:v>Other</x:v>
      </x:c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1"/>
      <x:c r="B8" s="21" t="str">
        <x:v>Reset requested</x:v>
      </x:c>
      <x:c r="C8" s="21" t="str">
        <x:v>Refunded</x:v>
      </x:c>
      <x:c r="D8" s="21"/>
      <x:c r="E8" s="21" t="str">
        <x:v>Cancelled</x:v>
      </x:c>
      <x:c r="F8" s="21"/>
      <x:c r="G8" s="21" t="str">
        <x:v>Rejected</x:v>
      </x:c>
      <x:c r="H8" s="21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</x:sheetData>
  <x:mergeCells>
    <x:mergeCell ref="A1:H1"/>
    <x:mergeCell ref="A2:H2"/>
  </x:mergeCells>
  <x:pageMargins left="0.7" right="0.7" top="0.75" bottom="0.75" header="0.3" footer="0.3"/>
</x:worksheet>
</file>