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c\Documents\ChatGPT\Website for shivam\outputs\skilllance-affiliate-database\"/>
    </mc:Choice>
  </mc:AlternateContent>
  <xr:revisionPtr revIDLastSave="0" documentId="13_ncr:1_{9587327E-B700-481A-8765-9A0F328E83C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shboard" sheetId="1" r:id="rId1"/>
    <sheet name="Customers" sheetId="2" r:id="rId2"/>
    <sheet name="Enrollments" sheetId="3" r:id="rId3"/>
    <sheet name="Courses" sheetId="4" r:id="rId4"/>
    <sheet name="Sales" sheetId="5" r:id="rId5"/>
    <sheet name="Affiliates" sheetId="6" r:id="rId6"/>
    <sheet name="Payouts" sheetId="7" r:id="rId7"/>
    <sheet name="Lis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6" l="1"/>
  <c r="A5" i="6"/>
  <c r="J504" i="6"/>
  <c r="I504" i="6"/>
  <c r="H504" i="6"/>
  <c r="D504" i="6"/>
  <c r="C504" i="6"/>
  <c r="J503" i="6"/>
  <c r="I503" i="6"/>
  <c r="H503" i="6"/>
  <c r="D503" i="6"/>
  <c r="C503" i="6"/>
  <c r="J502" i="6"/>
  <c r="I502" i="6"/>
  <c r="H502" i="6"/>
  <c r="D502" i="6"/>
  <c r="C502" i="6"/>
  <c r="J501" i="6"/>
  <c r="I501" i="6"/>
  <c r="H501" i="6"/>
  <c r="D501" i="6"/>
  <c r="C501" i="6"/>
  <c r="J500" i="6"/>
  <c r="I500" i="6"/>
  <c r="H500" i="6"/>
  <c r="D500" i="6"/>
  <c r="C500" i="6"/>
  <c r="J499" i="6"/>
  <c r="I499" i="6"/>
  <c r="H499" i="6"/>
  <c r="D499" i="6"/>
  <c r="C499" i="6"/>
  <c r="J498" i="6"/>
  <c r="I498" i="6"/>
  <c r="H498" i="6"/>
  <c r="D498" i="6"/>
  <c r="C498" i="6"/>
  <c r="J497" i="6"/>
  <c r="I497" i="6"/>
  <c r="H497" i="6"/>
  <c r="D497" i="6"/>
  <c r="C497" i="6"/>
  <c r="J496" i="6"/>
  <c r="I496" i="6"/>
  <c r="H496" i="6"/>
  <c r="D496" i="6"/>
  <c r="C496" i="6"/>
  <c r="J495" i="6"/>
  <c r="I495" i="6"/>
  <c r="H495" i="6"/>
  <c r="D495" i="6"/>
  <c r="C495" i="6"/>
  <c r="J494" i="6"/>
  <c r="I494" i="6"/>
  <c r="H494" i="6"/>
  <c r="D494" i="6"/>
  <c r="C494" i="6"/>
  <c r="J493" i="6"/>
  <c r="I493" i="6"/>
  <c r="H493" i="6"/>
  <c r="D493" i="6"/>
  <c r="C493" i="6"/>
  <c r="J492" i="6"/>
  <c r="I492" i="6"/>
  <c r="H492" i="6"/>
  <c r="D492" i="6"/>
  <c r="C492" i="6"/>
  <c r="J491" i="6"/>
  <c r="I491" i="6"/>
  <c r="H491" i="6"/>
  <c r="D491" i="6"/>
  <c r="C491" i="6"/>
  <c r="J490" i="6"/>
  <c r="I490" i="6"/>
  <c r="H490" i="6"/>
  <c r="D490" i="6"/>
  <c r="C490" i="6"/>
  <c r="J489" i="6"/>
  <c r="I489" i="6"/>
  <c r="H489" i="6"/>
  <c r="D489" i="6"/>
  <c r="C489" i="6"/>
  <c r="J488" i="6"/>
  <c r="I488" i="6"/>
  <c r="H488" i="6"/>
  <c r="D488" i="6"/>
  <c r="C488" i="6"/>
  <c r="J487" i="6"/>
  <c r="I487" i="6"/>
  <c r="H487" i="6"/>
  <c r="D487" i="6"/>
  <c r="C487" i="6"/>
  <c r="J486" i="6"/>
  <c r="I486" i="6"/>
  <c r="H486" i="6"/>
  <c r="D486" i="6"/>
  <c r="C486" i="6"/>
  <c r="J485" i="6"/>
  <c r="I485" i="6"/>
  <c r="H485" i="6"/>
  <c r="D485" i="6"/>
  <c r="C485" i="6"/>
  <c r="J484" i="6"/>
  <c r="I484" i="6"/>
  <c r="H484" i="6"/>
  <c r="D484" i="6"/>
  <c r="C484" i="6"/>
  <c r="J483" i="6"/>
  <c r="I483" i="6"/>
  <c r="H483" i="6"/>
  <c r="D483" i="6"/>
  <c r="C483" i="6"/>
  <c r="J482" i="6"/>
  <c r="I482" i="6"/>
  <c r="H482" i="6"/>
  <c r="D482" i="6"/>
  <c r="C482" i="6"/>
  <c r="J481" i="6"/>
  <c r="I481" i="6"/>
  <c r="H481" i="6"/>
  <c r="D481" i="6"/>
  <c r="C481" i="6"/>
  <c r="J480" i="6"/>
  <c r="I480" i="6"/>
  <c r="H480" i="6"/>
  <c r="D480" i="6"/>
  <c r="C480" i="6"/>
  <c r="J479" i="6"/>
  <c r="I479" i="6"/>
  <c r="H479" i="6"/>
  <c r="D479" i="6"/>
  <c r="C479" i="6"/>
  <c r="J478" i="6"/>
  <c r="I478" i="6"/>
  <c r="H478" i="6"/>
  <c r="D478" i="6"/>
  <c r="C478" i="6"/>
  <c r="J477" i="6"/>
  <c r="I477" i="6"/>
  <c r="H477" i="6"/>
  <c r="D477" i="6"/>
  <c r="C477" i="6"/>
  <c r="J476" i="6"/>
  <c r="I476" i="6"/>
  <c r="H476" i="6"/>
  <c r="D476" i="6"/>
  <c r="C476" i="6"/>
  <c r="J475" i="6"/>
  <c r="I475" i="6"/>
  <c r="H475" i="6"/>
  <c r="D475" i="6"/>
  <c r="C475" i="6"/>
  <c r="J474" i="6"/>
  <c r="I474" i="6"/>
  <c r="H474" i="6"/>
  <c r="D474" i="6"/>
  <c r="C474" i="6"/>
  <c r="J473" i="6"/>
  <c r="I473" i="6"/>
  <c r="H473" i="6"/>
  <c r="D473" i="6"/>
  <c r="C473" i="6"/>
  <c r="J472" i="6"/>
  <c r="I472" i="6"/>
  <c r="H472" i="6"/>
  <c r="D472" i="6"/>
  <c r="C472" i="6"/>
  <c r="J471" i="6"/>
  <c r="I471" i="6"/>
  <c r="H471" i="6"/>
  <c r="D471" i="6"/>
  <c r="C471" i="6"/>
  <c r="J470" i="6"/>
  <c r="I470" i="6"/>
  <c r="H470" i="6"/>
  <c r="D470" i="6"/>
  <c r="C470" i="6"/>
  <c r="J469" i="6"/>
  <c r="I469" i="6"/>
  <c r="H469" i="6"/>
  <c r="D469" i="6"/>
  <c r="C469" i="6"/>
  <c r="J468" i="6"/>
  <c r="I468" i="6"/>
  <c r="H468" i="6"/>
  <c r="D468" i="6"/>
  <c r="C468" i="6"/>
  <c r="J467" i="6"/>
  <c r="I467" i="6"/>
  <c r="H467" i="6"/>
  <c r="D467" i="6"/>
  <c r="C467" i="6"/>
  <c r="J466" i="6"/>
  <c r="I466" i="6"/>
  <c r="H466" i="6"/>
  <c r="D466" i="6"/>
  <c r="C466" i="6"/>
  <c r="J465" i="6"/>
  <c r="I465" i="6"/>
  <c r="H465" i="6"/>
  <c r="D465" i="6"/>
  <c r="C465" i="6"/>
  <c r="J464" i="6"/>
  <c r="I464" i="6"/>
  <c r="H464" i="6"/>
  <c r="D464" i="6"/>
  <c r="C464" i="6"/>
  <c r="J463" i="6"/>
  <c r="I463" i="6"/>
  <c r="H463" i="6"/>
  <c r="D463" i="6"/>
  <c r="C463" i="6"/>
  <c r="J462" i="6"/>
  <c r="I462" i="6"/>
  <c r="H462" i="6"/>
  <c r="D462" i="6"/>
  <c r="C462" i="6"/>
  <c r="J461" i="6"/>
  <c r="I461" i="6"/>
  <c r="H461" i="6"/>
  <c r="D461" i="6"/>
  <c r="C461" i="6"/>
  <c r="J460" i="6"/>
  <c r="I460" i="6"/>
  <c r="H460" i="6"/>
  <c r="D460" i="6"/>
  <c r="C460" i="6"/>
  <c r="J459" i="6"/>
  <c r="I459" i="6"/>
  <c r="H459" i="6"/>
  <c r="D459" i="6"/>
  <c r="C459" i="6"/>
  <c r="J458" i="6"/>
  <c r="I458" i="6"/>
  <c r="H458" i="6"/>
  <c r="D458" i="6"/>
  <c r="C458" i="6"/>
  <c r="J457" i="6"/>
  <c r="I457" i="6"/>
  <c r="H457" i="6"/>
  <c r="D457" i="6"/>
  <c r="C457" i="6"/>
  <c r="J456" i="6"/>
  <c r="I456" i="6"/>
  <c r="H456" i="6"/>
  <c r="D456" i="6"/>
  <c r="C456" i="6"/>
  <c r="J455" i="6"/>
  <c r="I455" i="6"/>
  <c r="H455" i="6"/>
  <c r="D455" i="6"/>
  <c r="C455" i="6"/>
  <c r="J454" i="6"/>
  <c r="I454" i="6"/>
  <c r="H454" i="6"/>
  <c r="D454" i="6"/>
  <c r="C454" i="6"/>
  <c r="J453" i="6"/>
  <c r="I453" i="6"/>
  <c r="H453" i="6"/>
  <c r="D453" i="6"/>
  <c r="C453" i="6"/>
  <c r="J452" i="6"/>
  <c r="I452" i="6"/>
  <c r="H452" i="6"/>
  <c r="D452" i="6"/>
  <c r="C452" i="6"/>
  <c r="J451" i="6"/>
  <c r="I451" i="6"/>
  <c r="H451" i="6"/>
  <c r="D451" i="6"/>
  <c r="C451" i="6"/>
  <c r="J450" i="6"/>
  <c r="I450" i="6"/>
  <c r="H450" i="6"/>
  <c r="D450" i="6"/>
  <c r="C450" i="6"/>
  <c r="J449" i="6"/>
  <c r="I449" i="6"/>
  <c r="H449" i="6"/>
  <c r="D449" i="6"/>
  <c r="C449" i="6"/>
  <c r="J448" i="6"/>
  <c r="I448" i="6"/>
  <c r="H448" i="6"/>
  <c r="D448" i="6"/>
  <c r="C448" i="6"/>
  <c r="J447" i="6"/>
  <c r="I447" i="6"/>
  <c r="H447" i="6"/>
  <c r="D447" i="6"/>
  <c r="C447" i="6"/>
  <c r="J446" i="6"/>
  <c r="I446" i="6"/>
  <c r="H446" i="6"/>
  <c r="D446" i="6"/>
  <c r="C446" i="6"/>
  <c r="J445" i="6"/>
  <c r="I445" i="6"/>
  <c r="H445" i="6"/>
  <c r="D445" i="6"/>
  <c r="C445" i="6"/>
  <c r="J444" i="6"/>
  <c r="I444" i="6"/>
  <c r="H444" i="6"/>
  <c r="D444" i="6"/>
  <c r="C444" i="6"/>
  <c r="J443" i="6"/>
  <c r="I443" i="6"/>
  <c r="H443" i="6"/>
  <c r="D443" i="6"/>
  <c r="C443" i="6"/>
  <c r="J442" i="6"/>
  <c r="I442" i="6"/>
  <c r="H442" i="6"/>
  <c r="D442" i="6"/>
  <c r="C442" i="6"/>
  <c r="J441" i="6"/>
  <c r="I441" i="6"/>
  <c r="H441" i="6"/>
  <c r="D441" i="6"/>
  <c r="C441" i="6"/>
  <c r="J440" i="6"/>
  <c r="I440" i="6"/>
  <c r="H440" i="6"/>
  <c r="D440" i="6"/>
  <c r="C440" i="6"/>
  <c r="J439" i="6"/>
  <c r="I439" i="6"/>
  <c r="H439" i="6"/>
  <c r="D439" i="6"/>
  <c r="C439" i="6"/>
  <c r="J438" i="6"/>
  <c r="I438" i="6"/>
  <c r="H438" i="6"/>
  <c r="D438" i="6"/>
  <c r="C438" i="6"/>
  <c r="J437" i="6"/>
  <c r="I437" i="6"/>
  <c r="H437" i="6"/>
  <c r="D437" i="6"/>
  <c r="C437" i="6"/>
  <c r="J436" i="6"/>
  <c r="I436" i="6"/>
  <c r="H436" i="6"/>
  <c r="D436" i="6"/>
  <c r="C436" i="6"/>
  <c r="J435" i="6"/>
  <c r="I435" i="6"/>
  <c r="H435" i="6"/>
  <c r="D435" i="6"/>
  <c r="C435" i="6"/>
  <c r="J434" i="6"/>
  <c r="I434" i="6"/>
  <c r="H434" i="6"/>
  <c r="D434" i="6"/>
  <c r="C434" i="6"/>
  <c r="J433" i="6"/>
  <c r="I433" i="6"/>
  <c r="H433" i="6"/>
  <c r="D433" i="6"/>
  <c r="C433" i="6"/>
  <c r="J432" i="6"/>
  <c r="I432" i="6"/>
  <c r="H432" i="6"/>
  <c r="D432" i="6"/>
  <c r="C432" i="6"/>
  <c r="J431" i="6"/>
  <c r="I431" i="6"/>
  <c r="H431" i="6"/>
  <c r="D431" i="6"/>
  <c r="C431" i="6"/>
  <c r="J430" i="6"/>
  <c r="I430" i="6"/>
  <c r="H430" i="6"/>
  <c r="D430" i="6"/>
  <c r="C430" i="6"/>
  <c r="J429" i="6"/>
  <c r="I429" i="6"/>
  <c r="H429" i="6"/>
  <c r="D429" i="6"/>
  <c r="C429" i="6"/>
  <c r="J428" i="6"/>
  <c r="I428" i="6"/>
  <c r="H428" i="6"/>
  <c r="D428" i="6"/>
  <c r="C428" i="6"/>
  <c r="J427" i="6"/>
  <c r="I427" i="6"/>
  <c r="H427" i="6"/>
  <c r="D427" i="6"/>
  <c r="C427" i="6"/>
  <c r="J426" i="6"/>
  <c r="I426" i="6"/>
  <c r="H426" i="6"/>
  <c r="D426" i="6"/>
  <c r="C426" i="6"/>
  <c r="J425" i="6"/>
  <c r="I425" i="6"/>
  <c r="H425" i="6"/>
  <c r="D425" i="6"/>
  <c r="C425" i="6"/>
  <c r="J424" i="6"/>
  <c r="I424" i="6"/>
  <c r="H424" i="6"/>
  <c r="D424" i="6"/>
  <c r="C424" i="6"/>
  <c r="J423" i="6"/>
  <c r="I423" i="6"/>
  <c r="H423" i="6"/>
  <c r="D423" i="6"/>
  <c r="C423" i="6"/>
  <c r="J422" i="6"/>
  <c r="I422" i="6"/>
  <c r="H422" i="6"/>
  <c r="D422" i="6"/>
  <c r="C422" i="6"/>
  <c r="J421" i="6"/>
  <c r="I421" i="6"/>
  <c r="H421" i="6"/>
  <c r="D421" i="6"/>
  <c r="C421" i="6"/>
  <c r="J420" i="6"/>
  <c r="I420" i="6"/>
  <c r="H420" i="6"/>
  <c r="D420" i="6"/>
  <c r="C420" i="6"/>
  <c r="J419" i="6"/>
  <c r="I419" i="6"/>
  <c r="H419" i="6"/>
  <c r="D419" i="6"/>
  <c r="C419" i="6"/>
  <c r="J418" i="6"/>
  <c r="I418" i="6"/>
  <c r="H418" i="6"/>
  <c r="D418" i="6"/>
  <c r="C418" i="6"/>
  <c r="J417" i="6"/>
  <c r="I417" i="6"/>
  <c r="H417" i="6"/>
  <c r="D417" i="6"/>
  <c r="C417" i="6"/>
  <c r="J416" i="6"/>
  <c r="I416" i="6"/>
  <c r="H416" i="6"/>
  <c r="D416" i="6"/>
  <c r="C416" i="6"/>
  <c r="J415" i="6"/>
  <c r="I415" i="6"/>
  <c r="H415" i="6"/>
  <c r="D415" i="6"/>
  <c r="C415" i="6"/>
  <c r="J414" i="6"/>
  <c r="I414" i="6"/>
  <c r="H414" i="6"/>
  <c r="D414" i="6"/>
  <c r="C414" i="6"/>
  <c r="J413" i="6"/>
  <c r="I413" i="6"/>
  <c r="H413" i="6"/>
  <c r="D413" i="6"/>
  <c r="C413" i="6"/>
  <c r="J412" i="6"/>
  <c r="I412" i="6"/>
  <c r="H412" i="6"/>
  <c r="D412" i="6"/>
  <c r="C412" i="6"/>
  <c r="J411" i="6"/>
  <c r="I411" i="6"/>
  <c r="H411" i="6"/>
  <c r="D411" i="6"/>
  <c r="C411" i="6"/>
  <c r="J410" i="6"/>
  <c r="I410" i="6"/>
  <c r="H410" i="6"/>
  <c r="D410" i="6"/>
  <c r="C410" i="6"/>
  <c r="J409" i="6"/>
  <c r="I409" i="6"/>
  <c r="H409" i="6"/>
  <c r="D409" i="6"/>
  <c r="C409" i="6"/>
  <c r="J408" i="6"/>
  <c r="I408" i="6"/>
  <c r="H408" i="6"/>
  <c r="D408" i="6"/>
  <c r="C408" i="6"/>
  <c r="J407" i="6"/>
  <c r="I407" i="6"/>
  <c r="H407" i="6"/>
  <c r="D407" i="6"/>
  <c r="C407" i="6"/>
  <c r="J406" i="6"/>
  <c r="I406" i="6"/>
  <c r="H406" i="6"/>
  <c r="D406" i="6"/>
  <c r="C406" i="6"/>
  <c r="J405" i="6"/>
  <c r="I405" i="6"/>
  <c r="H405" i="6"/>
  <c r="D405" i="6"/>
  <c r="C405" i="6"/>
  <c r="J404" i="6"/>
  <c r="I404" i="6"/>
  <c r="H404" i="6"/>
  <c r="D404" i="6"/>
  <c r="C404" i="6"/>
  <c r="J403" i="6"/>
  <c r="I403" i="6"/>
  <c r="H403" i="6"/>
  <c r="D403" i="6"/>
  <c r="C403" i="6"/>
  <c r="J402" i="6"/>
  <c r="I402" i="6"/>
  <c r="H402" i="6"/>
  <c r="D402" i="6"/>
  <c r="C402" i="6"/>
  <c r="J401" i="6"/>
  <c r="I401" i="6"/>
  <c r="H401" i="6"/>
  <c r="D401" i="6"/>
  <c r="C401" i="6"/>
  <c r="J400" i="6"/>
  <c r="I400" i="6"/>
  <c r="H400" i="6"/>
  <c r="D400" i="6"/>
  <c r="C400" i="6"/>
  <c r="J399" i="6"/>
  <c r="I399" i="6"/>
  <c r="H399" i="6"/>
  <c r="D399" i="6"/>
  <c r="C399" i="6"/>
  <c r="J398" i="6"/>
  <c r="I398" i="6"/>
  <c r="H398" i="6"/>
  <c r="D398" i="6"/>
  <c r="C398" i="6"/>
  <c r="J397" i="6"/>
  <c r="I397" i="6"/>
  <c r="H397" i="6"/>
  <c r="D397" i="6"/>
  <c r="C397" i="6"/>
  <c r="J396" i="6"/>
  <c r="I396" i="6"/>
  <c r="H396" i="6"/>
  <c r="D396" i="6"/>
  <c r="C396" i="6"/>
  <c r="J395" i="6"/>
  <c r="I395" i="6"/>
  <c r="H395" i="6"/>
  <c r="D395" i="6"/>
  <c r="C395" i="6"/>
  <c r="J394" i="6"/>
  <c r="I394" i="6"/>
  <c r="H394" i="6"/>
  <c r="D394" i="6"/>
  <c r="C394" i="6"/>
  <c r="J393" i="6"/>
  <c r="I393" i="6"/>
  <c r="H393" i="6"/>
  <c r="D393" i="6"/>
  <c r="C393" i="6"/>
  <c r="J392" i="6"/>
  <c r="I392" i="6"/>
  <c r="H392" i="6"/>
  <c r="D392" i="6"/>
  <c r="C392" i="6"/>
  <c r="J391" i="6"/>
  <c r="I391" i="6"/>
  <c r="H391" i="6"/>
  <c r="D391" i="6"/>
  <c r="C391" i="6"/>
  <c r="J390" i="6"/>
  <c r="I390" i="6"/>
  <c r="H390" i="6"/>
  <c r="D390" i="6"/>
  <c r="C390" i="6"/>
  <c r="J389" i="6"/>
  <c r="I389" i="6"/>
  <c r="H389" i="6"/>
  <c r="D389" i="6"/>
  <c r="C389" i="6"/>
  <c r="J388" i="6"/>
  <c r="I388" i="6"/>
  <c r="H388" i="6"/>
  <c r="D388" i="6"/>
  <c r="C388" i="6"/>
  <c r="J387" i="6"/>
  <c r="I387" i="6"/>
  <c r="H387" i="6"/>
  <c r="D387" i="6"/>
  <c r="C387" i="6"/>
  <c r="J386" i="6"/>
  <c r="I386" i="6"/>
  <c r="H386" i="6"/>
  <c r="D386" i="6"/>
  <c r="C386" i="6"/>
  <c r="J385" i="6"/>
  <c r="I385" i="6"/>
  <c r="H385" i="6"/>
  <c r="D385" i="6"/>
  <c r="C385" i="6"/>
  <c r="J384" i="6"/>
  <c r="I384" i="6"/>
  <c r="H384" i="6"/>
  <c r="D384" i="6"/>
  <c r="C384" i="6"/>
  <c r="J383" i="6"/>
  <c r="I383" i="6"/>
  <c r="H383" i="6"/>
  <c r="D383" i="6"/>
  <c r="C383" i="6"/>
  <c r="J382" i="6"/>
  <c r="I382" i="6"/>
  <c r="H382" i="6"/>
  <c r="D382" i="6"/>
  <c r="C382" i="6"/>
  <c r="J381" i="6"/>
  <c r="I381" i="6"/>
  <c r="H381" i="6"/>
  <c r="D381" i="6"/>
  <c r="C381" i="6"/>
  <c r="J380" i="6"/>
  <c r="I380" i="6"/>
  <c r="H380" i="6"/>
  <c r="D380" i="6"/>
  <c r="C380" i="6"/>
  <c r="J379" i="6"/>
  <c r="I379" i="6"/>
  <c r="H379" i="6"/>
  <c r="D379" i="6"/>
  <c r="C379" i="6"/>
  <c r="J378" i="6"/>
  <c r="I378" i="6"/>
  <c r="H378" i="6"/>
  <c r="D378" i="6"/>
  <c r="C378" i="6"/>
  <c r="J377" i="6"/>
  <c r="I377" i="6"/>
  <c r="H377" i="6"/>
  <c r="D377" i="6"/>
  <c r="C377" i="6"/>
  <c r="J376" i="6"/>
  <c r="I376" i="6"/>
  <c r="H376" i="6"/>
  <c r="D376" i="6"/>
  <c r="C376" i="6"/>
  <c r="J375" i="6"/>
  <c r="I375" i="6"/>
  <c r="H375" i="6"/>
  <c r="D375" i="6"/>
  <c r="C375" i="6"/>
  <c r="J374" i="6"/>
  <c r="I374" i="6"/>
  <c r="H374" i="6"/>
  <c r="D374" i="6"/>
  <c r="C374" i="6"/>
  <c r="J373" i="6"/>
  <c r="I373" i="6"/>
  <c r="H373" i="6"/>
  <c r="D373" i="6"/>
  <c r="C373" i="6"/>
  <c r="J372" i="6"/>
  <c r="I372" i="6"/>
  <c r="H372" i="6"/>
  <c r="D372" i="6"/>
  <c r="C372" i="6"/>
  <c r="J371" i="6"/>
  <c r="I371" i="6"/>
  <c r="H371" i="6"/>
  <c r="D371" i="6"/>
  <c r="C371" i="6"/>
  <c r="J370" i="6"/>
  <c r="I370" i="6"/>
  <c r="H370" i="6"/>
  <c r="D370" i="6"/>
  <c r="C370" i="6"/>
  <c r="J369" i="6"/>
  <c r="I369" i="6"/>
  <c r="H369" i="6"/>
  <c r="D369" i="6"/>
  <c r="C369" i="6"/>
  <c r="J368" i="6"/>
  <c r="I368" i="6"/>
  <c r="H368" i="6"/>
  <c r="D368" i="6"/>
  <c r="C368" i="6"/>
  <c r="J367" i="6"/>
  <c r="I367" i="6"/>
  <c r="H367" i="6"/>
  <c r="D367" i="6"/>
  <c r="C367" i="6"/>
  <c r="J366" i="6"/>
  <c r="I366" i="6"/>
  <c r="H366" i="6"/>
  <c r="D366" i="6"/>
  <c r="C366" i="6"/>
  <c r="J365" i="6"/>
  <c r="I365" i="6"/>
  <c r="H365" i="6"/>
  <c r="D365" i="6"/>
  <c r="C365" i="6"/>
  <c r="J364" i="6"/>
  <c r="I364" i="6"/>
  <c r="H364" i="6"/>
  <c r="D364" i="6"/>
  <c r="C364" i="6"/>
  <c r="J363" i="6"/>
  <c r="I363" i="6"/>
  <c r="H363" i="6"/>
  <c r="D363" i="6"/>
  <c r="C363" i="6"/>
  <c r="J362" i="6"/>
  <c r="I362" i="6"/>
  <c r="H362" i="6"/>
  <c r="D362" i="6"/>
  <c r="C362" i="6"/>
  <c r="J361" i="6"/>
  <c r="I361" i="6"/>
  <c r="H361" i="6"/>
  <c r="D361" i="6"/>
  <c r="C361" i="6"/>
  <c r="J360" i="6"/>
  <c r="I360" i="6"/>
  <c r="H360" i="6"/>
  <c r="D360" i="6"/>
  <c r="C360" i="6"/>
  <c r="J359" i="6"/>
  <c r="I359" i="6"/>
  <c r="H359" i="6"/>
  <c r="D359" i="6"/>
  <c r="C359" i="6"/>
  <c r="J358" i="6"/>
  <c r="I358" i="6"/>
  <c r="H358" i="6"/>
  <c r="D358" i="6"/>
  <c r="C358" i="6"/>
  <c r="J357" i="6"/>
  <c r="I357" i="6"/>
  <c r="H357" i="6"/>
  <c r="D357" i="6"/>
  <c r="C357" i="6"/>
  <c r="J356" i="6"/>
  <c r="I356" i="6"/>
  <c r="H356" i="6"/>
  <c r="D356" i="6"/>
  <c r="C356" i="6"/>
  <c r="J355" i="6"/>
  <c r="I355" i="6"/>
  <c r="H355" i="6"/>
  <c r="D355" i="6"/>
  <c r="C355" i="6"/>
  <c r="J354" i="6"/>
  <c r="I354" i="6"/>
  <c r="H354" i="6"/>
  <c r="D354" i="6"/>
  <c r="C354" i="6"/>
  <c r="J353" i="6"/>
  <c r="I353" i="6"/>
  <c r="H353" i="6"/>
  <c r="D353" i="6"/>
  <c r="C353" i="6"/>
  <c r="J352" i="6"/>
  <c r="I352" i="6"/>
  <c r="H352" i="6"/>
  <c r="D352" i="6"/>
  <c r="C352" i="6"/>
  <c r="J351" i="6"/>
  <c r="I351" i="6"/>
  <c r="H351" i="6"/>
  <c r="D351" i="6"/>
  <c r="C351" i="6"/>
  <c r="J350" i="6"/>
  <c r="I350" i="6"/>
  <c r="H350" i="6"/>
  <c r="D350" i="6"/>
  <c r="C350" i="6"/>
  <c r="J349" i="6"/>
  <c r="I349" i="6"/>
  <c r="H349" i="6"/>
  <c r="D349" i="6"/>
  <c r="C349" i="6"/>
  <c r="J348" i="6"/>
  <c r="I348" i="6"/>
  <c r="H348" i="6"/>
  <c r="D348" i="6"/>
  <c r="C348" i="6"/>
  <c r="J347" i="6"/>
  <c r="I347" i="6"/>
  <c r="H347" i="6"/>
  <c r="D347" i="6"/>
  <c r="C347" i="6"/>
  <c r="J346" i="6"/>
  <c r="I346" i="6"/>
  <c r="H346" i="6"/>
  <c r="D346" i="6"/>
  <c r="C346" i="6"/>
  <c r="J345" i="6"/>
  <c r="I345" i="6"/>
  <c r="H345" i="6"/>
  <c r="D345" i="6"/>
  <c r="C345" i="6"/>
  <c r="J344" i="6"/>
  <c r="I344" i="6"/>
  <c r="H344" i="6"/>
  <c r="D344" i="6"/>
  <c r="C344" i="6"/>
  <c r="J343" i="6"/>
  <c r="I343" i="6"/>
  <c r="H343" i="6"/>
  <c r="D343" i="6"/>
  <c r="C343" i="6"/>
  <c r="J342" i="6"/>
  <c r="I342" i="6"/>
  <c r="H342" i="6"/>
  <c r="D342" i="6"/>
  <c r="C342" i="6"/>
  <c r="J341" i="6"/>
  <c r="I341" i="6"/>
  <c r="H341" i="6"/>
  <c r="D341" i="6"/>
  <c r="C341" i="6"/>
  <c r="J340" i="6"/>
  <c r="I340" i="6"/>
  <c r="H340" i="6"/>
  <c r="D340" i="6"/>
  <c r="C340" i="6"/>
  <c r="J339" i="6"/>
  <c r="I339" i="6"/>
  <c r="H339" i="6"/>
  <c r="D339" i="6"/>
  <c r="C339" i="6"/>
  <c r="J338" i="6"/>
  <c r="I338" i="6"/>
  <c r="H338" i="6"/>
  <c r="D338" i="6"/>
  <c r="C338" i="6"/>
  <c r="J337" i="6"/>
  <c r="I337" i="6"/>
  <c r="H337" i="6"/>
  <c r="D337" i="6"/>
  <c r="C337" i="6"/>
  <c r="J336" i="6"/>
  <c r="I336" i="6"/>
  <c r="H336" i="6"/>
  <c r="D336" i="6"/>
  <c r="C336" i="6"/>
  <c r="J335" i="6"/>
  <c r="I335" i="6"/>
  <c r="H335" i="6"/>
  <c r="D335" i="6"/>
  <c r="C335" i="6"/>
  <c r="J334" i="6"/>
  <c r="I334" i="6"/>
  <c r="H334" i="6"/>
  <c r="D334" i="6"/>
  <c r="C334" i="6"/>
  <c r="J333" i="6"/>
  <c r="I333" i="6"/>
  <c r="H333" i="6"/>
  <c r="D333" i="6"/>
  <c r="C333" i="6"/>
  <c r="J332" i="6"/>
  <c r="I332" i="6"/>
  <c r="H332" i="6"/>
  <c r="D332" i="6"/>
  <c r="C332" i="6"/>
  <c r="J331" i="6"/>
  <c r="I331" i="6"/>
  <c r="H331" i="6"/>
  <c r="D331" i="6"/>
  <c r="C331" i="6"/>
  <c r="J330" i="6"/>
  <c r="I330" i="6"/>
  <c r="H330" i="6"/>
  <c r="D330" i="6"/>
  <c r="C330" i="6"/>
  <c r="J329" i="6"/>
  <c r="I329" i="6"/>
  <c r="H329" i="6"/>
  <c r="D329" i="6"/>
  <c r="C329" i="6"/>
  <c r="J328" i="6"/>
  <c r="I328" i="6"/>
  <c r="H328" i="6"/>
  <c r="D328" i="6"/>
  <c r="C328" i="6"/>
  <c r="J327" i="6"/>
  <c r="I327" i="6"/>
  <c r="H327" i="6"/>
  <c r="D327" i="6"/>
  <c r="C327" i="6"/>
  <c r="J326" i="6"/>
  <c r="I326" i="6"/>
  <c r="H326" i="6"/>
  <c r="D326" i="6"/>
  <c r="C326" i="6"/>
  <c r="J325" i="6"/>
  <c r="I325" i="6"/>
  <c r="H325" i="6"/>
  <c r="D325" i="6"/>
  <c r="C325" i="6"/>
  <c r="J324" i="6"/>
  <c r="I324" i="6"/>
  <c r="H324" i="6"/>
  <c r="D324" i="6"/>
  <c r="C324" i="6"/>
  <c r="J323" i="6"/>
  <c r="I323" i="6"/>
  <c r="H323" i="6"/>
  <c r="D323" i="6"/>
  <c r="C323" i="6"/>
  <c r="J322" i="6"/>
  <c r="I322" i="6"/>
  <c r="H322" i="6"/>
  <c r="D322" i="6"/>
  <c r="C322" i="6"/>
  <c r="J321" i="6"/>
  <c r="I321" i="6"/>
  <c r="H321" i="6"/>
  <c r="D321" i="6"/>
  <c r="C321" i="6"/>
  <c r="J320" i="6"/>
  <c r="I320" i="6"/>
  <c r="H320" i="6"/>
  <c r="D320" i="6"/>
  <c r="C320" i="6"/>
  <c r="J319" i="6"/>
  <c r="I319" i="6"/>
  <c r="H319" i="6"/>
  <c r="D319" i="6"/>
  <c r="C319" i="6"/>
  <c r="J318" i="6"/>
  <c r="I318" i="6"/>
  <c r="H318" i="6"/>
  <c r="D318" i="6"/>
  <c r="C318" i="6"/>
  <c r="J317" i="6"/>
  <c r="I317" i="6"/>
  <c r="H317" i="6"/>
  <c r="D317" i="6"/>
  <c r="C317" i="6"/>
  <c r="J316" i="6"/>
  <c r="I316" i="6"/>
  <c r="H316" i="6"/>
  <c r="D316" i="6"/>
  <c r="C316" i="6"/>
  <c r="J315" i="6"/>
  <c r="I315" i="6"/>
  <c r="H315" i="6"/>
  <c r="D315" i="6"/>
  <c r="C315" i="6"/>
  <c r="J314" i="6"/>
  <c r="I314" i="6"/>
  <c r="H314" i="6"/>
  <c r="D314" i="6"/>
  <c r="C314" i="6"/>
  <c r="J313" i="6"/>
  <c r="I313" i="6"/>
  <c r="H313" i="6"/>
  <c r="D313" i="6"/>
  <c r="C313" i="6"/>
  <c r="J312" i="6"/>
  <c r="I312" i="6"/>
  <c r="H312" i="6"/>
  <c r="D312" i="6"/>
  <c r="C312" i="6"/>
  <c r="J311" i="6"/>
  <c r="I311" i="6"/>
  <c r="H311" i="6"/>
  <c r="D311" i="6"/>
  <c r="C311" i="6"/>
  <c r="J310" i="6"/>
  <c r="I310" i="6"/>
  <c r="H310" i="6"/>
  <c r="D310" i="6"/>
  <c r="C310" i="6"/>
  <c r="J309" i="6"/>
  <c r="I309" i="6"/>
  <c r="H309" i="6"/>
  <c r="D309" i="6"/>
  <c r="C309" i="6"/>
  <c r="J308" i="6"/>
  <c r="I308" i="6"/>
  <c r="H308" i="6"/>
  <c r="D308" i="6"/>
  <c r="C308" i="6"/>
  <c r="J307" i="6"/>
  <c r="I307" i="6"/>
  <c r="H307" i="6"/>
  <c r="D307" i="6"/>
  <c r="C307" i="6"/>
  <c r="J306" i="6"/>
  <c r="I306" i="6"/>
  <c r="H306" i="6"/>
  <c r="D306" i="6"/>
  <c r="C306" i="6"/>
  <c r="J305" i="6"/>
  <c r="I305" i="6"/>
  <c r="H305" i="6"/>
  <c r="D305" i="6"/>
  <c r="C305" i="6"/>
  <c r="J304" i="6"/>
  <c r="I304" i="6"/>
  <c r="H304" i="6"/>
  <c r="D304" i="6"/>
  <c r="C304" i="6"/>
  <c r="J303" i="6"/>
  <c r="I303" i="6"/>
  <c r="H303" i="6"/>
  <c r="D303" i="6"/>
  <c r="C303" i="6"/>
  <c r="J302" i="6"/>
  <c r="I302" i="6"/>
  <c r="H302" i="6"/>
  <c r="D302" i="6"/>
  <c r="C302" i="6"/>
  <c r="J301" i="6"/>
  <c r="I301" i="6"/>
  <c r="H301" i="6"/>
  <c r="D301" i="6"/>
  <c r="C301" i="6"/>
  <c r="J300" i="6"/>
  <c r="I300" i="6"/>
  <c r="H300" i="6"/>
  <c r="D300" i="6"/>
  <c r="C300" i="6"/>
  <c r="J299" i="6"/>
  <c r="I299" i="6"/>
  <c r="H299" i="6"/>
  <c r="D299" i="6"/>
  <c r="C299" i="6"/>
  <c r="J298" i="6"/>
  <c r="I298" i="6"/>
  <c r="H298" i="6"/>
  <c r="D298" i="6"/>
  <c r="C298" i="6"/>
  <c r="J297" i="6"/>
  <c r="I297" i="6"/>
  <c r="H297" i="6"/>
  <c r="D297" i="6"/>
  <c r="C297" i="6"/>
  <c r="J296" i="6"/>
  <c r="I296" i="6"/>
  <c r="H296" i="6"/>
  <c r="D296" i="6"/>
  <c r="C296" i="6"/>
  <c r="J295" i="6"/>
  <c r="I295" i="6"/>
  <c r="H295" i="6"/>
  <c r="D295" i="6"/>
  <c r="C295" i="6"/>
  <c r="J294" i="6"/>
  <c r="I294" i="6"/>
  <c r="H294" i="6"/>
  <c r="D294" i="6"/>
  <c r="C294" i="6"/>
  <c r="J293" i="6"/>
  <c r="I293" i="6"/>
  <c r="H293" i="6"/>
  <c r="D293" i="6"/>
  <c r="C293" i="6"/>
  <c r="J292" i="6"/>
  <c r="I292" i="6"/>
  <c r="H292" i="6"/>
  <c r="D292" i="6"/>
  <c r="C292" i="6"/>
  <c r="J291" i="6"/>
  <c r="I291" i="6"/>
  <c r="H291" i="6"/>
  <c r="D291" i="6"/>
  <c r="C291" i="6"/>
  <c r="J290" i="6"/>
  <c r="I290" i="6"/>
  <c r="H290" i="6"/>
  <c r="D290" i="6"/>
  <c r="C290" i="6"/>
  <c r="J289" i="6"/>
  <c r="I289" i="6"/>
  <c r="H289" i="6"/>
  <c r="D289" i="6"/>
  <c r="C289" i="6"/>
  <c r="J288" i="6"/>
  <c r="I288" i="6"/>
  <c r="H288" i="6"/>
  <c r="D288" i="6"/>
  <c r="C288" i="6"/>
  <c r="J287" i="6"/>
  <c r="I287" i="6"/>
  <c r="H287" i="6"/>
  <c r="D287" i="6"/>
  <c r="C287" i="6"/>
  <c r="J286" i="6"/>
  <c r="I286" i="6"/>
  <c r="H286" i="6"/>
  <c r="D286" i="6"/>
  <c r="C286" i="6"/>
  <c r="J285" i="6"/>
  <c r="I285" i="6"/>
  <c r="H285" i="6"/>
  <c r="D285" i="6"/>
  <c r="C285" i="6"/>
  <c r="J284" i="6"/>
  <c r="I284" i="6"/>
  <c r="H284" i="6"/>
  <c r="D284" i="6"/>
  <c r="C284" i="6"/>
  <c r="J283" i="6"/>
  <c r="I283" i="6"/>
  <c r="H283" i="6"/>
  <c r="D283" i="6"/>
  <c r="C283" i="6"/>
  <c r="J282" i="6"/>
  <c r="I282" i="6"/>
  <c r="H282" i="6"/>
  <c r="D282" i="6"/>
  <c r="C282" i="6"/>
  <c r="J281" i="6"/>
  <c r="I281" i="6"/>
  <c r="H281" i="6"/>
  <c r="D281" i="6"/>
  <c r="C281" i="6"/>
  <c r="J280" i="6"/>
  <c r="I280" i="6"/>
  <c r="H280" i="6"/>
  <c r="D280" i="6"/>
  <c r="C280" i="6"/>
  <c r="J279" i="6"/>
  <c r="I279" i="6"/>
  <c r="H279" i="6"/>
  <c r="D279" i="6"/>
  <c r="C279" i="6"/>
  <c r="J278" i="6"/>
  <c r="I278" i="6"/>
  <c r="H278" i="6"/>
  <c r="D278" i="6"/>
  <c r="C278" i="6"/>
  <c r="J277" i="6"/>
  <c r="I277" i="6"/>
  <c r="H277" i="6"/>
  <c r="D277" i="6"/>
  <c r="C277" i="6"/>
  <c r="J276" i="6"/>
  <c r="I276" i="6"/>
  <c r="H276" i="6"/>
  <c r="D276" i="6"/>
  <c r="C276" i="6"/>
  <c r="J275" i="6"/>
  <c r="I275" i="6"/>
  <c r="H275" i="6"/>
  <c r="D275" i="6"/>
  <c r="C275" i="6"/>
  <c r="J274" i="6"/>
  <c r="I274" i="6"/>
  <c r="H274" i="6"/>
  <c r="D274" i="6"/>
  <c r="C274" i="6"/>
  <c r="J273" i="6"/>
  <c r="I273" i="6"/>
  <c r="H273" i="6"/>
  <c r="D273" i="6"/>
  <c r="C273" i="6"/>
  <c r="J272" i="6"/>
  <c r="I272" i="6"/>
  <c r="H272" i="6"/>
  <c r="D272" i="6"/>
  <c r="C272" i="6"/>
  <c r="J271" i="6"/>
  <c r="I271" i="6"/>
  <c r="H271" i="6"/>
  <c r="D271" i="6"/>
  <c r="C271" i="6"/>
  <c r="J270" i="6"/>
  <c r="I270" i="6"/>
  <c r="H270" i="6"/>
  <c r="D270" i="6"/>
  <c r="C270" i="6"/>
  <c r="J269" i="6"/>
  <c r="I269" i="6"/>
  <c r="H269" i="6"/>
  <c r="D269" i="6"/>
  <c r="C269" i="6"/>
  <c r="J268" i="6"/>
  <c r="I268" i="6"/>
  <c r="H268" i="6"/>
  <c r="D268" i="6"/>
  <c r="C268" i="6"/>
  <c r="J267" i="6"/>
  <c r="I267" i="6"/>
  <c r="H267" i="6"/>
  <c r="D267" i="6"/>
  <c r="C267" i="6"/>
  <c r="J266" i="6"/>
  <c r="I266" i="6"/>
  <c r="H266" i="6"/>
  <c r="D266" i="6"/>
  <c r="C266" i="6"/>
  <c r="J265" i="6"/>
  <c r="I265" i="6"/>
  <c r="H265" i="6"/>
  <c r="D265" i="6"/>
  <c r="C265" i="6"/>
  <c r="J264" i="6"/>
  <c r="I264" i="6"/>
  <c r="H264" i="6"/>
  <c r="D264" i="6"/>
  <c r="C264" i="6"/>
  <c r="J263" i="6"/>
  <c r="I263" i="6"/>
  <c r="H263" i="6"/>
  <c r="D263" i="6"/>
  <c r="C263" i="6"/>
  <c r="J262" i="6"/>
  <c r="I262" i="6"/>
  <c r="H262" i="6"/>
  <c r="D262" i="6"/>
  <c r="C262" i="6"/>
  <c r="J261" i="6"/>
  <c r="I261" i="6"/>
  <c r="H261" i="6"/>
  <c r="D261" i="6"/>
  <c r="C261" i="6"/>
  <c r="J260" i="6"/>
  <c r="I260" i="6"/>
  <c r="H260" i="6"/>
  <c r="D260" i="6"/>
  <c r="C260" i="6"/>
  <c r="J259" i="6"/>
  <c r="I259" i="6"/>
  <c r="H259" i="6"/>
  <c r="D259" i="6"/>
  <c r="C259" i="6"/>
  <c r="J258" i="6"/>
  <c r="I258" i="6"/>
  <c r="H258" i="6"/>
  <c r="D258" i="6"/>
  <c r="C258" i="6"/>
  <c r="J257" i="6"/>
  <c r="I257" i="6"/>
  <c r="H257" i="6"/>
  <c r="D257" i="6"/>
  <c r="C257" i="6"/>
  <c r="J256" i="6"/>
  <c r="I256" i="6"/>
  <c r="H256" i="6"/>
  <c r="D256" i="6"/>
  <c r="C256" i="6"/>
  <c r="J255" i="6"/>
  <c r="I255" i="6"/>
  <c r="H255" i="6"/>
  <c r="D255" i="6"/>
  <c r="C255" i="6"/>
  <c r="J254" i="6"/>
  <c r="I254" i="6"/>
  <c r="H254" i="6"/>
  <c r="D254" i="6"/>
  <c r="C254" i="6"/>
  <c r="J253" i="6"/>
  <c r="I253" i="6"/>
  <c r="H253" i="6"/>
  <c r="D253" i="6"/>
  <c r="C253" i="6"/>
  <c r="J252" i="6"/>
  <c r="I252" i="6"/>
  <c r="H252" i="6"/>
  <c r="D252" i="6"/>
  <c r="C252" i="6"/>
  <c r="J251" i="6"/>
  <c r="I251" i="6"/>
  <c r="H251" i="6"/>
  <c r="D251" i="6"/>
  <c r="C251" i="6"/>
  <c r="J250" i="6"/>
  <c r="I250" i="6"/>
  <c r="H250" i="6"/>
  <c r="D250" i="6"/>
  <c r="C250" i="6"/>
  <c r="J249" i="6"/>
  <c r="I249" i="6"/>
  <c r="H249" i="6"/>
  <c r="D249" i="6"/>
  <c r="C249" i="6"/>
  <c r="J248" i="6"/>
  <c r="I248" i="6"/>
  <c r="H248" i="6"/>
  <c r="D248" i="6"/>
  <c r="C248" i="6"/>
  <c r="J247" i="6"/>
  <c r="I247" i="6"/>
  <c r="H247" i="6"/>
  <c r="D247" i="6"/>
  <c r="C247" i="6"/>
  <c r="J246" i="6"/>
  <c r="I246" i="6"/>
  <c r="H246" i="6"/>
  <c r="D246" i="6"/>
  <c r="C246" i="6"/>
  <c r="J245" i="6"/>
  <c r="I245" i="6"/>
  <c r="H245" i="6"/>
  <c r="D245" i="6"/>
  <c r="C245" i="6"/>
  <c r="J244" i="6"/>
  <c r="I244" i="6"/>
  <c r="H244" i="6"/>
  <c r="D244" i="6"/>
  <c r="C244" i="6"/>
  <c r="J243" i="6"/>
  <c r="I243" i="6"/>
  <c r="H243" i="6"/>
  <c r="D243" i="6"/>
  <c r="C243" i="6"/>
  <c r="J242" i="6"/>
  <c r="I242" i="6"/>
  <c r="H242" i="6"/>
  <c r="D242" i="6"/>
  <c r="C242" i="6"/>
  <c r="J241" i="6"/>
  <c r="I241" i="6"/>
  <c r="H241" i="6"/>
  <c r="D241" i="6"/>
  <c r="C241" i="6"/>
  <c r="J240" i="6"/>
  <c r="I240" i="6"/>
  <c r="H240" i="6"/>
  <c r="D240" i="6"/>
  <c r="C240" i="6"/>
  <c r="J239" i="6"/>
  <c r="I239" i="6"/>
  <c r="H239" i="6"/>
  <c r="D239" i="6"/>
  <c r="C239" i="6"/>
  <c r="J238" i="6"/>
  <c r="I238" i="6"/>
  <c r="H238" i="6"/>
  <c r="D238" i="6"/>
  <c r="C238" i="6"/>
  <c r="J237" i="6"/>
  <c r="I237" i="6"/>
  <c r="H237" i="6"/>
  <c r="D237" i="6"/>
  <c r="C237" i="6"/>
  <c r="J236" i="6"/>
  <c r="I236" i="6"/>
  <c r="H236" i="6"/>
  <c r="D236" i="6"/>
  <c r="C236" i="6"/>
  <c r="J235" i="6"/>
  <c r="I235" i="6"/>
  <c r="H235" i="6"/>
  <c r="D235" i="6"/>
  <c r="C235" i="6"/>
  <c r="J234" i="6"/>
  <c r="I234" i="6"/>
  <c r="H234" i="6"/>
  <c r="D234" i="6"/>
  <c r="C234" i="6"/>
  <c r="J233" i="6"/>
  <c r="I233" i="6"/>
  <c r="H233" i="6"/>
  <c r="D233" i="6"/>
  <c r="C233" i="6"/>
  <c r="J232" i="6"/>
  <c r="I232" i="6"/>
  <c r="H232" i="6"/>
  <c r="D232" i="6"/>
  <c r="C232" i="6"/>
  <c r="J231" i="6"/>
  <c r="I231" i="6"/>
  <c r="H231" i="6"/>
  <c r="D231" i="6"/>
  <c r="C231" i="6"/>
  <c r="J230" i="6"/>
  <c r="I230" i="6"/>
  <c r="H230" i="6"/>
  <c r="D230" i="6"/>
  <c r="C230" i="6"/>
  <c r="J229" i="6"/>
  <c r="I229" i="6"/>
  <c r="H229" i="6"/>
  <c r="D229" i="6"/>
  <c r="C229" i="6"/>
  <c r="J228" i="6"/>
  <c r="I228" i="6"/>
  <c r="H228" i="6"/>
  <c r="D228" i="6"/>
  <c r="C228" i="6"/>
  <c r="J227" i="6"/>
  <c r="I227" i="6"/>
  <c r="H227" i="6"/>
  <c r="D227" i="6"/>
  <c r="C227" i="6"/>
  <c r="J226" i="6"/>
  <c r="I226" i="6"/>
  <c r="H226" i="6"/>
  <c r="D226" i="6"/>
  <c r="C226" i="6"/>
  <c r="J225" i="6"/>
  <c r="I225" i="6"/>
  <c r="H225" i="6"/>
  <c r="D225" i="6"/>
  <c r="C225" i="6"/>
  <c r="J224" i="6"/>
  <c r="I224" i="6"/>
  <c r="H224" i="6"/>
  <c r="D224" i="6"/>
  <c r="C224" i="6"/>
  <c r="J223" i="6"/>
  <c r="I223" i="6"/>
  <c r="H223" i="6"/>
  <c r="D223" i="6"/>
  <c r="C223" i="6"/>
  <c r="J222" i="6"/>
  <c r="I222" i="6"/>
  <c r="H222" i="6"/>
  <c r="D222" i="6"/>
  <c r="C222" i="6"/>
  <c r="J221" i="6"/>
  <c r="I221" i="6"/>
  <c r="H221" i="6"/>
  <c r="D221" i="6"/>
  <c r="C221" i="6"/>
  <c r="J220" i="6"/>
  <c r="I220" i="6"/>
  <c r="H220" i="6"/>
  <c r="D220" i="6"/>
  <c r="C220" i="6"/>
  <c r="J219" i="6"/>
  <c r="I219" i="6"/>
  <c r="H219" i="6"/>
  <c r="D219" i="6"/>
  <c r="C219" i="6"/>
  <c r="J218" i="6"/>
  <c r="I218" i="6"/>
  <c r="H218" i="6"/>
  <c r="D218" i="6"/>
  <c r="C218" i="6"/>
  <c r="J217" i="6"/>
  <c r="I217" i="6"/>
  <c r="H217" i="6"/>
  <c r="D217" i="6"/>
  <c r="C217" i="6"/>
  <c r="J216" i="6"/>
  <c r="I216" i="6"/>
  <c r="H216" i="6"/>
  <c r="D216" i="6"/>
  <c r="C216" i="6"/>
  <c r="J215" i="6"/>
  <c r="I215" i="6"/>
  <c r="H215" i="6"/>
  <c r="D215" i="6"/>
  <c r="C215" i="6"/>
  <c r="J214" i="6"/>
  <c r="I214" i="6"/>
  <c r="H214" i="6"/>
  <c r="D214" i="6"/>
  <c r="C214" i="6"/>
  <c r="J213" i="6"/>
  <c r="I213" i="6"/>
  <c r="H213" i="6"/>
  <c r="D213" i="6"/>
  <c r="C213" i="6"/>
  <c r="J212" i="6"/>
  <c r="I212" i="6"/>
  <c r="H212" i="6"/>
  <c r="D212" i="6"/>
  <c r="C212" i="6"/>
  <c r="J211" i="6"/>
  <c r="I211" i="6"/>
  <c r="H211" i="6"/>
  <c r="D211" i="6"/>
  <c r="C211" i="6"/>
  <c r="J210" i="6"/>
  <c r="I210" i="6"/>
  <c r="H210" i="6"/>
  <c r="D210" i="6"/>
  <c r="C210" i="6"/>
  <c r="J209" i="6"/>
  <c r="I209" i="6"/>
  <c r="H209" i="6"/>
  <c r="D209" i="6"/>
  <c r="C209" i="6"/>
  <c r="J208" i="6"/>
  <c r="I208" i="6"/>
  <c r="H208" i="6"/>
  <c r="D208" i="6"/>
  <c r="C208" i="6"/>
  <c r="J207" i="6"/>
  <c r="I207" i="6"/>
  <c r="H207" i="6"/>
  <c r="D207" i="6"/>
  <c r="C207" i="6"/>
  <c r="J206" i="6"/>
  <c r="I206" i="6"/>
  <c r="H206" i="6"/>
  <c r="D206" i="6"/>
  <c r="C206" i="6"/>
  <c r="J205" i="6"/>
  <c r="I205" i="6"/>
  <c r="H205" i="6"/>
  <c r="D205" i="6"/>
  <c r="C205" i="6"/>
  <c r="J204" i="6"/>
  <c r="I204" i="6"/>
  <c r="H204" i="6"/>
  <c r="D204" i="6"/>
  <c r="C204" i="6"/>
  <c r="J203" i="6"/>
  <c r="I203" i="6"/>
  <c r="H203" i="6"/>
  <c r="D203" i="6"/>
  <c r="C203" i="6"/>
  <c r="J202" i="6"/>
  <c r="I202" i="6"/>
  <c r="H202" i="6"/>
  <c r="D202" i="6"/>
  <c r="C202" i="6"/>
  <c r="J201" i="6"/>
  <c r="I201" i="6"/>
  <c r="H201" i="6"/>
  <c r="D201" i="6"/>
  <c r="C201" i="6"/>
  <c r="J200" i="6"/>
  <c r="I200" i="6"/>
  <c r="H200" i="6"/>
  <c r="D200" i="6"/>
  <c r="C200" i="6"/>
  <c r="J199" i="6"/>
  <c r="I199" i="6"/>
  <c r="H199" i="6"/>
  <c r="D199" i="6"/>
  <c r="C199" i="6"/>
  <c r="J198" i="6"/>
  <c r="I198" i="6"/>
  <c r="H198" i="6"/>
  <c r="D198" i="6"/>
  <c r="C198" i="6"/>
  <c r="J197" i="6"/>
  <c r="I197" i="6"/>
  <c r="H197" i="6"/>
  <c r="D197" i="6"/>
  <c r="C197" i="6"/>
  <c r="J196" i="6"/>
  <c r="I196" i="6"/>
  <c r="H196" i="6"/>
  <c r="D196" i="6"/>
  <c r="C196" i="6"/>
  <c r="J195" i="6"/>
  <c r="I195" i="6"/>
  <c r="H195" i="6"/>
  <c r="D195" i="6"/>
  <c r="C195" i="6"/>
  <c r="J194" i="6"/>
  <c r="I194" i="6"/>
  <c r="H194" i="6"/>
  <c r="D194" i="6"/>
  <c r="C194" i="6"/>
  <c r="J193" i="6"/>
  <c r="I193" i="6"/>
  <c r="H193" i="6"/>
  <c r="D193" i="6"/>
  <c r="C193" i="6"/>
  <c r="J192" i="6"/>
  <c r="I192" i="6"/>
  <c r="H192" i="6"/>
  <c r="D192" i="6"/>
  <c r="C192" i="6"/>
  <c r="J191" i="6"/>
  <c r="I191" i="6"/>
  <c r="H191" i="6"/>
  <c r="D191" i="6"/>
  <c r="C191" i="6"/>
  <c r="J190" i="6"/>
  <c r="I190" i="6"/>
  <c r="H190" i="6"/>
  <c r="D190" i="6"/>
  <c r="C190" i="6"/>
  <c r="J189" i="6"/>
  <c r="I189" i="6"/>
  <c r="H189" i="6"/>
  <c r="D189" i="6"/>
  <c r="C189" i="6"/>
  <c r="J188" i="6"/>
  <c r="I188" i="6"/>
  <c r="H188" i="6"/>
  <c r="D188" i="6"/>
  <c r="C188" i="6"/>
  <c r="J187" i="6"/>
  <c r="I187" i="6"/>
  <c r="H187" i="6"/>
  <c r="D187" i="6"/>
  <c r="C187" i="6"/>
  <c r="J186" i="6"/>
  <c r="I186" i="6"/>
  <c r="H186" i="6"/>
  <c r="D186" i="6"/>
  <c r="C186" i="6"/>
  <c r="J185" i="6"/>
  <c r="I185" i="6"/>
  <c r="H185" i="6"/>
  <c r="D185" i="6"/>
  <c r="C185" i="6"/>
  <c r="J184" i="6"/>
  <c r="I184" i="6"/>
  <c r="H184" i="6"/>
  <c r="D184" i="6"/>
  <c r="C184" i="6"/>
  <c r="J183" i="6"/>
  <c r="I183" i="6"/>
  <c r="H183" i="6"/>
  <c r="D183" i="6"/>
  <c r="C183" i="6"/>
  <c r="J182" i="6"/>
  <c r="I182" i="6"/>
  <c r="H182" i="6"/>
  <c r="D182" i="6"/>
  <c r="C182" i="6"/>
  <c r="J181" i="6"/>
  <c r="I181" i="6"/>
  <c r="H181" i="6"/>
  <c r="D181" i="6"/>
  <c r="C181" i="6"/>
  <c r="J180" i="6"/>
  <c r="I180" i="6"/>
  <c r="H180" i="6"/>
  <c r="D180" i="6"/>
  <c r="C180" i="6"/>
  <c r="J179" i="6"/>
  <c r="I179" i="6"/>
  <c r="H179" i="6"/>
  <c r="D179" i="6"/>
  <c r="C179" i="6"/>
  <c r="J178" i="6"/>
  <c r="I178" i="6"/>
  <c r="H178" i="6"/>
  <c r="D178" i="6"/>
  <c r="C178" i="6"/>
  <c r="J177" i="6"/>
  <c r="I177" i="6"/>
  <c r="H177" i="6"/>
  <c r="D177" i="6"/>
  <c r="C177" i="6"/>
  <c r="J176" i="6"/>
  <c r="I176" i="6"/>
  <c r="H176" i="6"/>
  <c r="D176" i="6"/>
  <c r="C176" i="6"/>
  <c r="J175" i="6"/>
  <c r="I175" i="6"/>
  <c r="H175" i="6"/>
  <c r="D175" i="6"/>
  <c r="C175" i="6"/>
  <c r="J174" i="6"/>
  <c r="I174" i="6"/>
  <c r="H174" i="6"/>
  <c r="D174" i="6"/>
  <c r="C174" i="6"/>
  <c r="J173" i="6"/>
  <c r="I173" i="6"/>
  <c r="H173" i="6"/>
  <c r="D173" i="6"/>
  <c r="C173" i="6"/>
  <c r="J172" i="6"/>
  <c r="I172" i="6"/>
  <c r="H172" i="6"/>
  <c r="D172" i="6"/>
  <c r="C172" i="6"/>
  <c r="J171" i="6"/>
  <c r="I171" i="6"/>
  <c r="H171" i="6"/>
  <c r="D171" i="6"/>
  <c r="C171" i="6"/>
  <c r="J170" i="6"/>
  <c r="I170" i="6"/>
  <c r="H170" i="6"/>
  <c r="D170" i="6"/>
  <c r="C170" i="6"/>
  <c r="J169" i="6"/>
  <c r="I169" i="6"/>
  <c r="H169" i="6"/>
  <c r="D169" i="6"/>
  <c r="C169" i="6"/>
  <c r="J168" i="6"/>
  <c r="I168" i="6"/>
  <c r="H168" i="6"/>
  <c r="D168" i="6"/>
  <c r="C168" i="6"/>
  <c r="J167" i="6"/>
  <c r="I167" i="6"/>
  <c r="H167" i="6"/>
  <c r="D167" i="6"/>
  <c r="C167" i="6"/>
  <c r="J166" i="6"/>
  <c r="I166" i="6"/>
  <c r="H166" i="6"/>
  <c r="D166" i="6"/>
  <c r="C166" i="6"/>
  <c r="J165" i="6"/>
  <c r="I165" i="6"/>
  <c r="H165" i="6"/>
  <c r="D165" i="6"/>
  <c r="C165" i="6"/>
  <c r="J164" i="6"/>
  <c r="I164" i="6"/>
  <c r="H164" i="6"/>
  <c r="D164" i="6"/>
  <c r="C164" i="6"/>
  <c r="J163" i="6"/>
  <c r="I163" i="6"/>
  <c r="H163" i="6"/>
  <c r="D163" i="6"/>
  <c r="C163" i="6"/>
  <c r="J162" i="6"/>
  <c r="I162" i="6"/>
  <c r="H162" i="6"/>
  <c r="D162" i="6"/>
  <c r="C162" i="6"/>
  <c r="J161" i="6"/>
  <c r="I161" i="6"/>
  <c r="H161" i="6"/>
  <c r="D161" i="6"/>
  <c r="C161" i="6"/>
  <c r="J160" i="6"/>
  <c r="I160" i="6"/>
  <c r="H160" i="6"/>
  <c r="D160" i="6"/>
  <c r="C160" i="6"/>
  <c r="J159" i="6"/>
  <c r="I159" i="6"/>
  <c r="H159" i="6"/>
  <c r="D159" i="6"/>
  <c r="C159" i="6"/>
  <c r="J158" i="6"/>
  <c r="I158" i="6"/>
  <c r="H158" i="6"/>
  <c r="D158" i="6"/>
  <c r="C158" i="6"/>
  <c r="J157" i="6"/>
  <c r="I157" i="6"/>
  <c r="H157" i="6"/>
  <c r="D157" i="6"/>
  <c r="C157" i="6"/>
  <c r="J156" i="6"/>
  <c r="I156" i="6"/>
  <c r="H156" i="6"/>
  <c r="D156" i="6"/>
  <c r="C156" i="6"/>
  <c r="J155" i="6"/>
  <c r="I155" i="6"/>
  <c r="H155" i="6"/>
  <c r="D155" i="6"/>
  <c r="C155" i="6"/>
  <c r="J154" i="6"/>
  <c r="I154" i="6"/>
  <c r="H154" i="6"/>
  <c r="D154" i="6"/>
  <c r="C154" i="6"/>
  <c r="J153" i="6"/>
  <c r="I153" i="6"/>
  <c r="H153" i="6"/>
  <c r="D153" i="6"/>
  <c r="C153" i="6"/>
  <c r="J152" i="6"/>
  <c r="I152" i="6"/>
  <c r="H152" i="6"/>
  <c r="D152" i="6"/>
  <c r="C152" i="6"/>
  <c r="J151" i="6"/>
  <c r="I151" i="6"/>
  <c r="H151" i="6"/>
  <c r="D151" i="6"/>
  <c r="C151" i="6"/>
  <c r="J150" i="6"/>
  <c r="I150" i="6"/>
  <c r="H150" i="6"/>
  <c r="D150" i="6"/>
  <c r="C150" i="6"/>
  <c r="J149" i="6"/>
  <c r="I149" i="6"/>
  <c r="H149" i="6"/>
  <c r="D149" i="6"/>
  <c r="C149" i="6"/>
  <c r="J148" i="6"/>
  <c r="I148" i="6"/>
  <c r="H148" i="6"/>
  <c r="D148" i="6"/>
  <c r="C148" i="6"/>
  <c r="J147" i="6"/>
  <c r="I147" i="6"/>
  <c r="H147" i="6"/>
  <c r="D147" i="6"/>
  <c r="C147" i="6"/>
  <c r="J146" i="6"/>
  <c r="I146" i="6"/>
  <c r="H146" i="6"/>
  <c r="D146" i="6"/>
  <c r="C146" i="6"/>
  <c r="J145" i="6"/>
  <c r="I145" i="6"/>
  <c r="H145" i="6"/>
  <c r="D145" i="6"/>
  <c r="C145" i="6"/>
  <c r="J144" i="6"/>
  <c r="I144" i="6"/>
  <c r="H144" i="6"/>
  <c r="D144" i="6"/>
  <c r="C144" i="6"/>
  <c r="J143" i="6"/>
  <c r="I143" i="6"/>
  <c r="H143" i="6"/>
  <c r="D143" i="6"/>
  <c r="C143" i="6"/>
  <c r="J142" i="6"/>
  <c r="I142" i="6"/>
  <c r="H142" i="6"/>
  <c r="D142" i="6"/>
  <c r="C142" i="6"/>
  <c r="J141" i="6"/>
  <c r="I141" i="6"/>
  <c r="H141" i="6"/>
  <c r="D141" i="6"/>
  <c r="C141" i="6"/>
  <c r="J140" i="6"/>
  <c r="I140" i="6"/>
  <c r="H140" i="6"/>
  <c r="D140" i="6"/>
  <c r="C140" i="6"/>
  <c r="J139" i="6"/>
  <c r="I139" i="6"/>
  <c r="H139" i="6"/>
  <c r="D139" i="6"/>
  <c r="C139" i="6"/>
  <c r="J138" i="6"/>
  <c r="I138" i="6"/>
  <c r="H138" i="6"/>
  <c r="D138" i="6"/>
  <c r="C138" i="6"/>
  <c r="J137" i="6"/>
  <c r="I137" i="6"/>
  <c r="H137" i="6"/>
  <c r="D137" i="6"/>
  <c r="C137" i="6"/>
  <c r="J136" i="6"/>
  <c r="I136" i="6"/>
  <c r="H136" i="6"/>
  <c r="D136" i="6"/>
  <c r="C136" i="6"/>
  <c r="J135" i="6"/>
  <c r="I135" i="6"/>
  <c r="H135" i="6"/>
  <c r="D135" i="6"/>
  <c r="C135" i="6"/>
  <c r="J134" i="6"/>
  <c r="I134" i="6"/>
  <c r="H134" i="6"/>
  <c r="D134" i="6"/>
  <c r="C134" i="6"/>
  <c r="J133" i="6"/>
  <c r="I133" i="6"/>
  <c r="H133" i="6"/>
  <c r="D133" i="6"/>
  <c r="C133" i="6"/>
  <c r="J132" i="6"/>
  <c r="I132" i="6"/>
  <c r="H132" i="6"/>
  <c r="D132" i="6"/>
  <c r="C132" i="6"/>
  <c r="J131" i="6"/>
  <c r="I131" i="6"/>
  <c r="H131" i="6"/>
  <c r="D131" i="6"/>
  <c r="C131" i="6"/>
  <c r="J130" i="6"/>
  <c r="I130" i="6"/>
  <c r="H130" i="6"/>
  <c r="D130" i="6"/>
  <c r="C130" i="6"/>
  <c r="J129" i="6"/>
  <c r="I129" i="6"/>
  <c r="H129" i="6"/>
  <c r="D129" i="6"/>
  <c r="C129" i="6"/>
  <c r="J128" i="6"/>
  <c r="I128" i="6"/>
  <c r="H128" i="6"/>
  <c r="D128" i="6"/>
  <c r="C128" i="6"/>
  <c r="J127" i="6"/>
  <c r="I127" i="6"/>
  <c r="H127" i="6"/>
  <c r="D127" i="6"/>
  <c r="C127" i="6"/>
  <c r="J126" i="6"/>
  <c r="I126" i="6"/>
  <c r="H126" i="6"/>
  <c r="D126" i="6"/>
  <c r="C126" i="6"/>
  <c r="J125" i="6"/>
  <c r="I125" i="6"/>
  <c r="H125" i="6"/>
  <c r="D125" i="6"/>
  <c r="C125" i="6"/>
  <c r="J124" i="6"/>
  <c r="I124" i="6"/>
  <c r="H124" i="6"/>
  <c r="D124" i="6"/>
  <c r="C124" i="6"/>
  <c r="J123" i="6"/>
  <c r="I123" i="6"/>
  <c r="H123" i="6"/>
  <c r="D123" i="6"/>
  <c r="C123" i="6"/>
  <c r="J122" i="6"/>
  <c r="I122" i="6"/>
  <c r="H122" i="6"/>
  <c r="D122" i="6"/>
  <c r="C122" i="6"/>
  <c r="J121" i="6"/>
  <c r="I121" i="6"/>
  <c r="H121" i="6"/>
  <c r="D121" i="6"/>
  <c r="C121" i="6"/>
  <c r="J120" i="6"/>
  <c r="I120" i="6"/>
  <c r="H120" i="6"/>
  <c r="D120" i="6"/>
  <c r="C120" i="6"/>
  <c r="J119" i="6"/>
  <c r="I119" i="6"/>
  <c r="H119" i="6"/>
  <c r="D119" i="6"/>
  <c r="C119" i="6"/>
  <c r="J118" i="6"/>
  <c r="I118" i="6"/>
  <c r="H118" i="6"/>
  <c r="D118" i="6"/>
  <c r="C118" i="6"/>
  <c r="J117" i="6"/>
  <c r="I117" i="6"/>
  <c r="H117" i="6"/>
  <c r="D117" i="6"/>
  <c r="C117" i="6"/>
  <c r="J116" i="6"/>
  <c r="I116" i="6"/>
  <c r="H116" i="6"/>
  <c r="D116" i="6"/>
  <c r="C116" i="6"/>
  <c r="J115" i="6"/>
  <c r="I115" i="6"/>
  <c r="H115" i="6"/>
  <c r="D115" i="6"/>
  <c r="C115" i="6"/>
  <c r="J114" i="6"/>
  <c r="I114" i="6"/>
  <c r="H114" i="6"/>
  <c r="D114" i="6"/>
  <c r="C114" i="6"/>
  <c r="J113" i="6"/>
  <c r="I113" i="6"/>
  <c r="H113" i="6"/>
  <c r="D113" i="6"/>
  <c r="C113" i="6"/>
  <c r="J112" i="6"/>
  <c r="I112" i="6"/>
  <c r="H112" i="6"/>
  <c r="D112" i="6"/>
  <c r="C112" i="6"/>
  <c r="J111" i="6"/>
  <c r="I111" i="6"/>
  <c r="H111" i="6"/>
  <c r="D111" i="6"/>
  <c r="C111" i="6"/>
  <c r="J110" i="6"/>
  <c r="I110" i="6"/>
  <c r="H110" i="6"/>
  <c r="D110" i="6"/>
  <c r="C110" i="6"/>
  <c r="J109" i="6"/>
  <c r="I109" i="6"/>
  <c r="H109" i="6"/>
  <c r="D109" i="6"/>
  <c r="C109" i="6"/>
  <c r="J108" i="6"/>
  <c r="I108" i="6"/>
  <c r="H108" i="6"/>
  <c r="D108" i="6"/>
  <c r="C108" i="6"/>
  <c r="J107" i="6"/>
  <c r="I107" i="6"/>
  <c r="H107" i="6"/>
  <c r="D107" i="6"/>
  <c r="C107" i="6"/>
  <c r="J106" i="6"/>
  <c r="I106" i="6"/>
  <c r="H106" i="6"/>
  <c r="D106" i="6"/>
  <c r="C106" i="6"/>
  <c r="J105" i="6"/>
  <c r="I105" i="6"/>
  <c r="H105" i="6"/>
  <c r="D105" i="6"/>
  <c r="C105" i="6"/>
  <c r="J104" i="6"/>
  <c r="I104" i="6"/>
  <c r="H104" i="6"/>
  <c r="D104" i="6"/>
  <c r="C104" i="6"/>
  <c r="J103" i="6"/>
  <c r="I103" i="6"/>
  <c r="H103" i="6"/>
  <c r="D103" i="6"/>
  <c r="C103" i="6"/>
  <c r="J102" i="6"/>
  <c r="I102" i="6"/>
  <c r="H102" i="6"/>
  <c r="D102" i="6"/>
  <c r="C102" i="6"/>
  <c r="J101" i="6"/>
  <c r="I101" i="6"/>
  <c r="H101" i="6"/>
  <c r="D101" i="6"/>
  <c r="C101" i="6"/>
  <c r="J100" i="6"/>
  <c r="I100" i="6"/>
  <c r="H100" i="6"/>
  <c r="D100" i="6"/>
  <c r="C100" i="6"/>
  <c r="J99" i="6"/>
  <c r="I99" i="6"/>
  <c r="H99" i="6"/>
  <c r="D99" i="6"/>
  <c r="C99" i="6"/>
  <c r="J98" i="6"/>
  <c r="I98" i="6"/>
  <c r="H98" i="6"/>
  <c r="D98" i="6"/>
  <c r="C98" i="6"/>
  <c r="J97" i="6"/>
  <c r="I97" i="6"/>
  <c r="H97" i="6"/>
  <c r="D97" i="6"/>
  <c r="C97" i="6"/>
  <c r="J96" i="6"/>
  <c r="I96" i="6"/>
  <c r="H96" i="6"/>
  <c r="D96" i="6"/>
  <c r="C96" i="6"/>
  <c r="J95" i="6"/>
  <c r="I95" i="6"/>
  <c r="H95" i="6"/>
  <c r="D95" i="6"/>
  <c r="C95" i="6"/>
  <c r="J94" i="6"/>
  <c r="I94" i="6"/>
  <c r="H94" i="6"/>
  <c r="D94" i="6"/>
  <c r="C94" i="6"/>
  <c r="J93" i="6"/>
  <c r="I93" i="6"/>
  <c r="H93" i="6"/>
  <c r="D93" i="6"/>
  <c r="C93" i="6"/>
  <c r="J92" i="6"/>
  <c r="I92" i="6"/>
  <c r="H92" i="6"/>
  <c r="D92" i="6"/>
  <c r="C92" i="6"/>
  <c r="J91" i="6"/>
  <c r="I91" i="6"/>
  <c r="H91" i="6"/>
  <c r="D91" i="6"/>
  <c r="C91" i="6"/>
  <c r="J90" i="6"/>
  <c r="I90" i="6"/>
  <c r="H90" i="6"/>
  <c r="D90" i="6"/>
  <c r="C90" i="6"/>
  <c r="J89" i="6"/>
  <c r="I89" i="6"/>
  <c r="H89" i="6"/>
  <c r="D89" i="6"/>
  <c r="C89" i="6"/>
  <c r="J88" i="6"/>
  <c r="I88" i="6"/>
  <c r="H88" i="6"/>
  <c r="D88" i="6"/>
  <c r="C88" i="6"/>
  <c r="J87" i="6"/>
  <c r="I87" i="6"/>
  <c r="H87" i="6"/>
  <c r="D87" i="6"/>
  <c r="C87" i="6"/>
  <c r="J86" i="6"/>
  <c r="I86" i="6"/>
  <c r="H86" i="6"/>
  <c r="D86" i="6"/>
  <c r="C86" i="6"/>
  <c r="J85" i="6"/>
  <c r="I85" i="6"/>
  <c r="H85" i="6"/>
  <c r="D85" i="6"/>
  <c r="C85" i="6"/>
  <c r="J84" i="6"/>
  <c r="I84" i="6"/>
  <c r="H84" i="6"/>
  <c r="D84" i="6"/>
  <c r="C84" i="6"/>
  <c r="J83" i="6"/>
  <c r="I83" i="6"/>
  <c r="H83" i="6"/>
  <c r="D83" i="6"/>
  <c r="C83" i="6"/>
  <c r="J82" i="6"/>
  <c r="I82" i="6"/>
  <c r="H82" i="6"/>
  <c r="D82" i="6"/>
  <c r="C82" i="6"/>
  <c r="J81" i="6"/>
  <c r="I81" i="6"/>
  <c r="H81" i="6"/>
  <c r="D81" i="6"/>
  <c r="C81" i="6"/>
  <c r="J80" i="6"/>
  <c r="I80" i="6"/>
  <c r="H80" i="6"/>
  <c r="D80" i="6"/>
  <c r="C80" i="6"/>
  <c r="J79" i="6"/>
  <c r="I79" i="6"/>
  <c r="H79" i="6"/>
  <c r="D79" i="6"/>
  <c r="C79" i="6"/>
  <c r="J78" i="6"/>
  <c r="I78" i="6"/>
  <c r="H78" i="6"/>
  <c r="D78" i="6"/>
  <c r="C78" i="6"/>
  <c r="J77" i="6"/>
  <c r="I77" i="6"/>
  <c r="H77" i="6"/>
  <c r="D77" i="6"/>
  <c r="C77" i="6"/>
  <c r="J76" i="6"/>
  <c r="I76" i="6"/>
  <c r="H76" i="6"/>
  <c r="D76" i="6"/>
  <c r="C76" i="6"/>
  <c r="J75" i="6"/>
  <c r="I75" i="6"/>
  <c r="H75" i="6"/>
  <c r="D75" i="6"/>
  <c r="C75" i="6"/>
  <c r="J74" i="6"/>
  <c r="I74" i="6"/>
  <c r="H74" i="6"/>
  <c r="D74" i="6"/>
  <c r="C74" i="6"/>
  <c r="J73" i="6"/>
  <c r="I73" i="6"/>
  <c r="H73" i="6"/>
  <c r="D73" i="6"/>
  <c r="C73" i="6"/>
  <c r="J72" i="6"/>
  <c r="I72" i="6"/>
  <c r="H72" i="6"/>
  <c r="D72" i="6"/>
  <c r="C72" i="6"/>
  <c r="J71" i="6"/>
  <c r="I71" i="6"/>
  <c r="H71" i="6"/>
  <c r="D71" i="6"/>
  <c r="C71" i="6"/>
  <c r="J70" i="6"/>
  <c r="I70" i="6"/>
  <c r="H70" i="6"/>
  <c r="D70" i="6"/>
  <c r="C70" i="6"/>
  <c r="J69" i="6"/>
  <c r="I69" i="6"/>
  <c r="H69" i="6"/>
  <c r="D69" i="6"/>
  <c r="C69" i="6"/>
  <c r="J68" i="6"/>
  <c r="I68" i="6"/>
  <c r="H68" i="6"/>
  <c r="D68" i="6"/>
  <c r="C68" i="6"/>
  <c r="J67" i="6"/>
  <c r="I67" i="6"/>
  <c r="H67" i="6"/>
  <c r="D67" i="6"/>
  <c r="C67" i="6"/>
  <c r="J66" i="6"/>
  <c r="I66" i="6"/>
  <c r="H66" i="6"/>
  <c r="D66" i="6"/>
  <c r="C66" i="6"/>
  <c r="J65" i="6"/>
  <c r="I65" i="6"/>
  <c r="H65" i="6"/>
  <c r="D65" i="6"/>
  <c r="C65" i="6"/>
  <c r="J64" i="6"/>
  <c r="I64" i="6"/>
  <c r="H64" i="6"/>
  <c r="D64" i="6"/>
  <c r="C64" i="6"/>
  <c r="J63" i="6"/>
  <c r="I63" i="6"/>
  <c r="H63" i="6"/>
  <c r="D63" i="6"/>
  <c r="C63" i="6"/>
  <c r="J62" i="6"/>
  <c r="I62" i="6"/>
  <c r="H62" i="6"/>
  <c r="D62" i="6"/>
  <c r="C62" i="6"/>
  <c r="J61" i="6"/>
  <c r="I61" i="6"/>
  <c r="H61" i="6"/>
  <c r="D61" i="6"/>
  <c r="C61" i="6"/>
  <c r="J60" i="6"/>
  <c r="I60" i="6"/>
  <c r="H60" i="6"/>
  <c r="D60" i="6"/>
  <c r="C60" i="6"/>
  <c r="J59" i="6"/>
  <c r="I59" i="6"/>
  <c r="H59" i="6"/>
  <c r="D59" i="6"/>
  <c r="C59" i="6"/>
  <c r="J58" i="6"/>
  <c r="I58" i="6"/>
  <c r="H58" i="6"/>
  <c r="D58" i="6"/>
  <c r="C58" i="6"/>
  <c r="J57" i="6"/>
  <c r="I57" i="6"/>
  <c r="H57" i="6"/>
  <c r="D57" i="6"/>
  <c r="C57" i="6"/>
  <c r="J56" i="6"/>
  <c r="I56" i="6"/>
  <c r="H56" i="6"/>
  <c r="D56" i="6"/>
  <c r="C56" i="6"/>
  <c r="J55" i="6"/>
  <c r="I55" i="6"/>
  <c r="H55" i="6"/>
  <c r="D55" i="6"/>
  <c r="C55" i="6"/>
  <c r="J54" i="6"/>
  <c r="I54" i="6"/>
  <c r="H54" i="6"/>
  <c r="D54" i="6"/>
  <c r="C54" i="6"/>
  <c r="J53" i="6"/>
  <c r="I53" i="6"/>
  <c r="H53" i="6"/>
  <c r="D53" i="6"/>
  <c r="C53" i="6"/>
  <c r="J52" i="6"/>
  <c r="I52" i="6"/>
  <c r="H52" i="6"/>
  <c r="D52" i="6"/>
  <c r="C52" i="6"/>
  <c r="J51" i="6"/>
  <c r="I51" i="6"/>
  <c r="H51" i="6"/>
  <c r="D51" i="6"/>
  <c r="C51" i="6"/>
  <c r="J50" i="6"/>
  <c r="I50" i="6"/>
  <c r="H50" i="6"/>
  <c r="D50" i="6"/>
  <c r="C50" i="6"/>
  <c r="J49" i="6"/>
  <c r="I49" i="6"/>
  <c r="H49" i="6"/>
  <c r="D49" i="6"/>
  <c r="C49" i="6"/>
  <c r="J48" i="6"/>
  <c r="I48" i="6"/>
  <c r="H48" i="6"/>
  <c r="D48" i="6"/>
  <c r="C48" i="6"/>
  <c r="J47" i="6"/>
  <c r="I47" i="6"/>
  <c r="H47" i="6"/>
  <c r="D47" i="6"/>
  <c r="C47" i="6"/>
  <c r="J46" i="6"/>
  <c r="I46" i="6"/>
  <c r="H46" i="6"/>
  <c r="D46" i="6"/>
  <c r="C46" i="6"/>
  <c r="J45" i="6"/>
  <c r="I45" i="6"/>
  <c r="H45" i="6"/>
  <c r="D45" i="6"/>
  <c r="C45" i="6"/>
  <c r="J44" i="6"/>
  <c r="I44" i="6"/>
  <c r="H44" i="6"/>
  <c r="D44" i="6"/>
  <c r="C44" i="6"/>
  <c r="J43" i="6"/>
  <c r="I43" i="6"/>
  <c r="H43" i="6"/>
  <c r="D43" i="6"/>
  <c r="C43" i="6"/>
  <c r="J42" i="6"/>
  <c r="I42" i="6"/>
  <c r="H42" i="6"/>
  <c r="D42" i="6"/>
  <c r="C42" i="6"/>
  <c r="J41" i="6"/>
  <c r="I41" i="6"/>
  <c r="H41" i="6"/>
  <c r="D41" i="6"/>
  <c r="C41" i="6"/>
  <c r="J40" i="6"/>
  <c r="I40" i="6"/>
  <c r="H40" i="6"/>
  <c r="D40" i="6"/>
  <c r="C40" i="6"/>
  <c r="J39" i="6"/>
  <c r="I39" i="6"/>
  <c r="H39" i="6"/>
  <c r="D39" i="6"/>
  <c r="C39" i="6"/>
  <c r="J38" i="6"/>
  <c r="I38" i="6"/>
  <c r="H38" i="6"/>
  <c r="D38" i="6"/>
  <c r="C38" i="6"/>
  <c r="J37" i="6"/>
  <c r="I37" i="6"/>
  <c r="H37" i="6"/>
  <c r="D37" i="6"/>
  <c r="C37" i="6"/>
  <c r="J36" i="6"/>
  <c r="I36" i="6"/>
  <c r="H36" i="6"/>
  <c r="D36" i="6"/>
  <c r="C36" i="6"/>
  <c r="J35" i="6"/>
  <c r="I35" i="6"/>
  <c r="H35" i="6"/>
  <c r="D35" i="6"/>
  <c r="C35" i="6"/>
  <c r="J34" i="6"/>
  <c r="I34" i="6"/>
  <c r="H34" i="6"/>
  <c r="D34" i="6"/>
  <c r="C34" i="6"/>
  <c r="J33" i="6"/>
  <c r="I33" i="6"/>
  <c r="H33" i="6"/>
  <c r="D33" i="6"/>
  <c r="C33" i="6"/>
  <c r="J32" i="6"/>
  <c r="I32" i="6"/>
  <c r="H32" i="6"/>
  <c r="D32" i="6"/>
  <c r="C32" i="6"/>
  <c r="J31" i="6"/>
  <c r="I31" i="6"/>
  <c r="H31" i="6"/>
  <c r="D31" i="6"/>
  <c r="C31" i="6"/>
  <c r="J30" i="6"/>
  <c r="I30" i="6"/>
  <c r="H30" i="6"/>
  <c r="D30" i="6"/>
  <c r="C30" i="6"/>
  <c r="J29" i="6"/>
  <c r="I29" i="6"/>
  <c r="H29" i="6"/>
  <c r="D29" i="6"/>
  <c r="C29" i="6"/>
  <c r="J28" i="6"/>
  <c r="I28" i="6"/>
  <c r="H28" i="6"/>
  <c r="D28" i="6"/>
  <c r="C28" i="6"/>
  <c r="J27" i="6"/>
  <c r="I27" i="6"/>
  <c r="H27" i="6"/>
  <c r="D27" i="6"/>
  <c r="C27" i="6"/>
  <c r="J26" i="6"/>
  <c r="I26" i="6"/>
  <c r="H26" i="6"/>
  <c r="D26" i="6"/>
  <c r="C26" i="6"/>
  <c r="J25" i="6"/>
  <c r="I25" i="6"/>
  <c r="H25" i="6"/>
  <c r="D25" i="6"/>
  <c r="C25" i="6"/>
  <c r="J24" i="6"/>
  <c r="I24" i="6"/>
  <c r="H24" i="6"/>
  <c r="D24" i="6"/>
  <c r="C24" i="6"/>
  <c r="J23" i="6"/>
  <c r="I23" i="6"/>
  <c r="H23" i="6"/>
  <c r="D23" i="6"/>
  <c r="C23" i="6"/>
  <c r="J22" i="6"/>
  <c r="I22" i="6"/>
  <c r="H22" i="6"/>
  <c r="D22" i="6"/>
  <c r="C22" i="6"/>
  <c r="J21" i="6"/>
  <c r="I21" i="6"/>
  <c r="H21" i="6"/>
  <c r="D21" i="6"/>
  <c r="C21" i="6"/>
  <c r="I20" i="6"/>
  <c r="H20" i="6"/>
  <c r="J20" i="6" s="1"/>
  <c r="D20" i="6"/>
  <c r="C20" i="6"/>
  <c r="I19" i="6"/>
  <c r="H19" i="6"/>
  <c r="J19" i="6" s="1"/>
  <c r="D19" i="6"/>
  <c r="C19" i="6"/>
  <c r="I18" i="6"/>
  <c r="H18" i="6"/>
  <c r="J18" i="6" s="1"/>
  <c r="D18" i="6"/>
  <c r="C18" i="6"/>
  <c r="I17" i="6"/>
  <c r="J17" i="6" s="1"/>
  <c r="H17" i="6"/>
  <c r="D17" i="6"/>
  <c r="C17" i="6"/>
  <c r="J16" i="6"/>
  <c r="I16" i="6"/>
  <c r="H16" i="6"/>
  <c r="D16" i="6"/>
  <c r="C16" i="6"/>
  <c r="I15" i="6"/>
  <c r="H15" i="6"/>
  <c r="J15" i="6" s="1"/>
  <c r="D15" i="6"/>
  <c r="C15" i="6"/>
  <c r="I14" i="6"/>
  <c r="H14" i="6"/>
  <c r="J14" i="6" s="1"/>
  <c r="D14" i="6"/>
  <c r="C14" i="6"/>
  <c r="I13" i="6"/>
  <c r="H13" i="6"/>
  <c r="J13" i="6" s="1"/>
  <c r="D13" i="6"/>
  <c r="C13" i="6"/>
  <c r="J12" i="6"/>
  <c r="I12" i="6"/>
  <c r="H12" i="6"/>
  <c r="D12" i="6"/>
  <c r="C12" i="6"/>
  <c r="I11" i="6"/>
  <c r="H11" i="6"/>
  <c r="J11" i="6" s="1"/>
  <c r="D11" i="6"/>
  <c r="C11" i="6"/>
  <c r="I10" i="6"/>
  <c r="H10" i="6"/>
  <c r="J10" i="6" s="1"/>
  <c r="D10" i="6"/>
  <c r="C10" i="6"/>
  <c r="I9" i="6"/>
  <c r="H9" i="6"/>
  <c r="J9" i="6" s="1"/>
  <c r="D9" i="6"/>
  <c r="C9" i="6"/>
  <c r="J8" i="6"/>
  <c r="I8" i="6"/>
  <c r="H8" i="6"/>
  <c r="D8" i="6"/>
  <c r="C8" i="6"/>
  <c r="J7" i="6"/>
  <c r="I7" i="6"/>
  <c r="H7" i="6"/>
  <c r="D7" i="6"/>
  <c r="C7" i="6"/>
  <c r="I6" i="6"/>
  <c r="H6" i="6"/>
  <c r="J6" i="6" s="1"/>
  <c r="D6" i="6"/>
  <c r="C6" i="6"/>
  <c r="I5" i="6"/>
  <c r="H5" i="6"/>
  <c r="J5" i="6" s="1"/>
  <c r="D5" i="6"/>
  <c r="C5" i="6"/>
  <c r="K504" i="5"/>
  <c r="J504" i="5"/>
  <c r="G504" i="5"/>
  <c r="F504" i="5"/>
  <c r="K503" i="5"/>
  <c r="J503" i="5"/>
  <c r="G503" i="5"/>
  <c r="F503" i="5"/>
  <c r="K502" i="5"/>
  <c r="J502" i="5"/>
  <c r="G502" i="5"/>
  <c r="F502" i="5"/>
  <c r="K501" i="5"/>
  <c r="J501" i="5"/>
  <c r="G501" i="5"/>
  <c r="F501" i="5"/>
  <c r="K500" i="5"/>
  <c r="J500" i="5"/>
  <c r="G500" i="5"/>
  <c r="F500" i="5"/>
  <c r="K499" i="5"/>
  <c r="J499" i="5"/>
  <c r="G499" i="5"/>
  <c r="F499" i="5"/>
  <c r="K498" i="5"/>
  <c r="J498" i="5"/>
  <c r="G498" i="5"/>
  <c r="F498" i="5"/>
  <c r="K497" i="5"/>
  <c r="J497" i="5"/>
  <c r="G497" i="5"/>
  <c r="F497" i="5"/>
  <c r="K496" i="5"/>
  <c r="J496" i="5"/>
  <c r="G496" i="5"/>
  <c r="F496" i="5"/>
  <c r="K495" i="5"/>
  <c r="J495" i="5"/>
  <c r="G495" i="5"/>
  <c r="F495" i="5"/>
  <c r="K494" i="5"/>
  <c r="J494" i="5"/>
  <c r="G494" i="5"/>
  <c r="F494" i="5"/>
  <c r="K493" i="5"/>
  <c r="J493" i="5"/>
  <c r="G493" i="5"/>
  <c r="F493" i="5"/>
  <c r="K492" i="5"/>
  <c r="J492" i="5"/>
  <c r="G492" i="5"/>
  <c r="F492" i="5"/>
  <c r="K491" i="5"/>
  <c r="J491" i="5"/>
  <c r="G491" i="5"/>
  <c r="F491" i="5"/>
  <c r="K490" i="5"/>
  <c r="J490" i="5"/>
  <c r="G490" i="5"/>
  <c r="F490" i="5"/>
  <c r="K489" i="5"/>
  <c r="J489" i="5"/>
  <c r="G489" i="5"/>
  <c r="F489" i="5"/>
  <c r="K488" i="5"/>
  <c r="J488" i="5"/>
  <c r="G488" i="5"/>
  <c r="F488" i="5"/>
  <c r="K487" i="5"/>
  <c r="J487" i="5"/>
  <c r="G487" i="5"/>
  <c r="F487" i="5"/>
  <c r="K486" i="5"/>
  <c r="J486" i="5"/>
  <c r="G486" i="5"/>
  <c r="F486" i="5"/>
  <c r="K485" i="5"/>
  <c r="J485" i="5"/>
  <c r="G485" i="5"/>
  <c r="F485" i="5"/>
  <c r="K484" i="5"/>
  <c r="J484" i="5"/>
  <c r="G484" i="5"/>
  <c r="F484" i="5"/>
  <c r="K483" i="5"/>
  <c r="J483" i="5"/>
  <c r="G483" i="5"/>
  <c r="F483" i="5"/>
  <c r="K482" i="5"/>
  <c r="J482" i="5"/>
  <c r="G482" i="5"/>
  <c r="F482" i="5"/>
  <c r="K481" i="5"/>
  <c r="J481" i="5"/>
  <c r="G481" i="5"/>
  <c r="F481" i="5"/>
  <c r="K480" i="5"/>
  <c r="J480" i="5"/>
  <c r="G480" i="5"/>
  <c r="F480" i="5"/>
  <c r="K479" i="5"/>
  <c r="J479" i="5"/>
  <c r="G479" i="5"/>
  <c r="F479" i="5"/>
  <c r="K478" i="5"/>
  <c r="J478" i="5"/>
  <c r="G478" i="5"/>
  <c r="F478" i="5"/>
  <c r="K477" i="5"/>
  <c r="J477" i="5"/>
  <c r="G477" i="5"/>
  <c r="F477" i="5"/>
  <c r="K476" i="5"/>
  <c r="J476" i="5"/>
  <c r="G476" i="5"/>
  <c r="F476" i="5"/>
  <c r="K475" i="5"/>
  <c r="J475" i="5"/>
  <c r="G475" i="5"/>
  <c r="F475" i="5"/>
  <c r="K474" i="5"/>
  <c r="J474" i="5"/>
  <c r="G474" i="5"/>
  <c r="F474" i="5"/>
  <c r="K473" i="5"/>
  <c r="J473" i="5"/>
  <c r="G473" i="5"/>
  <c r="F473" i="5"/>
  <c r="K472" i="5"/>
  <c r="J472" i="5"/>
  <c r="G472" i="5"/>
  <c r="F472" i="5"/>
  <c r="K471" i="5"/>
  <c r="J471" i="5"/>
  <c r="G471" i="5"/>
  <c r="F471" i="5"/>
  <c r="K470" i="5"/>
  <c r="J470" i="5"/>
  <c r="G470" i="5"/>
  <c r="F470" i="5"/>
  <c r="K469" i="5"/>
  <c r="J469" i="5"/>
  <c r="G469" i="5"/>
  <c r="F469" i="5"/>
  <c r="K468" i="5"/>
  <c r="J468" i="5"/>
  <c r="G468" i="5"/>
  <c r="F468" i="5"/>
  <c r="K467" i="5"/>
  <c r="J467" i="5"/>
  <c r="G467" i="5"/>
  <c r="F467" i="5"/>
  <c r="K466" i="5"/>
  <c r="J466" i="5"/>
  <c r="G466" i="5"/>
  <c r="F466" i="5"/>
  <c r="K465" i="5"/>
  <c r="J465" i="5"/>
  <c r="G465" i="5"/>
  <c r="F465" i="5"/>
  <c r="K464" i="5"/>
  <c r="J464" i="5"/>
  <c r="G464" i="5"/>
  <c r="F464" i="5"/>
  <c r="K463" i="5"/>
  <c r="J463" i="5"/>
  <c r="G463" i="5"/>
  <c r="F463" i="5"/>
  <c r="K462" i="5"/>
  <c r="J462" i="5"/>
  <c r="G462" i="5"/>
  <c r="F462" i="5"/>
  <c r="K461" i="5"/>
  <c r="J461" i="5"/>
  <c r="G461" i="5"/>
  <c r="F461" i="5"/>
  <c r="K460" i="5"/>
  <c r="J460" i="5"/>
  <c r="G460" i="5"/>
  <c r="F460" i="5"/>
  <c r="K459" i="5"/>
  <c r="J459" i="5"/>
  <c r="G459" i="5"/>
  <c r="F459" i="5"/>
  <c r="K458" i="5"/>
  <c r="J458" i="5"/>
  <c r="G458" i="5"/>
  <c r="F458" i="5"/>
  <c r="K457" i="5"/>
  <c r="J457" i="5"/>
  <c r="G457" i="5"/>
  <c r="F457" i="5"/>
  <c r="K456" i="5"/>
  <c r="J456" i="5"/>
  <c r="G456" i="5"/>
  <c r="F456" i="5"/>
  <c r="K455" i="5"/>
  <c r="J455" i="5"/>
  <c r="G455" i="5"/>
  <c r="F455" i="5"/>
  <c r="K454" i="5"/>
  <c r="J454" i="5"/>
  <c r="G454" i="5"/>
  <c r="F454" i="5"/>
  <c r="K453" i="5"/>
  <c r="J453" i="5"/>
  <c r="G453" i="5"/>
  <c r="F453" i="5"/>
  <c r="K452" i="5"/>
  <c r="J452" i="5"/>
  <c r="G452" i="5"/>
  <c r="F452" i="5"/>
  <c r="K451" i="5"/>
  <c r="J451" i="5"/>
  <c r="G451" i="5"/>
  <c r="F451" i="5"/>
  <c r="K450" i="5"/>
  <c r="J450" i="5"/>
  <c r="G450" i="5"/>
  <c r="F450" i="5"/>
  <c r="K449" i="5"/>
  <c r="J449" i="5"/>
  <c r="G449" i="5"/>
  <c r="F449" i="5"/>
  <c r="K448" i="5"/>
  <c r="J448" i="5"/>
  <c r="G448" i="5"/>
  <c r="F448" i="5"/>
  <c r="K447" i="5"/>
  <c r="J447" i="5"/>
  <c r="G447" i="5"/>
  <c r="F447" i="5"/>
  <c r="K446" i="5"/>
  <c r="J446" i="5"/>
  <c r="G446" i="5"/>
  <c r="F446" i="5"/>
  <c r="K445" i="5"/>
  <c r="J445" i="5"/>
  <c r="G445" i="5"/>
  <c r="F445" i="5"/>
  <c r="K444" i="5"/>
  <c r="J444" i="5"/>
  <c r="G444" i="5"/>
  <c r="F444" i="5"/>
  <c r="K443" i="5"/>
  <c r="J443" i="5"/>
  <c r="G443" i="5"/>
  <c r="F443" i="5"/>
  <c r="K442" i="5"/>
  <c r="J442" i="5"/>
  <c r="G442" i="5"/>
  <c r="F442" i="5"/>
  <c r="K441" i="5"/>
  <c r="J441" i="5"/>
  <c r="G441" i="5"/>
  <c r="F441" i="5"/>
  <c r="K440" i="5"/>
  <c r="J440" i="5"/>
  <c r="G440" i="5"/>
  <c r="F440" i="5"/>
  <c r="K439" i="5"/>
  <c r="J439" i="5"/>
  <c r="G439" i="5"/>
  <c r="F439" i="5"/>
  <c r="K438" i="5"/>
  <c r="J438" i="5"/>
  <c r="G438" i="5"/>
  <c r="F438" i="5"/>
  <c r="K437" i="5"/>
  <c r="J437" i="5"/>
  <c r="G437" i="5"/>
  <c r="F437" i="5"/>
  <c r="K436" i="5"/>
  <c r="J436" i="5"/>
  <c r="G436" i="5"/>
  <c r="F436" i="5"/>
  <c r="K435" i="5"/>
  <c r="J435" i="5"/>
  <c r="G435" i="5"/>
  <c r="F435" i="5"/>
  <c r="K434" i="5"/>
  <c r="J434" i="5"/>
  <c r="G434" i="5"/>
  <c r="F434" i="5"/>
  <c r="K433" i="5"/>
  <c r="J433" i="5"/>
  <c r="G433" i="5"/>
  <c r="F433" i="5"/>
  <c r="K432" i="5"/>
  <c r="J432" i="5"/>
  <c r="G432" i="5"/>
  <c r="F432" i="5"/>
  <c r="K431" i="5"/>
  <c r="J431" i="5"/>
  <c r="G431" i="5"/>
  <c r="F431" i="5"/>
  <c r="K430" i="5"/>
  <c r="J430" i="5"/>
  <c r="G430" i="5"/>
  <c r="F430" i="5"/>
  <c r="K429" i="5"/>
  <c r="J429" i="5"/>
  <c r="G429" i="5"/>
  <c r="F429" i="5"/>
  <c r="K428" i="5"/>
  <c r="J428" i="5"/>
  <c r="G428" i="5"/>
  <c r="F428" i="5"/>
  <c r="K427" i="5"/>
  <c r="J427" i="5"/>
  <c r="G427" i="5"/>
  <c r="F427" i="5"/>
  <c r="K426" i="5"/>
  <c r="J426" i="5"/>
  <c r="G426" i="5"/>
  <c r="F426" i="5"/>
  <c r="K425" i="5"/>
  <c r="J425" i="5"/>
  <c r="G425" i="5"/>
  <c r="F425" i="5"/>
  <c r="K424" i="5"/>
  <c r="J424" i="5"/>
  <c r="G424" i="5"/>
  <c r="F424" i="5"/>
  <c r="K423" i="5"/>
  <c r="J423" i="5"/>
  <c r="G423" i="5"/>
  <c r="F423" i="5"/>
  <c r="K422" i="5"/>
  <c r="J422" i="5"/>
  <c r="G422" i="5"/>
  <c r="F422" i="5"/>
  <c r="K421" i="5"/>
  <c r="J421" i="5"/>
  <c r="G421" i="5"/>
  <c r="F421" i="5"/>
  <c r="K420" i="5"/>
  <c r="J420" i="5"/>
  <c r="G420" i="5"/>
  <c r="F420" i="5"/>
  <c r="K419" i="5"/>
  <c r="J419" i="5"/>
  <c r="G419" i="5"/>
  <c r="F419" i="5"/>
  <c r="K418" i="5"/>
  <c r="J418" i="5"/>
  <c r="G418" i="5"/>
  <c r="F418" i="5"/>
  <c r="K417" i="5"/>
  <c r="J417" i="5"/>
  <c r="G417" i="5"/>
  <c r="F417" i="5"/>
  <c r="K416" i="5"/>
  <c r="J416" i="5"/>
  <c r="G416" i="5"/>
  <c r="F416" i="5"/>
  <c r="K415" i="5"/>
  <c r="J415" i="5"/>
  <c r="G415" i="5"/>
  <c r="F415" i="5"/>
  <c r="K414" i="5"/>
  <c r="J414" i="5"/>
  <c r="G414" i="5"/>
  <c r="F414" i="5"/>
  <c r="K413" i="5"/>
  <c r="J413" i="5"/>
  <c r="G413" i="5"/>
  <c r="F413" i="5"/>
  <c r="K412" i="5"/>
  <c r="J412" i="5"/>
  <c r="G412" i="5"/>
  <c r="F412" i="5"/>
  <c r="K411" i="5"/>
  <c r="J411" i="5"/>
  <c r="G411" i="5"/>
  <c r="F411" i="5"/>
  <c r="K410" i="5"/>
  <c r="J410" i="5"/>
  <c r="G410" i="5"/>
  <c r="F410" i="5"/>
  <c r="K409" i="5"/>
  <c r="J409" i="5"/>
  <c r="G409" i="5"/>
  <c r="F409" i="5"/>
  <c r="K408" i="5"/>
  <c r="J408" i="5"/>
  <c r="G408" i="5"/>
  <c r="F408" i="5"/>
  <c r="K407" i="5"/>
  <c r="J407" i="5"/>
  <c r="G407" i="5"/>
  <c r="F407" i="5"/>
  <c r="K406" i="5"/>
  <c r="J406" i="5"/>
  <c r="G406" i="5"/>
  <c r="F406" i="5"/>
  <c r="K405" i="5"/>
  <c r="J405" i="5"/>
  <c r="G405" i="5"/>
  <c r="F405" i="5"/>
  <c r="K404" i="5"/>
  <c r="J404" i="5"/>
  <c r="G404" i="5"/>
  <c r="F404" i="5"/>
  <c r="K403" i="5"/>
  <c r="J403" i="5"/>
  <c r="G403" i="5"/>
  <c r="F403" i="5"/>
  <c r="K402" i="5"/>
  <c r="J402" i="5"/>
  <c r="G402" i="5"/>
  <c r="F402" i="5"/>
  <c r="K401" i="5"/>
  <c r="J401" i="5"/>
  <c r="G401" i="5"/>
  <c r="F401" i="5"/>
  <c r="K400" i="5"/>
  <c r="J400" i="5"/>
  <c r="G400" i="5"/>
  <c r="F400" i="5"/>
  <c r="K399" i="5"/>
  <c r="J399" i="5"/>
  <c r="G399" i="5"/>
  <c r="F399" i="5"/>
  <c r="K398" i="5"/>
  <c r="J398" i="5"/>
  <c r="G398" i="5"/>
  <c r="F398" i="5"/>
  <c r="K397" i="5"/>
  <c r="J397" i="5"/>
  <c r="G397" i="5"/>
  <c r="F397" i="5"/>
  <c r="K396" i="5"/>
  <c r="J396" i="5"/>
  <c r="G396" i="5"/>
  <c r="F396" i="5"/>
  <c r="K395" i="5"/>
  <c r="J395" i="5"/>
  <c r="G395" i="5"/>
  <c r="F395" i="5"/>
  <c r="K394" i="5"/>
  <c r="J394" i="5"/>
  <c r="G394" i="5"/>
  <c r="F394" i="5"/>
  <c r="K393" i="5"/>
  <c r="J393" i="5"/>
  <c r="G393" i="5"/>
  <c r="F393" i="5"/>
  <c r="K392" i="5"/>
  <c r="J392" i="5"/>
  <c r="G392" i="5"/>
  <c r="F392" i="5"/>
  <c r="K391" i="5"/>
  <c r="J391" i="5"/>
  <c r="G391" i="5"/>
  <c r="F391" i="5"/>
  <c r="K390" i="5"/>
  <c r="J390" i="5"/>
  <c r="G390" i="5"/>
  <c r="F390" i="5"/>
  <c r="K389" i="5"/>
  <c r="J389" i="5"/>
  <c r="G389" i="5"/>
  <c r="F389" i="5"/>
  <c r="K388" i="5"/>
  <c r="J388" i="5"/>
  <c r="G388" i="5"/>
  <c r="F388" i="5"/>
  <c r="K387" i="5"/>
  <c r="J387" i="5"/>
  <c r="G387" i="5"/>
  <c r="F387" i="5"/>
  <c r="K386" i="5"/>
  <c r="J386" i="5"/>
  <c r="G386" i="5"/>
  <c r="F386" i="5"/>
  <c r="K385" i="5"/>
  <c r="J385" i="5"/>
  <c r="G385" i="5"/>
  <c r="F385" i="5"/>
  <c r="K384" i="5"/>
  <c r="J384" i="5"/>
  <c r="G384" i="5"/>
  <c r="F384" i="5"/>
  <c r="K383" i="5"/>
  <c r="J383" i="5"/>
  <c r="G383" i="5"/>
  <c r="F383" i="5"/>
  <c r="K382" i="5"/>
  <c r="J382" i="5"/>
  <c r="G382" i="5"/>
  <c r="F382" i="5"/>
  <c r="K381" i="5"/>
  <c r="J381" i="5"/>
  <c r="G381" i="5"/>
  <c r="F381" i="5"/>
  <c r="K380" i="5"/>
  <c r="J380" i="5"/>
  <c r="G380" i="5"/>
  <c r="F380" i="5"/>
  <c r="K379" i="5"/>
  <c r="J379" i="5"/>
  <c r="G379" i="5"/>
  <c r="F379" i="5"/>
  <c r="K378" i="5"/>
  <c r="J378" i="5"/>
  <c r="G378" i="5"/>
  <c r="F378" i="5"/>
  <c r="K377" i="5"/>
  <c r="J377" i="5"/>
  <c r="G377" i="5"/>
  <c r="F377" i="5"/>
  <c r="K376" i="5"/>
  <c r="J376" i="5"/>
  <c r="G376" i="5"/>
  <c r="F376" i="5"/>
  <c r="K375" i="5"/>
  <c r="J375" i="5"/>
  <c r="G375" i="5"/>
  <c r="F375" i="5"/>
  <c r="K374" i="5"/>
  <c r="J374" i="5"/>
  <c r="G374" i="5"/>
  <c r="F374" i="5"/>
  <c r="K373" i="5"/>
  <c r="J373" i="5"/>
  <c r="G373" i="5"/>
  <c r="F373" i="5"/>
  <c r="K372" i="5"/>
  <c r="J372" i="5"/>
  <c r="G372" i="5"/>
  <c r="F372" i="5"/>
  <c r="K371" i="5"/>
  <c r="J371" i="5"/>
  <c r="G371" i="5"/>
  <c r="F371" i="5"/>
  <c r="K370" i="5"/>
  <c r="J370" i="5"/>
  <c r="G370" i="5"/>
  <c r="F370" i="5"/>
  <c r="K369" i="5"/>
  <c r="J369" i="5"/>
  <c r="G369" i="5"/>
  <c r="F369" i="5"/>
  <c r="K368" i="5"/>
  <c r="J368" i="5"/>
  <c r="G368" i="5"/>
  <c r="F368" i="5"/>
  <c r="K367" i="5"/>
  <c r="J367" i="5"/>
  <c r="G367" i="5"/>
  <c r="F367" i="5"/>
  <c r="K366" i="5"/>
  <c r="J366" i="5"/>
  <c r="G366" i="5"/>
  <c r="F366" i="5"/>
  <c r="K365" i="5"/>
  <c r="J365" i="5"/>
  <c r="G365" i="5"/>
  <c r="F365" i="5"/>
  <c r="K364" i="5"/>
  <c r="J364" i="5"/>
  <c r="G364" i="5"/>
  <c r="F364" i="5"/>
  <c r="K363" i="5"/>
  <c r="J363" i="5"/>
  <c r="G363" i="5"/>
  <c r="F363" i="5"/>
  <c r="K362" i="5"/>
  <c r="J362" i="5"/>
  <c r="G362" i="5"/>
  <c r="F362" i="5"/>
  <c r="K361" i="5"/>
  <c r="J361" i="5"/>
  <c r="G361" i="5"/>
  <c r="F361" i="5"/>
  <c r="K360" i="5"/>
  <c r="J360" i="5"/>
  <c r="G360" i="5"/>
  <c r="F360" i="5"/>
  <c r="K359" i="5"/>
  <c r="J359" i="5"/>
  <c r="G359" i="5"/>
  <c r="F359" i="5"/>
  <c r="K358" i="5"/>
  <c r="J358" i="5"/>
  <c r="G358" i="5"/>
  <c r="F358" i="5"/>
  <c r="K357" i="5"/>
  <c r="J357" i="5"/>
  <c r="G357" i="5"/>
  <c r="F357" i="5"/>
  <c r="K356" i="5"/>
  <c r="J356" i="5"/>
  <c r="G356" i="5"/>
  <c r="F356" i="5"/>
  <c r="K355" i="5"/>
  <c r="J355" i="5"/>
  <c r="G355" i="5"/>
  <c r="F355" i="5"/>
  <c r="K354" i="5"/>
  <c r="J354" i="5"/>
  <c r="G354" i="5"/>
  <c r="F354" i="5"/>
  <c r="K353" i="5"/>
  <c r="J353" i="5"/>
  <c r="G353" i="5"/>
  <c r="F353" i="5"/>
  <c r="K352" i="5"/>
  <c r="J352" i="5"/>
  <c r="G352" i="5"/>
  <c r="F352" i="5"/>
  <c r="K351" i="5"/>
  <c r="J351" i="5"/>
  <c r="G351" i="5"/>
  <c r="F351" i="5"/>
  <c r="K350" i="5"/>
  <c r="J350" i="5"/>
  <c r="G350" i="5"/>
  <c r="F350" i="5"/>
  <c r="K349" i="5"/>
  <c r="J349" i="5"/>
  <c r="G349" i="5"/>
  <c r="F349" i="5"/>
  <c r="K348" i="5"/>
  <c r="J348" i="5"/>
  <c r="G348" i="5"/>
  <c r="F348" i="5"/>
  <c r="K347" i="5"/>
  <c r="J347" i="5"/>
  <c r="G347" i="5"/>
  <c r="F347" i="5"/>
  <c r="K346" i="5"/>
  <c r="J346" i="5"/>
  <c r="G346" i="5"/>
  <c r="F346" i="5"/>
  <c r="K345" i="5"/>
  <c r="J345" i="5"/>
  <c r="G345" i="5"/>
  <c r="F345" i="5"/>
  <c r="K344" i="5"/>
  <c r="J344" i="5"/>
  <c r="G344" i="5"/>
  <c r="F344" i="5"/>
  <c r="K343" i="5"/>
  <c r="J343" i="5"/>
  <c r="G343" i="5"/>
  <c r="F343" i="5"/>
  <c r="K342" i="5"/>
  <c r="J342" i="5"/>
  <c r="G342" i="5"/>
  <c r="F342" i="5"/>
  <c r="K341" i="5"/>
  <c r="J341" i="5"/>
  <c r="G341" i="5"/>
  <c r="F341" i="5"/>
  <c r="K340" i="5"/>
  <c r="J340" i="5"/>
  <c r="G340" i="5"/>
  <c r="F340" i="5"/>
  <c r="K339" i="5"/>
  <c r="J339" i="5"/>
  <c r="G339" i="5"/>
  <c r="F339" i="5"/>
  <c r="K338" i="5"/>
  <c r="J338" i="5"/>
  <c r="G338" i="5"/>
  <c r="F338" i="5"/>
  <c r="K337" i="5"/>
  <c r="J337" i="5"/>
  <c r="G337" i="5"/>
  <c r="F337" i="5"/>
  <c r="K336" i="5"/>
  <c r="J336" i="5"/>
  <c r="G336" i="5"/>
  <c r="F336" i="5"/>
  <c r="K335" i="5"/>
  <c r="J335" i="5"/>
  <c r="G335" i="5"/>
  <c r="F335" i="5"/>
  <c r="K334" i="5"/>
  <c r="J334" i="5"/>
  <c r="G334" i="5"/>
  <c r="F334" i="5"/>
  <c r="K333" i="5"/>
  <c r="J333" i="5"/>
  <c r="G333" i="5"/>
  <c r="F333" i="5"/>
  <c r="K332" i="5"/>
  <c r="J332" i="5"/>
  <c r="G332" i="5"/>
  <c r="F332" i="5"/>
  <c r="K331" i="5"/>
  <c r="J331" i="5"/>
  <c r="G331" i="5"/>
  <c r="F331" i="5"/>
  <c r="K330" i="5"/>
  <c r="J330" i="5"/>
  <c r="G330" i="5"/>
  <c r="F330" i="5"/>
  <c r="K329" i="5"/>
  <c r="J329" i="5"/>
  <c r="G329" i="5"/>
  <c r="F329" i="5"/>
  <c r="K328" i="5"/>
  <c r="J328" i="5"/>
  <c r="G328" i="5"/>
  <c r="F328" i="5"/>
  <c r="K327" i="5"/>
  <c r="J327" i="5"/>
  <c r="G327" i="5"/>
  <c r="F327" i="5"/>
  <c r="K326" i="5"/>
  <c r="J326" i="5"/>
  <c r="G326" i="5"/>
  <c r="F326" i="5"/>
  <c r="K325" i="5"/>
  <c r="J325" i="5"/>
  <c r="G325" i="5"/>
  <c r="F325" i="5"/>
  <c r="K324" i="5"/>
  <c r="J324" i="5"/>
  <c r="G324" i="5"/>
  <c r="F324" i="5"/>
  <c r="K323" i="5"/>
  <c r="J323" i="5"/>
  <c r="G323" i="5"/>
  <c r="F323" i="5"/>
  <c r="K322" i="5"/>
  <c r="J322" i="5"/>
  <c r="G322" i="5"/>
  <c r="F322" i="5"/>
  <c r="K321" i="5"/>
  <c r="J321" i="5"/>
  <c r="G321" i="5"/>
  <c r="F321" i="5"/>
  <c r="K320" i="5"/>
  <c r="J320" i="5"/>
  <c r="G320" i="5"/>
  <c r="F320" i="5"/>
  <c r="K319" i="5"/>
  <c r="J319" i="5"/>
  <c r="G319" i="5"/>
  <c r="F319" i="5"/>
  <c r="K318" i="5"/>
  <c r="J318" i="5"/>
  <c r="G318" i="5"/>
  <c r="F318" i="5"/>
  <c r="K317" i="5"/>
  <c r="J317" i="5"/>
  <c r="G317" i="5"/>
  <c r="F317" i="5"/>
  <c r="K316" i="5"/>
  <c r="J316" i="5"/>
  <c r="G316" i="5"/>
  <c r="F316" i="5"/>
  <c r="K315" i="5"/>
  <c r="J315" i="5"/>
  <c r="G315" i="5"/>
  <c r="F315" i="5"/>
  <c r="K314" i="5"/>
  <c r="J314" i="5"/>
  <c r="G314" i="5"/>
  <c r="F314" i="5"/>
  <c r="K313" i="5"/>
  <c r="J313" i="5"/>
  <c r="G313" i="5"/>
  <c r="F313" i="5"/>
  <c r="K312" i="5"/>
  <c r="J312" i="5"/>
  <c r="G312" i="5"/>
  <c r="F312" i="5"/>
  <c r="K311" i="5"/>
  <c r="J311" i="5"/>
  <c r="G311" i="5"/>
  <c r="F311" i="5"/>
  <c r="K310" i="5"/>
  <c r="J310" i="5"/>
  <c r="G310" i="5"/>
  <c r="F310" i="5"/>
  <c r="K309" i="5"/>
  <c r="J309" i="5"/>
  <c r="G309" i="5"/>
  <c r="F309" i="5"/>
  <c r="K308" i="5"/>
  <c r="J308" i="5"/>
  <c r="G308" i="5"/>
  <c r="F308" i="5"/>
  <c r="K307" i="5"/>
  <c r="J307" i="5"/>
  <c r="G307" i="5"/>
  <c r="F307" i="5"/>
  <c r="K306" i="5"/>
  <c r="J306" i="5"/>
  <c r="G306" i="5"/>
  <c r="F306" i="5"/>
  <c r="K305" i="5"/>
  <c r="J305" i="5"/>
  <c r="G305" i="5"/>
  <c r="F305" i="5"/>
  <c r="K304" i="5"/>
  <c r="J304" i="5"/>
  <c r="G304" i="5"/>
  <c r="F304" i="5"/>
  <c r="K303" i="5"/>
  <c r="J303" i="5"/>
  <c r="G303" i="5"/>
  <c r="F303" i="5"/>
  <c r="K302" i="5"/>
  <c r="J302" i="5"/>
  <c r="G302" i="5"/>
  <c r="F302" i="5"/>
  <c r="K301" i="5"/>
  <c r="J301" i="5"/>
  <c r="G301" i="5"/>
  <c r="F301" i="5"/>
  <c r="K300" i="5"/>
  <c r="J300" i="5"/>
  <c r="G300" i="5"/>
  <c r="F300" i="5"/>
  <c r="K299" i="5"/>
  <c r="J299" i="5"/>
  <c r="G299" i="5"/>
  <c r="F299" i="5"/>
  <c r="K298" i="5"/>
  <c r="J298" i="5"/>
  <c r="G298" i="5"/>
  <c r="F298" i="5"/>
  <c r="K297" i="5"/>
  <c r="J297" i="5"/>
  <c r="G297" i="5"/>
  <c r="F297" i="5"/>
  <c r="K296" i="5"/>
  <c r="J296" i="5"/>
  <c r="G296" i="5"/>
  <c r="F296" i="5"/>
  <c r="K295" i="5"/>
  <c r="J295" i="5"/>
  <c r="G295" i="5"/>
  <c r="F295" i="5"/>
  <c r="K294" i="5"/>
  <c r="J294" i="5"/>
  <c r="G294" i="5"/>
  <c r="F294" i="5"/>
  <c r="K293" i="5"/>
  <c r="J293" i="5"/>
  <c r="G293" i="5"/>
  <c r="F293" i="5"/>
  <c r="K292" i="5"/>
  <c r="J292" i="5"/>
  <c r="G292" i="5"/>
  <c r="F292" i="5"/>
  <c r="K291" i="5"/>
  <c r="J291" i="5"/>
  <c r="G291" i="5"/>
  <c r="F291" i="5"/>
  <c r="K290" i="5"/>
  <c r="J290" i="5"/>
  <c r="G290" i="5"/>
  <c r="F290" i="5"/>
  <c r="K289" i="5"/>
  <c r="J289" i="5"/>
  <c r="G289" i="5"/>
  <c r="F289" i="5"/>
  <c r="K288" i="5"/>
  <c r="J288" i="5"/>
  <c r="G288" i="5"/>
  <c r="F288" i="5"/>
  <c r="K287" i="5"/>
  <c r="J287" i="5"/>
  <c r="G287" i="5"/>
  <c r="F287" i="5"/>
  <c r="K286" i="5"/>
  <c r="J286" i="5"/>
  <c r="G286" i="5"/>
  <c r="F286" i="5"/>
  <c r="K285" i="5"/>
  <c r="J285" i="5"/>
  <c r="G285" i="5"/>
  <c r="F285" i="5"/>
  <c r="K284" i="5"/>
  <c r="J284" i="5"/>
  <c r="G284" i="5"/>
  <c r="F284" i="5"/>
  <c r="K283" i="5"/>
  <c r="J283" i="5"/>
  <c r="G283" i="5"/>
  <c r="F283" i="5"/>
  <c r="K282" i="5"/>
  <c r="J282" i="5"/>
  <c r="G282" i="5"/>
  <c r="F282" i="5"/>
  <c r="K281" i="5"/>
  <c r="J281" i="5"/>
  <c r="G281" i="5"/>
  <c r="F281" i="5"/>
  <c r="K280" i="5"/>
  <c r="J280" i="5"/>
  <c r="G280" i="5"/>
  <c r="F280" i="5"/>
  <c r="K279" i="5"/>
  <c r="J279" i="5"/>
  <c r="G279" i="5"/>
  <c r="F279" i="5"/>
  <c r="K278" i="5"/>
  <c r="J278" i="5"/>
  <c r="G278" i="5"/>
  <c r="F278" i="5"/>
  <c r="K277" i="5"/>
  <c r="J277" i="5"/>
  <c r="G277" i="5"/>
  <c r="F277" i="5"/>
  <c r="K276" i="5"/>
  <c r="J276" i="5"/>
  <c r="G276" i="5"/>
  <c r="F276" i="5"/>
  <c r="K275" i="5"/>
  <c r="J275" i="5"/>
  <c r="G275" i="5"/>
  <c r="F275" i="5"/>
  <c r="K274" i="5"/>
  <c r="J274" i="5"/>
  <c r="G274" i="5"/>
  <c r="F274" i="5"/>
  <c r="K273" i="5"/>
  <c r="J273" i="5"/>
  <c r="G273" i="5"/>
  <c r="F273" i="5"/>
  <c r="K272" i="5"/>
  <c r="J272" i="5"/>
  <c r="G272" i="5"/>
  <c r="F272" i="5"/>
  <c r="K271" i="5"/>
  <c r="J271" i="5"/>
  <c r="G271" i="5"/>
  <c r="F271" i="5"/>
  <c r="K270" i="5"/>
  <c r="J270" i="5"/>
  <c r="G270" i="5"/>
  <c r="F270" i="5"/>
  <c r="K269" i="5"/>
  <c r="J269" i="5"/>
  <c r="G269" i="5"/>
  <c r="F269" i="5"/>
  <c r="K268" i="5"/>
  <c r="J268" i="5"/>
  <c r="G268" i="5"/>
  <c r="F268" i="5"/>
  <c r="K267" i="5"/>
  <c r="J267" i="5"/>
  <c r="G267" i="5"/>
  <c r="F267" i="5"/>
  <c r="K266" i="5"/>
  <c r="J266" i="5"/>
  <c r="G266" i="5"/>
  <c r="F266" i="5"/>
  <c r="K265" i="5"/>
  <c r="J265" i="5"/>
  <c r="G265" i="5"/>
  <c r="F265" i="5"/>
  <c r="K264" i="5"/>
  <c r="J264" i="5"/>
  <c r="G264" i="5"/>
  <c r="F264" i="5"/>
  <c r="K263" i="5"/>
  <c r="J263" i="5"/>
  <c r="G263" i="5"/>
  <c r="F263" i="5"/>
  <c r="K262" i="5"/>
  <c r="J262" i="5"/>
  <c r="G262" i="5"/>
  <c r="F262" i="5"/>
  <c r="K261" i="5"/>
  <c r="J261" i="5"/>
  <c r="G261" i="5"/>
  <c r="F261" i="5"/>
  <c r="K260" i="5"/>
  <c r="J260" i="5"/>
  <c r="G260" i="5"/>
  <c r="F260" i="5"/>
  <c r="K259" i="5"/>
  <c r="J259" i="5"/>
  <c r="G259" i="5"/>
  <c r="F259" i="5"/>
  <c r="K258" i="5"/>
  <c r="J258" i="5"/>
  <c r="G258" i="5"/>
  <c r="F258" i="5"/>
  <c r="K257" i="5"/>
  <c r="J257" i="5"/>
  <c r="G257" i="5"/>
  <c r="F257" i="5"/>
  <c r="K256" i="5"/>
  <c r="J256" i="5"/>
  <c r="G256" i="5"/>
  <c r="F256" i="5"/>
  <c r="K255" i="5"/>
  <c r="J255" i="5"/>
  <c r="G255" i="5"/>
  <c r="F255" i="5"/>
  <c r="K254" i="5"/>
  <c r="J254" i="5"/>
  <c r="G254" i="5"/>
  <c r="F254" i="5"/>
  <c r="K253" i="5"/>
  <c r="J253" i="5"/>
  <c r="G253" i="5"/>
  <c r="F253" i="5"/>
  <c r="K252" i="5"/>
  <c r="J252" i="5"/>
  <c r="G252" i="5"/>
  <c r="F252" i="5"/>
  <c r="K251" i="5"/>
  <c r="J251" i="5"/>
  <c r="G251" i="5"/>
  <c r="F251" i="5"/>
  <c r="K250" i="5"/>
  <c r="J250" i="5"/>
  <c r="G250" i="5"/>
  <c r="F250" i="5"/>
  <c r="K249" i="5"/>
  <c r="J249" i="5"/>
  <c r="G249" i="5"/>
  <c r="F249" i="5"/>
  <c r="K248" i="5"/>
  <c r="J248" i="5"/>
  <c r="G248" i="5"/>
  <c r="F248" i="5"/>
  <c r="K247" i="5"/>
  <c r="J247" i="5"/>
  <c r="G247" i="5"/>
  <c r="F247" i="5"/>
  <c r="K246" i="5"/>
  <c r="J246" i="5"/>
  <c r="G246" i="5"/>
  <c r="F246" i="5"/>
  <c r="K245" i="5"/>
  <c r="J245" i="5"/>
  <c r="G245" i="5"/>
  <c r="F245" i="5"/>
  <c r="K244" i="5"/>
  <c r="J244" i="5"/>
  <c r="G244" i="5"/>
  <c r="F244" i="5"/>
  <c r="K243" i="5"/>
  <c r="J243" i="5"/>
  <c r="G243" i="5"/>
  <c r="F243" i="5"/>
  <c r="K242" i="5"/>
  <c r="J242" i="5"/>
  <c r="G242" i="5"/>
  <c r="F242" i="5"/>
  <c r="K241" i="5"/>
  <c r="J241" i="5"/>
  <c r="G241" i="5"/>
  <c r="F241" i="5"/>
  <c r="K240" i="5"/>
  <c r="J240" i="5"/>
  <c r="G240" i="5"/>
  <c r="F240" i="5"/>
  <c r="K239" i="5"/>
  <c r="J239" i="5"/>
  <c r="G239" i="5"/>
  <c r="F239" i="5"/>
  <c r="K238" i="5"/>
  <c r="J238" i="5"/>
  <c r="G238" i="5"/>
  <c r="F238" i="5"/>
  <c r="K237" i="5"/>
  <c r="J237" i="5"/>
  <c r="G237" i="5"/>
  <c r="F237" i="5"/>
  <c r="K236" i="5"/>
  <c r="J236" i="5"/>
  <c r="G236" i="5"/>
  <c r="F236" i="5"/>
  <c r="K235" i="5"/>
  <c r="J235" i="5"/>
  <c r="G235" i="5"/>
  <c r="F235" i="5"/>
  <c r="K234" i="5"/>
  <c r="J234" i="5"/>
  <c r="G234" i="5"/>
  <c r="F234" i="5"/>
  <c r="K233" i="5"/>
  <c r="J233" i="5"/>
  <c r="G233" i="5"/>
  <c r="F233" i="5"/>
  <c r="K232" i="5"/>
  <c r="J232" i="5"/>
  <c r="G232" i="5"/>
  <c r="F232" i="5"/>
  <c r="K231" i="5"/>
  <c r="J231" i="5"/>
  <c r="G231" i="5"/>
  <c r="F231" i="5"/>
  <c r="K230" i="5"/>
  <c r="J230" i="5"/>
  <c r="G230" i="5"/>
  <c r="F230" i="5"/>
  <c r="K229" i="5"/>
  <c r="J229" i="5"/>
  <c r="G229" i="5"/>
  <c r="F229" i="5"/>
  <c r="K228" i="5"/>
  <c r="J228" i="5"/>
  <c r="G228" i="5"/>
  <c r="F228" i="5"/>
  <c r="K227" i="5"/>
  <c r="J227" i="5"/>
  <c r="G227" i="5"/>
  <c r="F227" i="5"/>
  <c r="K226" i="5"/>
  <c r="J226" i="5"/>
  <c r="G226" i="5"/>
  <c r="F226" i="5"/>
  <c r="K225" i="5"/>
  <c r="J225" i="5"/>
  <c r="G225" i="5"/>
  <c r="F225" i="5"/>
  <c r="K224" i="5"/>
  <c r="J224" i="5"/>
  <c r="G224" i="5"/>
  <c r="F224" i="5"/>
  <c r="K223" i="5"/>
  <c r="J223" i="5"/>
  <c r="G223" i="5"/>
  <c r="F223" i="5"/>
  <c r="K222" i="5"/>
  <c r="J222" i="5"/>
  <c r="G222" i="5"/>
  <c r="F222" i="5"/>
  <c r="K221" i="5"/>
  <c r="J221" i="5"/>
  <c r="G221" i="5"/>
  <c r="F221" i="5"/>
  <c r="K220" i="5"/>
  <c r="J220" i="5"/>
  <c r="G220" i="5"/>
  <c r="F220" i="5"/>
  <c r="K219" i="5"/>
  <c r="J219" i="5"/>
  <c r="G219" i="5"/>
  <c r="F219" i="5"/>
  <c r="K218" i="5"/>
  <c r="J218" i="5"/>
  <c r="G218" i="5"/>
  <c r="F218" i="5"/>
  <c r="K217" i="5"/>
  <c r="J217" i="5"/>
  <c r="G217" i="5"/>
  <c r="F217" i="5"/>
  <c r="K216" i="5"/>
  <c r="J216" i="5"/>
  <c r="G216" i="5"/>
  <c r="F216" i="5"/>
  <c r="K215" i="5"/>
  <c r="J215" i="5"/>
  <c r="G215" i="5"/>
  <c r="F215" i="5"/>
  <c r="K214" i="5"/>
  <c r="J214" i="5"/>
  <c r="G214" i="5"/>
  <c r="F214" i="5"/>
  <c r="K213" i="5"/>
  <c r="J213" i="5"/>
  <c r="G213" i="5"/>
  <c r="F213" i="5"/>
  <c r="K212" i="5"/>
  <c r="J212" i="5"/>
  <c r="G212" i="5"/>
  <c r="F212" i="5"/>
  <c r="K211" i="5"/>
  <c r="J211" i="5"/>
  <c r="G211" i="5"/>
  <c r="F211" i="5"/>
  <c r="K210" i="5"/>
  <c r="J210" i="5"/>
  <c r="G210" i="5"/>
  <c r="F210" i="5"/>
  <c r="K209" i="5"/>
  <c r="J209" i="5"/>
  <c r="G209" i="5"/>
  <c r="F209" i="5"/>
  <c r="K208" i="5"/>
  <c r="J208" i="5"/>
  <c r="G208" i="5"/>
  <c r="F208" i="5"/>
  <c r="K207" i="5"/>
  <c r="J207" i="5"/>
  <c r="G207" i="5"/>
  <c r="F207" i="5"/>
  <c r="K206" i="5"/>
  <c r="J206" i="5"/>
  <c r="G206" i="5"/>
  <c r="F206" i="5"/>
  <c r="K205" i="5"/>
  <c r="J205" i="5"/>
  <c r="G205" i="5"/>
  <c r="F205" i="5"/>
  <c r="K204" i="5"/>
  <c r="J204" i="5"/>
  <c r="G204" i="5"/>
  <c r="F204" i="5"/>
  <c r="K203" i="5"/>
  <c r="J203" i="5"/>
  <c r="G203" i="5"/>
  <c r="F203" i="5"/>
  <c r="K202" i="5"/>
  <c r="J202" i="5"/>
  <c r="G202" i="5"/>
  <c r="F202" i="5"/>
  <c r="K201" i="5"/>
  <c r="J201" i="5"/>
  <c r="G201" i="5"/>
  <c r="F201" i="5"/>
  <c r="K200" i="5"/>
  <c r="J200" i="5"/>
  <c r="G200" i="5"/>
  <c r="F200" i="5"/>
  <c r="K199" i="5"/>
  <c r="J199" i="5"/>
  <c r="G199" i="5"/>
  <c r="F199" i="5"/>
  <c r="K198" i="5"/>
  <c r="J198" i="5"/>
  <c r="G198" i="5"/>
  <c r="F198" i="5"/>
  <c r="K197" i="5"/>
  <c r="J197" i="5"/>
  <c r="G197" i="5"/>
  <c r="F197" i="5"/>
  <c r="K196" i="5"/>
  <c r="J196" i="5"/>
  <c r="G196" i="5"/>
  <c r="F196" i="5"/>
  <c r="K195" i="5"/>
  <c r="J195" i="5"/>
  <c r="G195" i="5"/>
  <c r="F195" i="5"/>
  <c r="K194" i="5"/>
  <c r="J194" i="5"/>
  <c r="G194" i="5"/>
  <c r="F194" i="5"/>
  <c r="K193" i="5"/>
  <c r="J193" i="5"/>
  <c r="G193" i="5"/>
  <c r="F193" i="5"/>
  <c r="K192" i="5"/>
  <c r="J192" i="5"/>
  <c r="G192" i="5"/>
  <c r="F192" i="5"/>
  <c r="K191" i="5"/>
  <c r="J191" i="5"/>
  <c r="G191" i="5"/>
  <c r="F191" i="5"/>
  <c r="K190" i="5"/>
  <c r="J190" i="5"/>
  <c r="G190" i="5"/>
  <c r="F190" i="5"/>
  <c r="K189" i="5"/>
  <c r="J189" i="5"/>
  <c r="G189" i="5"/>
  <c r="F189" i="5"/>
  <c r="K188" i="5"/>
  <c r="J188" i="5"/>
  <c r="G188" i="5"/>
  <c r="F188" i="5"/>
  <c r="K187" i="5"/>
  <c r="J187" i="5"/>
  <c r="G187" i="5"/>
  <c r="F187" i="5"/>
  <c r="K186" i="5"/>
  <c r="J186" i="5"/>
  <c r="G186" i="5"/>
  <c r="F186" i="5"/>
  <c r="K185" i="5"/>
  <c r="J185" i="5"/>
  <c r="G185" i="5"/>
  <c r="F185" i="5"/>
  <c r="K184" i="5"/>
  <c r="J184" i="5"/>
  <c r="G184" i="5"/>
  <c r="F184" i="5"/>
  <c r="K183" i="5"/>
  <c r="J183" i="5"/>
  <c r="G183" i="5"/>
  <c r="F183" i="5"/>
  <c r="K182" i="5"/>
  <c r="J182" i="5"/>
  <c r="G182" i="5"/>
  <c r="F182" i="5"/>
  <c r="K181" i="5"/>
  <c r="J181" i="5"/>
  <c r="G181" i="5"/>
  <c r="F181" i="5"/>
  <c r="K180" i="5"/>
  <c r="J180" i="5"/>
  <c r="G180" i="5"/>
  <c r="F180" i="5"/>
  <c r="K179" i="5"/>
  <c r="J179" i="5"/>
  <c r="G179" i="5"/>
  <c r="F179" i="5"/>
  <c r="K178" i="5"/>
  <c r="J178" i="5"/>
  <c r="G178" i="5"/>
  <c r="F178" i="5"/>
  <c r="K177" i="5"/>
  <c r="J177" i="5"/>
  <c r="G177" i="5"/>
  <c r="F177" i="5"/>
  <c r="K176" i="5"/>
  <c r="J176" i="5"/>
  <c r="G176" i="5"/>
  <c r="F176" i="5"/>
  <c r="K175" i="5"/>
  <c r="J175" i="5"/>
  <c r="G175" i="5"/>
  <c r="F175" i="5"/>
  <c r="K174" i="5"/>
  <c r="J174" i="5"/>
  <c r="G174" i="5"/>
  <c r="F174" i="5"/>
  <c r="K173" i="5"/>
  <c r="J173" i="5"/>
  <c r="G173" i="5"/>
  <c r="F173" i="5"/>
  <c r="K172" i="5"/>
  <c r="J172" i="5"/>
  <c r="G172" i="5"/>
  <c r="F172" i="5"/>
  <c r="K171" i="5"/>
  <c r="J171" i="5"/>
  <c r="G171" i="5"/>
  <c r="F171" i="5"/>
  <c r="K170" i="5"/>
  <c r="J170" i="5"/>
  <c r="G170" i="5"/>
  <c r="F170" i="5"/>
  <c r="K169" i="5"/>
  <c r="J169" i="5"/>
  <c r="G169" i="5"/>
  <c r="F169" i="5"/>
  <c r="K168" i="5"/>
  <c r="J168" i="5"/>
  <c r="G168" i="5"/>
  <c r="F168" i="5"/>
  <c r="K167" i="5"/>
  <c r="J167" i="5"/>
  <c r="G167" i="5"/>
  <c r="F167" i="5"/>
  <c r="K166" i="5"/>
  <c r="J166" i="5"/>
  <c r="G166" i="5"/>
  <c r="F166" i="5"/>
  <c r="K165" i="5"/>
  <c r="J165" i="5"/>
  <c r="G165" i="5"/>
  <c r="F165" i="5"/>
  <c r="K164" i="5"/>
  <c r="J164" i="5"/>
  <c r="G164" i="5"/>
  <c r="F164" i="5"/>
  <c r="K163" i="5"/>
  <c r="J163" i="5"/>
  <c r="G163" i="5"/>
  <c r="F163" i="5"/>
  <c r="K162" i="5"/>
  <c r="J162" i="5"/>
  <c r="G162" i="5"/>
  <c r="F162" i="5"/>
  <c r="K161" i="5"/>
  <c r="J161" i="5"/>
  <c r="G161" i="5"/>
  <c r="F161" i="5"/>
  <c r="K160" i="5"/>
  <c r="J160" i="5"/>
  <c r="G160" i="5"/>
  <c r="F160" i="5"/>
  <c r="K159" i="5"/>
  <c r="J159" i="5"/>
  <c r="G159" i="5"/>
  <c r="F159" i="5"/>
  <c r="K158" i="5"/>
  <c r="J158" i="5"/>
  <c r="G158" i="5"/>
  <c r="F158" i="5"/>
  <c r="K157" i="5"/>
  <c r="J157" i="5"/>
  <c r="G157" i="5"/>
  <c r="F157" i="5"/>
  <c r="K156" i="5"/>
  <c r="J156" i="5"/>
  <c r="G156" i="5"/>
  <c r="F156" i="5"/>
  <c r="K155" i="5"/>
  <c r="J155" i="5"/>
  <c r="G155" i="5"/>
  <c r="F155" i="5"/>
  <c r="K154" i="5"/>
  <c r="J154" i="5"/>
  <c r="G154" i="5"/>
  <c r="F154" i="5"/>
  <c r="K153" i="5"/>
  <c r="J153" i="5"/>
  <c r="G153" i="5"/>
  <c r="F153" i="5"/>
  <c r="K152" i="5"/>
  <c r="J152" i="5"/>
  <c r="G152" i="5"/>
  <c r="F152" i="5"/>
  <c r="K151" i="5"/>
  <c r="J151" i="5"/>
  <c r="G151" i="5"/>
  <c r="F151" i="5"/>
  <c r="K150" i="5"/>
  <c r="J150" i="5"/>
  <c r="G150" i="5"/>
  <c r="F150" i="5"/>
  <c r="K149" i="5"/>
  <c r="J149" i="5"/>
  <c r="G149" i="5"/>
  <c r="F149" i="5"/>
  <c r="K148" i="5"/>
  <c r="J148" i="5"/>
  <c r="G148" i="5"/>
  <c r="F148" i="5"/>
  <c r="K147" i="5"/>
  <c r="J147" i="5"/>
  <c r="G147" i="5"/>
  <c r="F147" i="5"/>
  <c r="K146" i="5"/>
  <c r="J146" i="5"/>
  <c r="G146" i="5"/>
  <c r="F146" i="5"/>
  <c r="K145" i="5"/>
  <c r="J145" i="5"/>
  <c r="G145" i="5"/>
  <c r="F145" i="5"/>
  <c r="K144" i="5"/>
  <c r="J144" i="5"/>
  <c r="G144" i="5"/>
  <c r="F144" i="5"/>
  <c r="K143" i="5"/>
  <c r="J143" i="5"/>
  <c r="G143" i="5"/>
  <c r="F143" i="5"/>
  <c r="K142" i="5"/>
  <c r="J142" i="5"/>
  <c r="G142" i="5"/>
  <c r="F142" i="5"/>
  <c r="K141" i="5"/>
  <c r="J141" i="5"/>
  <c r="G141" i="5"/>
  <c r="F141" i="5"/>
  <c r="K140" i="5"/>
  <c r="J140" i="5"/>
  <c r="G140" i="5"/>
  <c r="F140" i="5"/>
  <c r="K139" i="5"/>
  <c r="J139" i="5"/>
  <c r="G139" i="5"/>
  <c r="F139" i="5"/>
  <c r="K138" i="5"/>
  <c r="J138" i="5"/>
  <c r="G138" i="5"/>
  <c r="F138" i="5"/>
  <c r="K137" i="5"/>
  <c r="J137" i="5"/>
  <c r="G137" i="5"/>
  <c r="F137" i="5"/>
  <c r="K136" i="5"/>
  <c r="J136" i="5"/>
  <c r="G136" i="5"/>
  <c r="F136" i="5"/>
  <c r="K135" i="5"/>
  <c r="J135" i="5"/>
  <c r="G135" i="5"/>
  <c r="F135" i="5"/>
  <c r="K134" i="5"/>
  <c r="J134" i="5"/>
  <c r="G134" i="5"/>
  <c r="F134" i="5"/>
  <c r="K133" i="5"/>
  <c r="J133" i="5"/>
  <c r="G133" i="5"/>
  <c r="F133" i="5"/>
  <c r="K132" i="5"/>
  <c r="J132" i="5"/>
  <c r="G132" i="5"/>
  <c r="F132" i="5"/>
  <c r="K131" i="5"/>
  <c r="J131" i="5"/>
  <c r="G131" i="5"/>
  <c r="F131" i="5"/>
  <c r="K130" i="5"/>
  <c r="J130" i="5"/>
  <c r="G130" i="5"/>
  <c r="F130" i="5"/>
  <c r="K129" i="5"/>
  <c r="J129" i="5"/>
  <c r="G129" i="5"/>
  <c r="F129" i="5"/>
  <c r="K128" i="5"/>
  <c r="J128" i="5"/>
  <c r="G128" i="5"/>
  <c r="F128" i="5"/>
  <c r="K127" i="5"/>
  <c r="J127" i="5"/>
  <c r="G127" i="5"/>
  <c r="F127" i="5"/>
  <c r="K126" i="5"/>
  <c r="J126" i="5"/>
  <c r="G126" i="5"/>
  <c r="F126" i="5"/>
  <c r="K125" i="5"/>
  <c r="J125" i="5"/>
  <c r="G125" i="5"/>
  <c r="F125" i="5"/>
  <c r="K124" i="5"/>
  <c r="J124" i="5"/>
  <c r="G124" i="5"/>
  <c r="F124" i="5"/>
  <c r="K123" i="5"/>
  <c r="J123" i="5"/>
  <c r="G123" i="5"/>
  <c r="F123" i="5"/>
  <c r="K122" i="5"/>
  <c r="J122" i="5"/>
  <c r="G122" i="5"/>
  <c r="F122" i="5"/>
  <c r="K121" i="5"/>
  <c r="J121" i="5"/>
  <c r="G121" i="5"/>
  <c r="F121" i="5"/>
  <c r="K120" i="5"/>
  <c r="J120" i="5"/>
  <c r="G120" i="5"/>
  <c r="F120" i="5"/>
  <c r="K119" i="5"/>
  <c r="J119" i="5"/>
  <c r="G119" i="5"/>
  <c r="F119" i="5"/>
  <c r="K118" i="5"/>
  <c r="J118" i="5"/>
  <c r="G118" i="5"/>
  <c r="F118" i="5"/>
  <c r="K117" i="5"/>
  <c r="J117" i="5"/>
  <c r="G117" i="5"/>
  <c r="F117" i="5"/>
  <c r="K116" i="5"/>
  <c r="J116" i="5"/>
  <c r="G116" i="5"/>
  <c r="F116" i="5"/>
  <c r="K115" i="5"/>
  <c r="J115" i="5"/>
  <c r="G115" i="5"/>
  <c r="F115" i="5"/>
  <c r="K114" i="5"/>
  <c r="J114" i="5"/>
  <c r="G114" i="5"/>
  <c r="F114" i="5"/>
  <c r="K113" i="5"/>
  <c r="J113" i="5"/>
  <c r="G113" i="5"/>
  <c r="F113" i="5"/>
  <c r="K112" i="5"/>
  <c r="J112" i="5"/>
  <c r="G112" i="5"/>
  <c r="F112" i="5"/>
  <c r="K111" i="5"/>
  <c r="J111" i="5"/>
  <c r="G111" i="5"/>
  <c r="F111" i="5"/>
  <c r="K110" i="5"/>
  <c r="J110" i="5"/>
  <c r="G110" i="5"/>
  <c r="F110" i="5"/>
  <c r="K109" i="5"/>
  <c r="J109" i="5"/>
  <c r="G109" i="5"/>
  <c r="F109" i="5"/>
  <c r="K108" i="5"/>
  <c r="J108" i="5"/>
  <c r="G108" i="5"/>
  <c r="F108" i="5"/>
  <c r="K107" i="5"/>
  <c r="J107" i="5"/>
  <c r="G107" i="5"/>
  <c r="F107" i="5"/>
  <c r="K106" i="5"/>
  <c r="J106" i="5"/>
  <c r="G106" i="5"/>
  <c r="F106" i="5"/>
  <c r="K105" i="5"/>
  <c r="J105" i="5"/>
  <c r="G105" i="5"/>
  <c r="F105" i="5"/>
  <c r="K104" i="5"/>
  <c r="J104" i="5"/>
  <c r="G104" i="5"/>
  <c r="F104" i="5"/>
  <c r="K103" i="5"/>
  <c r="J103" i="5"/>
  <c r="G103" i="5"/>
  <c r="F103" i="5"/>
  <c r="K102" i="5"/>
  <c r="J102" i="5"/>
  <c r="G102" i="5"/>
  <c r="F102" i="5"/>
  <c r="K101" i="5"/>
  <c r="J101" i="5"/>
  <c r="G101" i="5"/>
  <c r="F101" i="5"/>
  <c r="K100" i="5"/>
  <c r="J100" i="5"/>
  <c r="G100" i="5"/>
  <c r="F100" i="5"/>
  <c r="K99" i="5"/>
  <c r="J99" i="5"/>
  <c r="G99" i="5"/>
  <c r="F99" i="5"/>
  <c r="K98" i="5"/>
  <c r="J98" i="5"/>
  <c r="G98" i="5"/>
  <c r="F98" i="5"/>
  <c r="K97" i="5"/>
  <c r="J97" i="5"/>
  <c r="G97" i="5"/>
  <c r="F97" i="5"/>
  <c r="K96" i="5"/>
  <c r="J96" i="5"/>
  <c r="G96" i="5"/>
  <c r="F96" i="5"/>
  <c r="K95" i="5"/>
  <c r="J95" i="5"/>
  <c r="G95" i="5"/>
  <c r="F95" i="5"/>
  <c r="K94" i="5"/>
  <c r="J94" i="5"/>
  <c r="G94" i="5"/>
  <c r="F94" i="5"/>
  <c r="K93" i="5"/>
  <c r="J93" i="5"/>
  <c r="G93" i="5"/>
  <c r="F93" i="5"/>
  <c r="K92" i="5"/>
  <c r="J92" i="5"/>
  <c r="G92" i="5"/>
  <c r="F92" i="5"/>
  <c r="K91" i="5"/>
  <c r="J91" i="5"/>
  <c r="G91" i="5"/>
  <c r="F91" i="5"/>
  <c r="K90" i="5"/>
  <c r="J90" i="5"/>
  <c r="G90" i="5"/>
  <c r="F90" i="5"/>
  <c r="K89" i="5"/>
  <c r="J89" i="5"/>
  <c r="G89" i="5"/>
  <c r="F89" i="5"/>
  <c r="K88" i="5"/>
  <c r="J88" i="5"/>
  <c r="G88" i="5"/>
  <c r="F88" i="5"/>
  <c r="K87" i="5"/>
  <c r="J87" i="5"/>
  <c r="G87" i="5"/>
  <c r="F87" i="5"/>
  <c r="K86" i="5"/>
  <c r="J86" i="5"/>
  <c r="G86" i="5"/>
  <c r="F86" i="5"/>
  <c r="K85" i="5"/>
  <c r="J85" i="5"/>
  <c r="G85" i="5"/>
  <c r="F85" i="5"/>
  <c r="K84" i="5"/>
  <c r="J84" i="5"/>
  <c r="G84" i="5"/>
  <c r="F84" i="5"/>
  <c r="K83" i="5"/>
  <c r="J83" i="5"/>
  <c r="G83" i="5"/>
  <c r="F83" i="5"/>
  <c r="K82" i="5"/>
  <c r="J82" i="5"/>
  <c r="G82" i="5"/>
  <c r="F82" i="5"/>
  <c r="K81" i="5"/>
  <c r="J81" i="5"/>
  <c r="G81" i="5"/>
  <c r="F81" i="5"/>
  <c r="K80" i="5"/>
  <c r="J80" i="5"/>
  <c r="G80" i="5"/>
  <c r="F80" i="5"/>
  <c r="K79" i="5"/>
  <c r="J79" i="5"/>
  <c r="G79" i="5"/>
  <c r="F79" i="5"/>
  <c r="K78" i="5"/>
  <c r="J78" i="5"/>
  <c r="G78" i="5"/>
  <c r="F78" i="5"/>
  <c r="K77" i="5"/>
  <c r="J77" i="5"/>
  <c r="G77" i="5"/>
  <c r="F77" i="5"/>
  <c r="K76" i="5"/>
  <c r="J76" i="5"/>
  <c r="G76" i="5"/>
  <c r="F76" i="5"/>
  <c r="K75" i="5"/>
  <c r="J75" i="5"/>
  <c r="G75" i="5"/>
  <c r="F75" i="5"/>
  <c r="K74" i="5"/>
  <c r="J74" i="5"/>
  <c r="G74" i="5"/>
  <c r="F74" i="5"/>
  <c r="K73" i="5"/>
  <c r="J73" i="5"/>
  <c r="G73" i="5"/>
  <c r="F73" i="5"/>
  <c r="K72" i="5"/>
  <c r="J72" i="5"/>
  <c r="G72" i="5"/>
  <c r="F72" i="5"/>
  <c r="K71" i="5"/>
  <c r="J71" i="5"/>
  <c r="G71" i="5"/>
  <c r="F71" i="5"/>
  <c r="K70" i="5"/>
  <c r="J70" i="5"/>
  <c r="G70" i="5"/>
  <c r="F70" i="5"/>
  <c r="K69" i="5"/>
  <c r="J69" i="5"/>
  <c r="G69" i="5"/>
  <c r="F69" i="5"/>
  <c r="K68" i="5"/>
  <c r="J68" i="5"/>
  <c r="G68" i="5"/>
  <c r="F68" i="5"/>
  <c r="K67" i="5"/>
  <c r="J67" i="5"/>
  <c r="G67" i="5"/>
  <c r="F67" i="5"/>
  <c r="K66" i="5"/>
  <c r="J66" i="5"/>
  <c r="G66" i="5"/>
  <c r="F66" i="5"/>
  <c r="K65" i="5"/>
  <c r="J65" i="5"/>
  <c r="G65" i="5"/>
  <c r="F65" i="5"/>
  <c r="K64" i="5"/>
  <c r="J64" i="5"/>
  <c r="G64" i="5"/>
  <c r="F64" i="5"/>
  <c r="K63" i="5"/>
  <c r="J63" i="5"/>
  <c r="G63" i="5"/>
  <c r="F63" i="5"/>
  <c r="K62" i="5"/>
  <c r="J62" i="5"/>
  <c r="G62" i="5"/>
  <c r="F62" i="5"/>
  <c r="K61" i="5"/>
  <c r="J61" i="5"/>
  <c r="G61" i="5"/>
  <c r="F61" i="5"/>
  <c r="K60" i="5"/>
  <c r="J60" i="5"/>
  <c r="G60" i="5"/>
  <c r="F60" i="5"/>
  <c r="K59" i="5"/>
  <c r="J59" i="5"/>
  <c r="G59" i="5"/>
  <c r="F59" i="5"/>
  <c r="K58" i="5"/>
  <c r="J58" i="5"/>
  <c r="G58" i="5"/>
  <c r="F58" i="5"/>
  <c r="K57" i="5"/>
  <c r="J57" i="5"/>
  <c r="G57" i="5"/>
  <c r="F57" i="5"/>
  <c r="K56" i="5"/>
  <c r="J56" i="5"/>
  <c r="G56" i="5"/>
  <c r="F56" i="5"/>
  <c r="K55" i="5"/>
  <c r="J55" i="5"/>
  <c r="G55" i="5"/>
  <c r="F55" i="5"/>
  <c r="K54" i="5"/>
  <c r="J54" i="5"/>
  <c r="G54" i="5"/>
  <c r="F54" i="5"/>
  <c r="K53" i="5"/>
  <c r="J53" i="5"/>
  <c r="G53" i="5"/>
  <c r="F53" i="5"/>
  <c r="K52" i="5"/>
  <c r="J52" i="5"/>
  <c r="G52" i="5"/>
  <c r="F52" i="5"/>
  <c r="K51" i="5"/>
  <c r="J51" i="5"/>
  <c r="G51" i="5"/>
  <c r="F51" i="5"/>
  <c r="K50" i="5"/>
  <c r="J50" i="5"/>
  <c r="G50" i="5"/>
  <c r="F50" i="5"/>
  <c r="K49" i="5"/>
  <c r="J49" i="5"/>
  <c r="G49" i="5"/>
  <c r="F49" i="5"/>
  <c r="K48" i="5"/>
  <c r="J48" i="5"/>
  <c r="G48" i="5"/>
  <c r="F48" i="5"/>
  <c r="K47" i="5"/>
  <c r="J47" i="5"/>
  <c r="G47" i="5"/>
  <c r="F47" i="5"/>
  <c r="K46" i="5"/>
  <c r="J46" i="5"/>
  <c r="G46" i="5"/>
  <c r="F46" i="5"/>
  <c r="K45" i="5"/>
  <c r="J45" i="5"/>
  <c r="G45" i="5"/>
  <c r="F45" i="5"/>
  <c r="K44" i="5"/>
  <c r="J44" i="5"/>
  <c r="G44" i="5"/>
  <c r="F44" i="5"/>
  <c r="K43" i="5"/>
  <c r="J43" i="5"/>
  <c r="G43" i="5"/>
  <c r="F43" i="5"/>
  <c r="K42" i="5"/>
  <c r="J42" i="5"/>
  <c r="G42" i="5"/>
  <c r="F42" i="5"/>
  <c r="K41" i="5"/>
  <c r="J41" i="5"/>
  <c r="G41" i="5"/>
  <c r="F41" i="5"/>
  <c r="K40" i="5"/>
  <c r="J40" i="5"/>
  <c r="G40" i="5"/>
  <c r="F40" i="5"/>
  <c r="K39" i="5"/>
  <c r="J39" i="5"/>
  <c r="G39" i="5"/>
  <c r="F39" i="5"/>
  <c r="K38" i="5"/>
  <c r="J38" i="5"/>
  <c r="G38" i="5"/>
  <c r="F38" i="5"/>
  <c r="K37" i="5"/>
  <c r="J37" i="5"/>
  <c r="G37" i="5"/>
  <c r="F37" i="5"/>
  <c r="K36" i="5"/>
  <c r="J36" i="5"/>
  <c r="G36" i="5"/>
  <c r="F36" i="5"/>
  <c r="K35" i="5"/>
  <c r="J35" i="5"/>
  <c r="G35" i="5"/>
  <c r="F35" i="5"/>
  <c r="K34" i="5"/>
  <c r="J34" i="5"/>
  <c r="G34" i="5"/>
  <c r="F34" i="5"/>
  <c r="K33" i="5"/>
  <c r="J33" i="5"/>
  <c r="G33" i="5"/>
  <c r="F33" i="5"/>
  <c r="K32" i="5"/>
  <c r="J32" i="5"/>
  <c r="G32" i="5"/>
  <c r="F32" i="5"/>
  <c r="K31" i="5"/>
  <c r="J31" i="5"/>
  <c r="G31" i="5"/>
  <c r="F31" i="5"/>
  <c r="K30" i="5"/>
  <c r="J30" i="5"/>
  <c r="G30" i="5"/>
  <c r="F30" i="5"/>
  <c r="K29" i="5"/>
  <c r="J29" i="5"/>
  <c r="G29" i="5"/>
  <c r="F29" i="5"/>
  <c r="K28" i="5"/>
  <c r="J28" i="5"/>
  <c r="G28" i="5"/>
  <c r="F28" i="5"/>
  <c r="K27" i="5"/>
  <c r="J27" i="5"/>
  <c r="G27" i="5"/>
  <c r="F27" i="5"/>
  <c r="K26" i="5"/>
  <c r="J26" i="5"/>
  <c r="G26" i="5"/>
  <c r="F26" i="5"/>
  <c r="K25" i="5"/>
  <c r="J25" i="5"/>
  <c r="G25" i="5"/>
  <c r="F25" i="5"/>
  <c r="K24" i="5"/>
  <c r="J24" i="5"/>
  <c r="G24" i="5"/>
  <c r="F24" i="5"/>
  <c r="K23" i="5"/>
  <c r="J23" i="5"/>
  <c r="G23" i="5"/>
  <c r="F23" i="5"/>
  <c r="K22" i="5"/>
  <c r="J22" i="5"/>
  <c r="G22" i="5"/>
  <c r="F22" i="5"/>
  <c r="K21" i="5"/>
  <c r="J21" i="5"/>
  <c r="G21" i="5"/>
  <c r="F21" i="5"/>
  <c r="K20" i="5"/>
  <c r="J20" i="5"/>
  <c r="G20" i="5"/>
  <c r="F20" i="5"/>
  <c r="K19" i="5"/>
  <c r="J19" i="5"/>
  <c r="G19" i="5"/>
  <c r="F19" i="5"/>
  <c r="K18" i="5"/>
  <c r="J18" i="5"/>
  <c r="G18" i="5"/>
  <c r="F18" i="5"/>
  <c r="K17" i="5"/>
  <c r="J17" i="5"/>
  <c r="G17" i="5"/>
  <c r="F17" i="5"/>
  <c r="K16" i="5"/>
  <c r="J16" i="5"/>
  <c r="G16" i="5"/>
  <c r="F16" i="5"/>
  <c r="K15" i="5"/>
  <c r="J15" i="5"/>
  <c r="G15" i="5"/>
  <c r="F15" i="5"/>
  <c r="K14" i="5"/>
  <c r="J14" i="5"/>
  <c r="G14" i="5"/>
  <c r="F14" i="5"/>
  <c r="K13" i="5"/>
  <c r="J13" i="5"/>
  <c r="G13" i="5"/>
  <c r="F13" i="5"/>
  <c r="K12" i="5"/>
  <c r="J12" i="5"/>
  <c r="G12" i="5"/>
  <c r="F12" i="5"/>
  <c r="K11" i="5"/>
  <c r="J11" i="5"/>
  <c r="G11" i="5"/>
  <c r="F11" i="5"/>
  <c r="K10" i="5"/>
  <c r="J10" i="5"/>
  <c r="G10" i="5"/>
  <c r="F10" i="5"/>
  <c r="K9" i="5"/>
  <c r="J9" i="5"/>
  <c r="G9" i="5"/>
  <c r="F9" i="5"/>
  <c r="K8" i="5"/>
  <c r="J8" i="5"/>
  <c r="G8" i="5"/>
  <c r="F8" i="5"/>
  <c r="K7" i="5"/>
  <c r="J7" i="5"/>
  <c r="G7" i="5"/>
  <c r="F7" i="5"/>
  <c r="K6" i="5"/>
  <c r="J6" i="5"/>
  <c r="G6" i="5"/>
  <c r="F6" i="5"/>
  <c r="J5" i="5"/>
  <c r="K5" i="5" s="1"/>
  <c r="G5" i="5"/>
  <c r="F5" i="5"/>
  <c r="G10" i="4"/>
  <c r="G9" i="4"/>
  <c r="G8" i="4"/>
  <c r="G7" i="4"/>
  <c r="G6" i="4"/>
  <c r="G5" i="4"/>
  <c r="F504" i="3"/>
  <c r="E504" i="3"/>
  <c r="F503" i="3"/>
  <c r="E503" i="3"/>
  <c r="F502" i="3"/>
  <c r="E502" i="3"/>
  <c r="F501" i="3"/>
  <c r="E501" i="3"/>
  <c r="F500" i="3"/>
  <c r="E500" i="3"/>
  <c r="F499" i="3"/>
  <c r="E499" i="3"/>
  <c r="F498" i="3"/>
  <c r="E498" i="3"/>
  <c r="F497" i="3"/>
  <c r="E497" i="3"/>
  <c r="F496" i="3"/>
  <c r="E496" i="3"/>
  <c r="F495" i="3"/>
  <c r="E495" i="3"/>
  <c r="F494" i="3"/>
  <c r="E494" i="3"/>
  <c r="F493" i="3"/>
  <c r="E493" i="3"/>
  <c r="F492" i="3"/>
  <c r="E492" i="3"/>
  <c r="F491" i="3"/>
  <c r="E491" i="3"/>
  <c r="F490" i="3"/>
  <c r="E490" i="3"/>
  <c r="F489" i="3"/>
  <c r="E489" i="3"/>
  <c r="F488" i="3"/>
  <c r="E488" i="3"/>
  <c r="F487" i="3"/>
  <c r="E487" i="3"/>
  <c r="F486" i="3"/>
  <c r="E486" i="3"/>
  <c r="F485" i="3"/>
  <c r="E485" i="3"/>
  <c r="F484" i="3"/>
  <c r="E484" i="3"/>
  <c r="F483" i="3"/>
  <c r="E483" i="3"/>
  <c r="F482" i="3"/>
  <c r="E482" i="3"/>
  <c r="F481" i="3"/>
  <c r="E481" i="3"/>
  <c r="F480" i="3"/>
  <c r="E480" i="3"/>
  <c r="F479" i="3"/>
  <c r="E479" i="3"/>
  <c r="F478" i="3"/>
  <c r="E478" i="3"/>
  <c r="F477" i="3"/>
  <c r="E477" i="3"/>
  <c r="F476" i="3"/>
  <c r="E476" i="3"/>
  <c r="F475" i="3"/>
  <c r="E475" i="3"/>
  <c r="F474" i="3"/>
  <c r="E474" i="3"/>
  <c r="F473" i="3"/>
  <c r="E473" i="3"/>
  <c r="F472" i="3"/>
  <c r="E472" i="3"/>
  <c r="F471" i="3"/>
  <c r="E471" i="3"/>
  <c r="F470" i="3"/>
  <c r="E470" i="3"/>
  <c r="F469" i="3"/>
  <c r="E469" i="3"/>
  <c r="F468" i="3"/>
  <c r="E468" i="3"/>
  <c r="F467" i="3"/>
  <c r="E467" i="3"/>
  <c r="F466" i="3"/>
  <c r="E466" i="3"/>
  <c r="F465" i="3"/>
  <c r="E465" i="3"/>
  <c r="F464" i="3"/>
  <c r="E464" i="3"/>
  <c r="F463" i="3"/>
  <c r="E463" i="3"/>
  <c r="F462" i="3"/>
  <c r="E462" i="3"/>
  <c r="F461" i="3"/>
  <c r="E461" i="3"/>
  <c r="F460" i="3"/>
  <c r="E460" i="3"/>
  <c r="F459" i="3"/>
  <c r="E459" i="3"/>
  <c r="F458" i="3"/>
  <c r="E458" i="3"/>
  <c r="F457" i="3"/>
  <c r="E457" i="3"/>
  <c r="F456" i="3"/>
  <c r="E456" i="3"/>
  <c r="F455" i="3"/>
  <c r="E455" i="3"/>
  <c r="F454" i="3"/>
  <c r="E454" i="3"/>
  <c r="F453" i="3"/>
  <c r="E453" i="3"/>
  <c r="F452" i="3"/>
  <c r="E452" i="3"/>
  <c r="F451" i="3"/>
  <c r="E451" i="3"/>
  <c r="F450" i="3"/>
  <c r="E450" i="3"/>
  <c r="F449" i="3"/>
  <c r="E449" i="3"/>
  <c r="F448" i="3"/>
  <c r="E448" i="3"/>
  <c r="F447" i="3"/>
  <c r="E447" i="3"/>
  <c r="F446" i="3"/>
  <c r="E446" i="3"/>
  <c r="F445" i="3"/>
  <c r="E445" i="3"/>
  <c r="F444" i="3"/>
  <c r="E444" i="3"/>
  <c r="F443" i="3"/>
  <c r="E443" i="3"/>
  <c r="F442" i="3"/>
  <c r="E442" i="3"/>
  <c r="F441" i="3"/>
  <c r="E441" i="3"/>
  <c r="F440" i="3"/>
  <c r="E440" i="3"/>
  <c r="F439" i="3"/>
  <c r="E439" i="3"/>
  <c r="F438" i="3"/>
  <c r="E438" i="3"/>
  <c r="F437" i="3"/>
  <c r="E437" i="3"/>
  <c r="F436" i="3"/>
  <c r="E436" i="3"/>
  <c r="F435" i="3"/>
  <c r="E435" i="3"/>
  <c r="F434" i="3"/>
  <c r="E434" i="3"/>
  <c r="F433" i="3"/>
  <c r="E433" i="3"/>
  <c r="F432" i="3"/>
  <c r="E432" i="3"/>
  <c r="F431" i="3"/>
  <c r="E431" i="3"/>
  <c r="F430" i="3"/>
  <c r="E430" i="3"/>
  <c r="F429" i="3"/>
  <c r="E429" i="3"/>
  <c r="F428" i="3"/>
  <c r="E428" i="3"/>
  <c r="F427" i="3"/>
  <c r="E427" i="3"/>
  <c r="F426" i="3"/>
  <c r="E426" i="3"/>
  <c r="F425" i="3"/>
  <c r="E425" i="3"/>
  <c r="F424" i="3"/>
  <c r="E424" i="3"/>
  <c r="F423" i="3"/>
  <c r="E423" i="3"/>
  <c r="F422" i="3"/>
  <c r="E422" i="3"/>
  <c r="F421" i="3"/>
  <c r="E421" i="3"/>
  <c r="F420" i="3"/>
  <c r="E420" i="3"/>
  <c r="F419" i="3"/>
  <c r="E419" i="3"/>
  <c r="F418" i="3"/>
  <c r="E418" i="3"/>
  <c r="F417" i="3"/>
  <c r="E417" i="3"/>
  <c r="F416" i="3"/>
  <c r="E416" i="3"/>
  <c r="F415" i="3"/>
  <c r="E415" i="3"/>
  <c r="F414" i="3"/>
  <c r="E414" i="3"/>
  <c r="F413" i="3"/>
  <c r="E413" i="3"/>
  <c r="F412" i="3"/>
  <c r="E412" i="3"/>
  <c r="F411" i="3"/>
  <c r="E411" i="3"/>
  <c r="F410" i="3"/>
  <c r="E410" i="3"/>
  <c r="F409" i="3"/>
  <c r="E409" i="3"/>
  <c r="F408" i="3"/>
  <c r="E408" i="3"/>
  <c r="F407" i="3"/>
  <c r="E407" i="3"/>
  <c r="F406" i="3"/>
  <c r="E406" i="3"/>
  <c r="F405" i="3"/>
  <c r="E405" i="3"/>
  <c r="F404" i="3"/>
  <c r="E404" i="3"/>
  <c r="F403" i="3"/>
  <c r="E403" i="3"/>
  <c r="F402" i="3"/>
  <c r="E402" i="3"/>
  <c r="F401" i="3"/>
  <c r="E401" i="3"/>
  <c r="F400" i="3"/>
  <c r="E400" i="3"/>
  <c r="F399" i="3"/>
  <c r="E399" i="3"/>
  <c r="F398" i="3"/>
  <c r="E398" i="3"/>
  <c r="F397" i="3"/>
  <c r="E397" i="3"/>
  <c r="F396" i="3"/>
  <c r="E396" i="3"/>
  <c r="F395" i="3"/>
  <c r="E395" i="3"/>
  <c r="F394" i="3"/>
  <c r="E394" i="3"/>
  <c r="F393" i="3"/>
  <c r="E393" i="3"/>
  <c r="F392" i="3"/>
  <c r="E392" i="3"/>
  <c r="F391" i="3"/>
  <c r="E391" i="3"/>
  <c r="F390" i="3"/>
  <c r="E390" i="3"/>
  <c r="F389" i="3"/>
  <c r="E389" i="3"/>
  <c r="F388" i="3"/>
  <c r="E388" i="3"/>
  <c r="F387" i="3"/>
  <c r="E387" i="3"/>
  <c r="F386" i="3"/>
  <c r="E386" i="3"/>
  <c r="F385" i="3"/>
  <c r="E385" i="3"/>
  <c r="F384" i="3"/>
  <c r="E384" i="3"/>
  <c r="F383" i="3"/>
  <c r="E383" i="3"/>
  <c r="F382" i="3"/>
  <c r="E382" i="3"/>
  <c r="F381" i="3"/>
  <c r="E381" i="3"/>
  <c r="F380" i="3"/>
  <c r="E380" i="3"/>
  <c r="F379" i="3"/>
  <c r="E379" i="3"/>
  <c r="F378" i="3"/>
  <c r="E378" i="3"/>
  <c r="F377" i="3"/>
  <c r="E377" i="3"/>
  <c r="F376" i="3"/>
  <c r="E376" i="3"/>
  <c r="F375" i="3"/>
  <c r="E375" i="3"/>
  <c r="F374" i="3"/>
  <c r="E374" i="3"/>
  <c r="F373" i="3"/>
  <c r="E373" i="3"/>
  <c r="F372" i="3"/>
  <c r="E372" i="3"/>
  <c r="F371" i="3"/>
  <c r="E371" i="3"/>
  <c r="F370" i="3"/>
  <c r="E370" i="3"/>
  <c r="F369" i="3"/>
  <c r="E369" i="3"/>
  <c r="F368" i="3"/>
  <c r="E368" i="3"/>
  <c r="F367" i="3"/>
  <c r="E367" i="3"/>
  <c r="F366" i="3"/>
  <c r="E366" i="3"/>
  <c r="F365" i="3"/>
  <c r="E365" i="3"/>
  <c r="F364" i="3"/>
  <c r="E364" i="3"/>
  <c r="F363" i="3"/>
  <c r="E363" i="3"/>
  <c r="F362" i="3"/>
  <c r="E362" i="3"/>
  <c r="F361" i="3"/>
  <c r="E361" i="3"/>
  <c r="F360" i="3"/>
  <c r="E360" i="3"/>
  <c r="F359" i="3"/>
  <c r="E359" i="3"/>
  <c r="F358" i="3"/>
  <c r="E358" i="3"/>
  <c r="F357" i="3"/>
  <c r="E357" i="3"/>
  <c r="F356" i="3"/>
  <c r="E356" i="3"/>
  <c r="F355" i="3"/>
  <c r="E355" i="3"/>
  <c r="F354" i="3"/>
  <c r="E354" i="3"/>
  <c r="F353" i="3"/>
  <c r="E353" i="3"/>
  <c r="F352" i="3"/>
  <c r="E352" i="3"/>
  <c r="F351" i="3"/>
  <c r="E351" i="3"/>
  <c r="F350" i="3"/>
  <c r="E350" i="3"/>
  <c r="F349" i="3"/>
  <c r="E349" i="3"/>
  <c r="F348" i="3"/>
  <c r="E348" i="3"/>
  <c r="F347" i="3"/>
  <c r="E347" i="3"/>
  <c r="F346" i="3"/>
  <c r="E346" i="3"/>
  <c r="F345" i="3"/>
  <c r="E345" i="3"/>
  <c r="F344" i="3"/>
  <c r="E344" i="3"/>
  <c r="F343" i="3"/>
  <c r="E343" i="3"/>
  <c r="F342" i="3"/>
  <c r="E342" i="3"/>
  <c r="F341" i="3"/>
  <c r="E341" i="3"/>
  <c r="F340" i="3"/>
  <c r="E340" i="3"/>
  <c r="F339" i="3"/>
  <c r="E339" i="3"/>
  <c r="F338" i="3"/>
  <c r="E338" i="3"/>
  <c r="F337" i="3"/>
  <c r="E337" i="3"/>
  <c r="F336" i="3"/>
  <c r="E336" i="3"/>
  <c r="F335" i="3"/>
  <c r="E335" i="3"/>
  <c r="F334" i="3"/>
  <c r="E334" i="3"/>
  <c r="F333" i="3"/>
  <c r="E333" i="3"/>
  <c r="F332" i="3"/>
  <c r="E332" i="3"/>
  <c r="F331" i="3"/>
  <c r="E331" i="3"/>
  <c r="F330" i="3"/>
  <c r="E330" i="3"/>
  <c r="F329" i="3"/>
  <c r="E329" i="3"/>
  <c r="F328" i="3"/>
  <c r="E328" i="3"/>
  <c r="F327" i="3"/>
  <c r="E327" i="3"/>
  <c r="F326" i="3"/>
  <c r="E326" i="3"/>
  <c r="F325" i="3"/>
  <c r="E325" i="3"/>
  <c r="F324" i="3"/>
  <c r="E324" i="3"/>
  <c r="F323" i="3"/>
  <c r="E323" i="3"/>
  <c r="F322" i="3"/>
  <c r="E322" i="3"/>
  <c r="F321" i="3"/>
  <c r="E321" i="3"/>
  <c r="F320" i="3"/>
  <c r="E320" i="3"/>
  <c r="F319" i="3"/>
  <c r="E319" i="3"/>
  <c r="F318" i="3"/>
  <c r="E318" i="3"/>
  <c r="F317" i="3"/>
  <c r="E317" i="3"/>
  <c r="F316" i="3"/>
  <c r="E316" i="3"/>
  <c r="F315" i="3"/>
  <c r="E315" i="3"/>
  <c r="F314" i="3"/>
  <c r="E314" i="3"/>
  <c r="F313" i="3"/>
  <c r="E313" i="3"/>
  <c r="F312" i="3"/>
  <c r="E312" i="3"/>
  <c r="F311" i="3"/>
  <c r="E311" i="3"/>
  <c r="F310" i="3"/>
  <c r="E310" i="3"/>
  <c r="F309" i="3"/>
  <c r="E309" i="3"/>
  <c r="F308" i="3"/>
  <c r="E308" i="3"/>
  <c r="F307" i="3"/>
  <c r="E307" i="3"/>
  <c r="F306" i="3"/>
  <c r="E306" i="3"/>
  <c r="F305" i="3"/>
  <c r="E305" i="3"/>
  <c r="F304" i="3"/>
  <c r="E304" i="3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F282" i="3"/>
  <c r="E282" i="3"/>
  <c r="F281" i="3"/>
  <c r="E281" i="3"/>
  <c r="F280" i="3"/>
  <c r="E280" i="3"/>
  <c r="F279" i="3"/>
  <c r="E279" i="3"/>
  <c r="F278" i="3"/>
  <c r="E278" i="3"/>
  <c r="F277" i="3"/>
  <c r="E277" i="3"/>
  <c r="F276" i="3"/>
  <c r="E276" i="3"/>
  <c r="F275" i="3"/>
  <c r="E275" i="3"/>
  <c r="F274" i="3"/>
  <c r="E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F226" i="3"/>
  <c r="E226" i="3"/>
  <c r="F225" i="3"/>
  <c r="E225" i="3"/>
  <c r="F224" i="3"/>
  <c r="E224" i="3"/>
  <c r="F223" i="3"/>
  <c r="E223" i="3"/>
  <c r="F222" i="3"/>
  <c r="E222" i="3"/>
  <c r="F221" i="3"/>
  <c r="E221" i="3"/>
  <c r="F220" i="3"/>
  <c r="E220" i="3"/>
  <c r="F219" i="3"/>
  <c r="E219" i="3"/>
  <c r="F218" i="3"/>
  <c r="E218" i="3"/>
  <c r="F217" i="3"/>
  <c r="E217" i="3"/>
  <c r="F216" i="3"/>
  <c r="E216" i="3"/>
  <c r="F215" i="3"/>
  <c r="E215" i="3"/>
  <c r="F214" i="3"/>
  <c r="E214" i="3"/>
  <c r="F213" i="3"/>
  <c r="E213" i="3"/>
  <c r="F212" i="3"/>
  <c r="E212" i="3"/>
  <c r="F211" i="3"/>
  <c r="E211" i="3"/>
  <c r="F210" i="3"/>
  <c r="E210" i="3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E203" i="3"/>
  <c r="F202" i="3"/>
  <c r="E202" i="3"/>
  <c r="F201" i="3"/>
  <c r="E201" i="3"/>
  <c r="F200" i="3"/>
  <c r="E200" i="3"/>
  <c r="F199" i="3"/>
  <c r="E199" i="3"/>
  <c r="F198" i="3"/>
  <c r="E198" i="3"/>
  <c r="F197" i="3"/>
  <c r="E197" i="3"/>
  <c r="F196" i="3"/>
  <c r="E196" i="3"/>
  <c r="F195" i="3"/>
  <c r="E195" i="3"/>
  <c r="F194" i="3"/>
  <c r="E194" i="3"/>
  <c r="F193" i="3"/>
  <c r="E193" i="3"/>
  <c r="F192" i="3"/>
  <c r="E192" i="3"/>
  <c r="F191" i="3"/>
  <c r="E191" i="3"/>
  <c r="F190" i="3"/>
  <c r="E190" i="3"/>
  <c r="F189" i="3"/>
  <c r="E189" i="3"/>
  <c r="F188" i="3"/>
  <c r="E188" i="3"/>
  <c r="F187" i="3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B13" i="1"/>
  <c r="B12" i="1"/>
  <c r="B11" i="1"/>
  <c r="B10" i="1"/>
  <c r="G6" i="1"/>
  <c r="D6" i="1"/>
  <c r="A6" i="1"/>
  <c r="B14" i="1" l="1"/>
  <c r="J6" i="1"/>
</calcChain>
</file>

<file path=xl/sharedStrings.xml><?xml version="1.0" encoding="utf-8"?>
<sst xmlns="http://schemas.openxmlformats.org/spreadsheetml/2006/main" count="187" uniqueCount="143">
  <si>
    <t>SkillLance Operations Database</t>
  </si>
  <si>
    <t>Summary of customers, paid enrollments, sales, affiliate commissions, and payouts.</t>
  </si>
  <si>
    <t>Customers</t>
  </si>
  <si>
    <t>Active enrollments</t>
  </si>
  <si>
    <t>Paid course revenue</t>
  </si>
  <si>
    <t>Available affiliate payout</t>
  </si>
  <si>
    <t>Sales and commission</t>
  </si>
  <si>
    <t>Amount</t>
  </si>
  <si>
    <t>Database controls</t>
  </si>
  <si>
    <t>Value</t>
  </si>
  <si>
    <t>Data entry order</t>
  </si>
  <si>
    <t>Paid sales</t>
  </si>
  <si>
    <t>Affiliate commission rate</t>
  </si>
  <si>
    <t>1</t>
  </si>
  <si>
    <t>Add or update customer details on Customers</t>
  </si>
  <si>
    <t>Minimum payout</t>
  </si>
  <si>
    <t>2</t>
  </si>
  <si>
    <t>Record the paid course purchase in Sales</t>
  </si>
  <si>
    <t>Approved affiliate commission</t>
  </si>
  <si>
    <t>Login user ID</t>
  </si>
  <si>
    <t>Customer e-mail</t>
  </si>
  <si>
    <t>3</t>
  </si>
  <si>
    <t>Grant course access in Enrollments</t>
  </si>
  <si>
    <t>Paid affiliate payouts</t>
  </si>
  <si>
    <t>Password storage</t>
  </si>
  <si>
    <t>Do not store passwords</t>
  </si>
  <si>
    <t>4</t>
  </si>
  <si>
    <t>Create the affiliate record and referral code</t>
  </si>
  <si>
    <t>Commission awaiting payout</t>
  </si>
  <si>
    <t>Sales source</t>
  </si>
  <si>
    <t>Razorpay payment export</t>
  </si>
  <si>
    <t>5</t>
  </si>
  <si>
    <t>Record payout payments after approval</t>
  </si>
  <si>
    <t>One row per learner. Their e-mail is also their affiliate dashboard user ID.</t>
  </si>
  <si>
    <t>Customer ID</t>
  </si>
  <si>
    <t>Created date</t>
  </si>
  <si>
    <t>Full name</t>
  </si>
  <si>
    <t>E-mail</t>
  </si>
  <si>
    <t>Mobile no.</t>
  </si>
  <si>
    <t>State</t>
  </si>
  <si>
    <t>Account status</t>
  </si>
  <si>
    <t>Password setup</t>
  </si>
  <si>
    <t>Notes</t>
  </si>
  <si>
    <t>Enrollments</t>
  </si>
  <si>
    <t>Record course access separately from the Razorpay sale so learning access can be managed clearly.</t>
  </si>
  <si>
    <t>Enrollment ID</t>
  </si>
  <si>
    <t>Enrollment date</t>
  </si>
  <si>
    <t>Course ID</t>
  </si>
  <si>
    <t>Course name</t>
  </si>
  <si>
    <t>Course price</t>
  </si>
  <si>
    <t>Payment status</t>
  </si>
  <si>
    <t>Payment ID</t>
  </si>
  <si>
    <t>Course access</t>
  </si>
  <si>
    <t>Login issued date</t>
  </si>
  <si>
    <t>Courses</t>
  </si>
  <si>
    <t>Current SkillLance package pricing, Razorpay payment button IDs, and the affiliate commission rate.</t>
  </si>
  <si>
    <t>Price</t>
  </si>
  <si>
    <t>Course count</t>
  </si>
  <si>
    <t>Razorpay payment button ID</t>
  </si>
  <si>
    <t>Commission per sale</t>
  </si>
  <si>
    <t>ELITE</t>
  </si>
  <si>
    <t>Elite Package</t>
  </si>
  <si>
    <t>pl_TsbhUucoFI4Zwq</t>
  </si>
  <si>
    <t>MARKETING</t>
  </si>
  <si>
    <t>Marketing Mastery</t>
  </si>
  <si>
    <t>pl_Tsc0RtshcVOlv4</t>
  </si>
  <si>
    <t>SOFT</t>
  </si>
  <si>
    <t>Soft Skill Mastery</t>
  </si>
  <si>
    <t>pl_Tsc6SWIstwLyX9</t>
  </si>
  <si>
    <t>PRO</t>
  </si>
  <si>
    <t>Pro Package</t>
  </si>
  <si>
    <t>pl_TscASQMDiKuLXb</t>
  </si>
  <si>
    <t>PRIME</t>
  </si>
  <si>
    <t>Prime Package</t>
  </si>
  <si>
    <t>pl_Tscrao7delyrCN</t>
  </si>
  <si>
    <t>FINANCE</t>
  </si>
  <si>
    <t>Finance Package</t>
  </si>
  <si>
    <t>pl_Tsd2sXzAgnBo2g</t>
  </si>
  <si>
    <t>Sales</t>
  </si>
  <si>
    <t>Enter each Razorpay payment once. Commission amounts calculate only for paid sales with a referrer affiliate ID.</t>
  </si>
  <si>
    <t>Sale ID</t>
  </si>
  <si>
    <t>Razorpay payment ID</t>
  </si>
  <si>
    <t>Sale date</t>
  </si>
  <si>
    <t>Referrer affiliate ID</t>
  </si>
  <si>
    <t>Commission rate</t>
  </si>
  <si>
    <t>Commission amount</t>
  </si>
  <si>
    <t>Commission status</t>
  </si>
  <si>
    <t>Affiliates</t>
  </si>
  <si>
    <t>Use the customer e-mail as the dashboard user ID. Do not record plain-text passwords in this workbook.</t>
  </si>
  <si>
    <t>Affiliate ID</t>
  </si>
  <si>
    <t>Affiliate name</t>
  </si>
  <si>
    <t>User ID / e-mail</t>
  </si>
  <si>
    <t>Referral code</t>
  </si>
  <si>
    <t>Approved date</t>
  </si>
  <si>
    <t>Affiliate status</t>
  </si>
  <si>
    <t>Approved commission</t>
  </si>
  <si>
    <t>Paid out</t>
  </si>
  <si>
    <t>Available payout</t>
  </si>
  <si>
    <t>Payout method</t>
  </si>
  <si>
    <t>Payout address</t>
  </si>
  <si>
    <t>Payouts</t>
  </si>
  <si>
    <t>Record each affiliate payout only after approval. The payment reference is required for reconciliation.</t>
  </si>
  <si>
    <t>Payout ID</t>
  </si>
  <si>
    <t>Request date</t>
  </si>
  <si>
    <t>Period start</t>
  </si>
  <si>
    <t>Period end</t>
  </si>
  <si>
    <t>Amount paid</t>
  </si>
  <si>
    <t>Payout status</t>
  </si>
  <si>
    <t>Payment reference</t>
  </si>
  <si>
    <t>Processed date</t>
  </si>
  <si>
    <t>Lists</t>
  </si>
  <si>
    <t>Controlled values used by the drop-down fields in the database sheets.</t>
  </si>
  <si>
    <t>Active</t>
  </si>
  <si>
    <t>Not sent</t>
  </si>
  <si>
    <t>Pending</t>
  </si>
  <si>
    <t>Not granted</t>
  </si>
  <si>
    <t>Requested</t>
  </si>
  <si>
    <t>UPI</t>
  </si>
  <si>
    <t>Inactive</t>
  </si>
  <si>
    <t>Sent</t>
  </si>
  <si>
    <t>Paid</t>
  </si>
  <si>
    <t>Granted</t>
  </si>
  <si>
    <t>Approved</t>
  </si>
  <si>
    <t>Paused</t>
  </si>
  <si>
    <t>Bank transfer</t>
  </si>
  <si>
    <t>Blocked</t>
  </si>
  <si>
    <t>Set</t>
  </si>
  <si>
    <t>Failed</t>
  </si>
  <si>
    <t>Revoked</t>
  </si>
  <si>
    <t>Other</t>
  </si>
  <si>
    <t>Reset requested</t>
  </si>
  <si>
    <t>Refunded</t>
  </si>
  <si>
    <t>Cancelled</t>
  </si>
  <si>
    <t>Rejected</t>
  </si>
  <si>
    <t>SKLC0001</t>
  </si>
  <si>
    <t>Shivam Kumar Jha</t>
  </si>
  <si>
    <t>iamshivamjha4u@gmail.com</t>
  </si>
  <si>
    <t>Delhi</t>
  </si>
  <si>
    <t>SALE000001</t>
  </si>
  <si>
    <t>pay_Tsu0UbvRH2mByr</t>
  </si>
  <si>
    <t>Skilllanceprp01</t>
  </si>
  <si>
    <t>SLCS0001</t>
  </si>
  <si>
    <t>?ref=SKILLLANCE01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</si>
</sst>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dd\-mmm\-yyyy"/>
  </numFmts>
  <fonts count="10">
    <font>
      <sz val="11"/>
      <name val="Carlito"/>
    </font>
    <font>
      <sz val="10"/>
      <color rgb="FF17231F"/>
      <name val="Aptos"/>
    </font>
    <font>
      <b/>
      <sz val="16"/>
      <color rgb="FF17231F"/>
      <name val="Aptos"/>
    </font>
    <font>
      <i/>
      <sz val="10"/>
      <color rgb="FF63736A"/>
      <name val="Aptos"/>
    </font>
    <font>
      <b/>
      <sz val="10"/>
      <color rgb="FF63736A"/>
      <name val="Aptos"/>
    </font>
    <font>
      <b/>
      <sz val="18"/>
      <color rgb="FF17231F"/>
      <name val="Aptos"/>
    </font>
    <font>
      <b/>
      <sz val="10"/>
      <color rgb="FFFFFFFF"/>
      <name val="Aptos"/>
    </font>
    <font>
      <b/>
      <sz val="10"/>
      <color rgb="FFFF6847"/>
      <name val="Aptos"/>
    </font>
    <font>
      <u/>
      <sz val="11"/>
      <color theme="10"/>
      <name val="Carlito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EDF5EE"/>
      </patternFill>
    </fill>
    <fill>
      <patternFill patternType="solid">
        <fgColor rgb="FFEAF3F8"/>
      </patternFill>
    </fill>
    <fill>
      <patternFill patternType="solid">
        <fgColor rgb="FFFFF0EB"/>
      </patternFill>
    </fill>
    <fill>
      <patternFill patternType="solid">
        <fgColor rgb="FFFFF6D9"/>
      </patternFill>
    </fill>
    <fill>
      <patternFill patternType="solid">
        <fgColor rgb="FF243C32"/>
      </patternFill>
    </fill>
  </fills>
  <borders count="9">
    <border>
      <left/>
      <right/>
      <top/>
      <bottom/>
      <diagonal/>
    </border>
    <border>
      <left/>
      <right/>
      <top/>
      <bottom style="thin">
        <color rgb="FFDCE5DE"/>
      </bottom>
      <diagonal/>
    </border>
    <border>
      <left style="thin">
        <color rgb="FFDCE5DE"/>
      </left>
      <right/>
      <top style="thin">
        <color rgb="FFDCE5DE"/>
      </top>
      <bottom/>
      <diagonal/>
    </border>
    <border>
      <left/>
      <right/>
      <top style="thin">
        <color rgb="FFDCE5DE"/>
      </top>
      <bottom/>
      <diagonal/>
    </border>
    <border>
      <left/>
      <right style="thin">
        <color rgb="FFDCE5DE"/>
      </right>
      <top style="thin">
        <color rgb="FFDCE5DE"/>
      </top>
      <bottom/>
      <diagonal/>
    </border>
    <border>
      <left style="thin">
        <color rgb="FFDCE5DE"/>
      </left>
      <right/>
      <top/>
      <bottom style="thin">
        <color rgb="FFDCE5DE"/>
      </bottom>
      <diagonal/>
    </border>
    <border>
      <left/>
      <right style="thin">
        <color rgb="FFDCE5DE"/>
      </right>
      <top/>
      <bottom style="thin">
        <color rgb="FFDCE5DE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DCE5DE"/>
      </top>
      <bottom style="thin">
        <color rgb="FFDCE5DE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0" fontId="6" fillId="6" borderId="7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165" fontId="1" fillId="5" borderId="0" xfId="0" applyNumberFormat="1" applyFont="1" applyFill="1" applyAlignment="1">
      <alignment vertical="center"/>
    </xf>
    <xf numFmtId="165" fontId="1" fillId="5" borderId="1" xfId="0" applyNumberFormat="1" applyFont="1" applyFill="1" applyBorder="1" applyAlignment="1">
      <alignment vertical="center"/>
    </xf>
    <xf numFmtId="164" fontId="1" fillId="5" borderId="0" xfId="0" applyNumberFormat="1" applyFont="1" applyFill="1" applyAlignment="1">
      <alignment vertical="center"/>
    </xf>
    <xf numFmtId="9" fontId="1" fillId="5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1" fillId="5" borderId="1" xfId="0" applyNumberFormat="1" applyFont="1" applyFill="1" applyBorder="1" applyAlignment="1">
      <alignment vertical="center"/>
    </xf>
    <xf numFmtId="9" fontId="1" fillId="5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9" fontId="1" fillId="2" borderId="0" xfId="0" applyNumberFormat="1" applyFont="1" applyFill="1" applyAlignment="1">
      <alignment vertical="center"/>
    </xf>
    <xf numFmtId="9" fontId="1" fillId="2" borderId="1" xfId="0" applyNumberFormat="1" applyFont="1" applyFill="1" applyBorder="1" applyAlignment="1">
      <alignment vertical="center"/>
    </xf>
    <xf numFmtId="0" fontId="6" fillId="6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5" borderId="0" xfId="1" applyFill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6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amshivamjha4u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killlance.courses/?ref=SKILLLANCE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C32"/>
  </sheetPr>
  <dimension ref="A1:Z600"/>
  <sheetViews>
    <sheetView showGridLines="0" topLeftCell="E1" workbookViewId="0">
      <selection activeCell="D14" sqref="D14"/>
    </sheetView>
  </sheetViews>
  <sheetFormatPr defaultRowHeight="14.25"/>
  <cols>
    <col min="1" max="1" width="27" customWidth="1"/>
    <col min="2" max="2" width="16" customWidth="1"/>
    <col min="3" max="3" width="4" customWidth="1"/>
    <col min="4" max="4" width="26" customWidth="1"/>
    <col min="5" max="5" width="21" customWidth="1"/>
    <col min="6" max="6" width="4" customWidth="1"/>
    <col min="7" max="7" width="20" customWidth="1"/>
    <col min="8" max="8" width="27" customWidth="1"/>
    <col min="9" max="9" width="16" customWidth="1"/>
    <col min="10" max="10" width="25" customWidth="1"/>
    <col min="11" max="11" width="16" customWidth="1"/>
  </cols>
  <sheetData>
    <row r="1" spans="1:26" ht="24.95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95" customHeight="1">
      <c r="A2" s="44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5" t="s">
        <v>2</v>
      </c>
      <c r="B5" s="5"/>
      <c r="C5" s="6"/>
      <c r="D5" s="16" t="s">
        <v>3</v>
      </c>
      <c r="E5" s="7"/>
      <c r="F5" s="6"/>
      <c r="G5" s="17" t="s">
        <v>4</v>
      </c>
      <c r="H5" s="8"/>
      <c r="I5" s="6"/>
      <c r="J5" s="18" t="s">
        <v>5</v>
      </c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3.25">
      <c r="A6" s="19">
        <f>COUNTA(Customers!$A$5:$A$504)</f>
        <v>1</v>
      </c>
      <c r="B6" s="10"/>
      <c r="C6" s="2"/>
      <c r="D6" s="11">
        <f>COUNTIFS(Enrollments!$I$5:$I$504,"Granted")</f>
        <v>1</v>
      </c>
      <c r="E6" s="11"/>
      <c r="F6" s="2"/>
      <c r="G6" s="20">
        <f>SUMIFS(Sales!$G$5:$G$504,Sales!$H$5:$H$504,"Paid")</f>
        <v>9999</v>
      </c>
      <c r="H6" s="12"/>
      <c r="I6" s="2"/>
      <c r="J6" s="13">
        <f>SUM(Affiliates!$J$5:$J$504)</f>
        <v>0</v>
      </c>
      <c r="K6" s="1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>
      <c r="A9" s="21" t="s">
        <v>6</v>
      </c>
      <c r="B9" s="21" t="s">
        <v>7</v>
      </c>
      <c r="C9" s="1"/>
      <c r="D9" s="21" t="s">
        <v>8</v>
      </c>
      <c r="E9" s="21" t="s">
        <v>9</v>
      </c>
      <c r="F9" s="1"/>
      <c r="G9" s="45" t="s">
        <v>10</v>
      </c>
      <c r="H9" s="45"/>
      <c r="I9" s="45"/>
      <c r="J9" s="45"/>
      <c r="K9" s="4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" t="s">
        <v>11</v>
      </c>
      <c r="B10" s="22">
        <f>COUNTIFS(Sales!$H$5:$H$504,"Paid")</f>
        <v>1</v>
      </c>
      <c r="C10" s="1"/>
      <c r="D10" s="2" t="s">
        <v>12</v>
      </c>
      <c r="E10" s="25">
        <v>0.7</v>
      </c>
      <c r="F10" s="1"/>
      <c r="G10" s="26" t="s">
        <v>13</v>
      </c>
      <c r="H10" s="46" t="s">
        <v>14</v>
      </c>
      <c r="I10" s="46"/>
      <c r="J10" s="46"/>
      <c r="K10" s="4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3" t="s">
        <v>4</v>
      </c>
      <c r="B11" s="24">
        <f>SUMIFS(Sales!$G$5:$G$504,Sales!$H$5:$H$504,"Paid")</f>
        <v>9999</v>
      </c>
      <c r="C11" s="1"/>
      <c r="D11" s="23" t="s">
        <v>15</v>
      </c>
      <c r="E11" s="24">
        <v>500</v>
      </c>
      <c r="F11" s="1"/>
      <c r="G11" s="27" t="s">
        <v>16</v>
      </c>
      <c r="H11" s="41" t="s">
        <v>17</v>
      </c>
      <c r="I11" s="41"/>
      <c r="J11" s="41"/>
      <c r="K11" s="4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23" t="s">
        <v>18</v>
      </c>
      <c r="B12" s="24">
        <f>SUMIFS(Sales!$K$5:$K$504,Sales!$L$5:$L$504,"Approved")</f>
        <v>6999.2999999999993</v>
      </c>
      <c r="C12" s="1"/>
      <c r="D12" s="23" t="s">
        <v>19</v>
      </c>
      <c r="E12" s="23" t="s">
        <v>20</v>
      </c>
      <c r="F12" s="1"/>
      <c r="G12" s="27" t="s">
        <v>21</v>
      </c>
      <c r="H12" s="41" t="s">
        <v>22</v>
      </c>
      <c r="I12" s="41"/>
      <c r="J12" s="41"/>
      <c r="K12" s="4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23" t="s">
        <v>23</v>
      </c>
      <c r="B13" s="24">
        <f>SUMIFS(Payouts!$G$5:$G$504,Payouts!$H$5:$H$504,"Paid")</f>
        <v>0</v>
      </c>
      <c r="C13" s="1"/>
      <c r="D13" s="23" t="s">
        <v>24</v>
      </c>
      <c r="E13" s="23" t="s">
        <v>25</v>
      </c>
      <c r="F13" s="1"/>
      <c r="G13" s="27" t="s">
        <v>26</v>
      </c>
      <c r="H13" s="41" t="s">
        <v>27</v>
      </c>
      <c r="I13" s="41"/>
      <c r="J13" s="41"/>
      <c r="K13" s="4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23" t="s">
        <v>28</v>
      </c>
      <c r="B14" s="24">
        <f>SUM(Affiliates!$J$5:$J$504)</f>
        <v>0</v>
      </c>
      <c r="C14" s="1"/>
      <c r="D14" s="23" t="s">
        <v>29</v>
      </c>
      <c r="E14" s="23" t="s">
        <v>30</v>
      </c>
      <c r="F14" s="1"/>
      <c r="G14" s="27" t="s">
        <v>31</v>
      </c>
      <c r="H14" s="41" t="s">
        <v>32</v>
      </c>
      <c r="I14" s="41"/>
      <c r="J14" s="41"/>
      <c r="K14" s="4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8">
    <mergeCell ref="H12:K12"/>
    <mergeCell ref="H13:K13"/>
    <mergeCell ref="H14:K14"/>
    <mergeCell ref="A1:K1"/>
    <mergeCell ref="A2:K2"/>
    <mergeCell ref="G9:K9"/>
    <mergeCell ref="H10:K10"/>
    <mergeCell ref="H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0"/>
  <sheetViews>
    <sheetView showGridLines="0" tabSelected="1" workbookViewId="0">
      <pane ySplit="4" topLeftCell="A5" activePane="bottomLeft" state="frozen"/>
      <selection pane="bottomLeft" activeCell="I9" sqref="I9"/>
    </sheetView>
  </sheetViews>
  <sheetFormatPr defaultRowHeight="14.25"/>
  <cols>
    <col min="1" max="1" width="15" customWidth="1"/>
    <col min="2" max="2" width="14" customWidth="1"/>
    <col min="3" max="3" width="24" customWidth="1"/>
    <col min="4" max="4" width="30" customWidth="1"/>
    <col min="5" max="5" width="16" customWidth="1"/>
    <col min="6" max="6" width="19" customWidth="1"/>
    <col min="7" max="7" width="30" customWidth="1"/>
    <col min="8" max="8" width="16" customWidth="1"/>
    <col min="9" max="9" width="18" customWidth="1"/>
    <col min="10" max="10" width="28" customWidth="1"/>
  </cols>
  <sheetData>
    <row r="1" spans="1:26" ht="24.95" customHeight="1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95" customHeight="1">
      <c r="A2" s="44" t="s">
        <v>33</v>
      </c>
      <c r="B2" s="43"/>
      <c r="C2" s="43"/>
      <c r="D2" s="43"/>
      <c r="E2" s="43"/>
      <c r="F2" s="43"/>
      <c r="G2" s="43"/>
      <c r="H2" s="43"/>
      <c r="I2" s="43"/>
      <c r="J2" s="4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38" t="s">
        <v>34</v>
      </c>
      <c r="B4" s="38" t="s">
        <v>35</v>
      </c>
      <c r="C4" s="38" t="s">
        <v>36</v>
      </c>
      <c r="D4" s="38" t="s">
        <v>37</v>
      </c>
      <c r="E4" s="38" t="s">
        <v>38</v>
      </c>
      <c r="F4" s="38" t="s">
        <v>39</v>
      </c>
      <c r="G4" s="38" t="s">
        <v>19</v>
      </c>
      <c r="H4" s="38" t="s">
        <v>40</v>
      </c>
      <c r="I4" s="38" t="s">
        <v>41</v>
      </c>
      <c r="J4" s="38" t="s">
        <v>42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>
      <c r="A5" s="4" t="s">
        <v>134</v>
      </c>
      <c r="B5" s="28">
        <v>46322</v>
      </c>
      <c r="C5" s="4" t="s">
        <v>135</v>
      </c>
      <c r="D5" s="40" t="s">
        <v>136</v>
      </c>
      <c r="E5" s="4">
        <v>9873149873</v>
      </c>
      <c r="F5" s="4" t="s">
        <v>137</v>
      </c>
      <c r="G5" s="3" t="str">
        <f t="shared" ref="G5:G68" si="0">IF(D5="","",D5)</f>
        <v>iamshivamjha4u@gmail.com</v>
      </c>
      <c r="H5" s="4" t="s">
        <v>112</v>
      </c>
      <c r="I5" s="4" t="s">
        <v>126</v>
      </c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/>
      <c r="B6" s="28"/>
      <c r="C6" s="4"/>
      <c r="D6" s="4"/>
      <c r="E6" s="4"/>
      <c r="F6" s="4"/>
      <c r="G6" s="3" t="str">
        <f t="shared" si="0"/>
        <v/>
      </c>
      <c r="H6" s="4"/>
      <c r="I6" s="4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/>
      <c r="B7" s="28"/>
      <c r="C7" s="4"/>
      <c r="D7" s="4"/>
      <c r="E7" s="4"/>
      <c r="F7" s="4"/>
      <c r="G7" s="3" t="str">
        <f t="shared" si="0"/>
        <v/>
      </c>
      <c r="H7" s="4"/>
      <c r="I7" s="4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/>
      <c r="B8" s="28"/>
      <c r="C8" s="4"/>
      <c r="D8" s="4"/>
      <c r="E8" s="4"/>
      <c r="F8" s="4"/>
      <c r="G8" s="3" t="str">
        <f t="shared" si="0"/>
        <v/>
      </c>
      <c r="H8" s="4"/>
      <c r="I8" s="4"/>
      <c r="J8" s="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28"/>
      <c r="C9" s="4"/>
      <c r="D9" s="4"/>
      <c r="E9" s="4"/>
      <c r="F9" s="4"/>
      <c r="G9" s="3" t="str">
        <f t="shared" si="0"/>
        <v/>
      </c>
      <c r="H9" s="4"/>
      <c r="I9" s="4"/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28"/>
      <c r="C10" s="4"/>
      <c r="D10" s="4"/>
      <c r="E10" s="4"/>
      <c r="F10" s="4"/>
      <c r="G10" s="3" t="str">
        <f t="shared" si="0"/>
        <v/>
      </c>
      <c r="H10" s="4"/>
      <c r="I10" s="4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28"/>
      <c r="C11" s="4"/>
      <c r="D11" s="4"/>
      <c r="E11" s="4"/>
      <c r="F11" s="4"/>
      <c r="G11" s="3" t="str">
        <f t="shared" si="0"/>
        <v/>
      </c>
      <c r="H11" s="4"/>
      <c r="I11" s="4"/>
      <c r="J11" s="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28"/>
      <c r="C12" s="4"/>
      <c r="D12" s="4"/>
      <c r="E12" s="4"/>
      <c r="F12" s="4"/>
      <c r="G12" s="3" t="str">
        <f t="shared" si="0"/>
        <v/>
      </c>
      <c r="H12" s="4"/>
      <c r="I12" s="4"/>
      <c r="J12" s="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28"/>
      <c r="C13" s="4"/>
      <c r="D13" s="4"/>
      <c r="E13" s="4"/>
      <c r="F13" s="4"/>
      <c r="G13" s="3" t="str">
        <f t="shared" si="0"/>
        <v/>
      </c>
      <c r="H13" s="4"/>
      <c r="I13" s="4"/>
      <c r="J13" s="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28"/>
      <c r="C14" s="4"/>
      <c r="D14" s="4"/>
      <c r="E14" s="4"/>
      <c r="F14" s="4"/>
      <c r="G14" s="3" t="str">
        <f t="shared" si="0"/>
        <v/>
      </c>
      <c r="H14" s="4"/>
      <c r="I14" s="4"/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28"/>
      <c r="C15" s="4"/>
      <c r="D15" s="4"/>
      <c r="E15" s="4"/>
      <c r="F15" s="4"/>
      <c r="G15" s="3" t="str">
        <f t="shared" si="0"/>
        <v/>
      </c>
      <c r="H15" s="4"/>
      <c r="I15" s="4"/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28"/>
      <c r="C16" s="4"/>
      <c r="D16" s="4"/>
      <c r="E16" s="4"/>
      <c r="F16" s="4"/>
      <c r="G16" s="3" t="str">
        <f t="shared" si="0"/>
        <v/>
      </c>
      <c r="H16" s="4"/>
      <c r="I16" s="4"/>
      <c r="J16" s="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28"/>
      <c r="C17" s="4"/>
      <c r="D17" s="4"/>
      <c r="E17" s="4"/>
      <c r="F17" s="4"/>
      <c r="G17" s="3" t="str">
        <f t="shared" si="0"/>
        <v/>
      </c>
      <c r="H17" s="4"/>
      <c r="I17" s="4"/>
      <c r="J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28"/>
      <c r="C18" s="4"/>
      <c r="D18" s="4"/>
      <c r="E18" s="4"/>
      <c r="F18" s="4"/>
      <c r="G18" s="3" t="str">
        <f t="shared" si="0"/>
        <v/>
      </c>
      <c r="H18" s="4"/>
      <c r="I18" s="4"/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28"/>
      <c r="C19" s="4"/>
      <c r="D19" s="4"/>
      <c r="E19" s="4"/>
      <c r="F19" s="4"/>
      <c r="G19" s="3" t="str">
        <f t="shared" si="0"/>
        <v/>
      </c>
      <c r="H19" s="4"/>
      <c r="I19" s="4"/>
      <c r="J19" s="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28"/>
      <c r="C20" s="4"/>
      <c r="D20" s="4"/>
      <c r="E20" s="4"/>
      <c r="F20" s="4"/>
      <c r="G20" s="3" t="str">
        <f t="shared" si="0"/>
        <v/>
      </c>
      <c r="H20" s="4"/>
      <c r="I20" s="4"/>
      <c r="J20" s="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28"/>
      <c r="C21" s="4"/>
      <c r="D21" s="4"/>
      <c r="E21" s="4"/>
      <c r="F21" s="4"/>
      <c r="G21" s="3" t="str">
        <f t="shared" si="0"/>
        <v/>
      </c>
      <c r="H21" s="4"/>
      <c r="I21" s="4"/>
      <c r="J21" s="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28"/>
      <c r="C22" s="4"/>
      <c r="D22" s="4"/>
      <c r="E22" s="4"/>
      <c r="F22" s="4"/>
      <c r="G22" s="3" t="str">
        <f t="shared" si="0"/>
        <v/>
      </c>
      <c r="H22" s="4"/>
      <c r="I22" s="4"/>
      <c r="J22" s="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28"/>
      <c r="C23" s="4"/>
      <c r="D23" s="4"/>
      <c r="E23" s="4"/>
      <c r="F23" s="4"/>
      <c r="G23" s="3" t="str">
        <f t="shared" si="0"/>
        <v/>
      </c>
      <c r="H23" s="4"/>
      <c r="I23" s="4"/>
      <c r="J23" s="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28"/>
      <c r="C24" s="4"/>
      <c r="D24" s="4"/>
      <c r="E24" s="4"/>
      <c r="F24" s="4"/>
      <c r="G24" s="3" t="str">
        <f t="shared" si="0"/>
        <v/>
      </c>
      <c r="H24" s="4"/>
      <c r="I24" s="4"/>
      <c r="J24" s="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28"/>
      <c r="C25" s="4"/>
      <c r="D25" s="4"/>
      <c r="E25" s="4"/>
      <c r="F25" s="4"/>
      <c r="G25" s="3" t="str">
        <f t="shared" si="0"/>
        <v/>
      </c>
      <c r="H25" s="4"/>
      <c r="I25" s="4"/>
      <c r="J25" s="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28"/>
      <c r="C26" s="4"/>
      <c r="D26" s="4"/>
      <c r="E26" s="4"/>
      <c r="F26" s="4"/>
      <c r="G26" s="3" t="str">
        <f t="shared" si="0"/>
        <v/>
      </c>
      <c r="H26" s="4"/>
      <c r="I26" s="4"/>
      <c r="J26" s="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/>
      <c r="B27" s="28"/>
      <c r="C27" s="4"/>
      <c r="D27" s="4"/>
      <c r="E27" s="4"/>
      <c r="F27" s="4"/>
      <c r="G27" s="3" t="str">
        <f t="shared" si="0"/>
        <v/>
      </c>
      <c r="H27" s="4"/>
      <c r="I27" s="4"/>
      <c r="J27" s="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/>
      <c r="B28" s="28"/>
      <c r="C28" s="4"/>
      <c r="D28" s="4"/>
      <c r="E28" s="4"/>
      <c r="F28" s="4"/>
      <c r="G28" s="3" t="str">
        <f t="shared" si="0"/>
        <v/>
      </c>
      <c r="H28" s="4"/>
      <c r="I28" s="4"/>
      <c r="J28" s="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"/>
      <c r="B29" s="28"/>
      <c r="C29" s="4"/>
      <c r="D29" s="4"/>
      <c r="E29" s="4"/>
      <c r="F29" s="4"/>
      <c r="G29" s="3" t="str">
        <f t="shared" si="0"/>
        <v/>
      </c>
      <c r="H29" s="4"/>
      <c r="I29" s="4"/>
      <c r="J29" s="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"/>
      <c r="B30" s="28"/>
      <c r="C30" s="4"/>
      <c r="D30" s="4"/>
      <c r="E30" s="4"/>
      <c r="F30" s="4"/>
      <c r="G30" s="3" t="str">
        <f t="shared" si="0"/>
        <v/>
      </c>
      <c r="H30" s="4"/>
      <c r="I30" s="4"/>
      <c r="J30" s="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4"/>
      <c r="B31" s="28"/>
      <c r="C31" s="4"/>
      <c r="D31" s="4"/>
      <c r="E31" s="4"/>
      <c r="F31" s="4"/>
      <c r="G31" s="3" t="str">
        <f t="shared" si="0"/>
        <v/>
      </c>
      <c r="H31" s="4"/>
      <c r="I31" s="4"/>
      <c r="J31" s="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4"/>
      <c r="B32" s="28"/>
      <c r="C32" s="4"/>
      <c r="D32" s="4"/>
      <c r="E32" s="4"/>
      <c r="F32" s="4"/>
      <c r="G32" s="3" t="str">
        <f t="shared" si="0"/>
        <v/>
      </c>
      <c r="H32" s="4"/>
      <c r="I32" s="4"/>
      <c r="J32" s="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"/>
      <c r="B33" s="28"/>
      <c r="C33" s="4"/>
      <c r="D33" s="4"/>
      <c r="E33" s="4"/>
      <c r="F33" s="4"/>
      <c r="G33" s="3" t="str">
        <f t="shared" si="0"/>
        <v/>
      </c>
      <c r="H33" s="4"/>
      <c r="I33" s="4"/>
      <c r="J33" s="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"/>
      <c r="B34" s="28"/>
      <c r="C34" s="4"/>
      <c r="D34" s="4"/>
      <c r="E34" s="4"/>
      <c r="F34" s="4"/>
      <c r="G34" s="3" t="str">
        <f t="shared" si="0"/>
        <v/>
      </c>
      <c r="H34" s="4"/>
      <c r="I34" s="4"/>
      <c r="J34" s="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4"/>
      <c r="B35" s="28"/>
      <c r="C35" s="4"/>
      <c r="D35" s="4"/>
      <c r="E35" s="4"/>
      <c r="F35" s="4"/>
      <c r="G35" s="3" t="str">
        <f t="shared" si="0"/>
        <v/>
      </c>
      <c r="H35" s="4"/>
      <c r="I35" s="4"/>
      <c r="J35" s="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"/>
      <c r="B36" s="28"/>
      <c r="C36" s="4"/>
      <c r="D36" s="4"/>
      <c r="E36" s="4"/>
      <c r="F36" s="4"/>
      <c r="G36" s="3" t="str">
        <f t="shared" si="0"/>
        <v/>
      </c>
      <c r="H36" s="4"/>
      <c r="I36" s="4"/>
      <c r="J36" s="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4"/>
      <c r="B37" s="28"/>
      <c r="C37" s="4"/>
      <c r="D37" s="4"/>
      <c r="E37" s="4"/>
      <c r="F37" s="4"/>
      <c r="G37" s="3" t="str">
        <f t="shared" si="0"/>
        <v/>
      </c>
      <c r="H37" s="4"/>
      <c r="I37" s="4"/>
      <c r="J37" s="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"/>
      <c r="B38" s="28"/>
      <c r="C38" s="4"/>
      <c r="D38" s="4"/>
      <c r="E38" s="4"/>
      <c r="F38" s="4"/>
      <c r="G38" s="3" t="str">
        <f t="shared" si="0"/>
        <v/>
      </c>
      <c r="H38" s="4"/>
      <c r="I38" s="4"/>
      <c r="J38" s="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4"/>
      <c r="B39" s="28"/>
      <c r="C39" s="4"/>
      <c r="D39" s="4"/>
      <c r="E39" s="4"/>
      <c r="F39" s="4"/>
      <c r="G39" s="3" t="str">
        <f t="shared" si="0"/>
        <v/>
      </c>
      <c r="H39" s="4"/>
      <c r="I39" s="4"/>
      <c r="J39" s="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4"/>
      <c r="B40" s="28"/>
      <c r="C40" s="4"/>
      <c r="D40" s="4"/>
      <c r="E40" s="4"/>
      <c r="F40" s="4"/>
      <c r="G40" s="3" t="str">
        <f t="shared" si="0"/>
        <v/>
      </c>
      <c r="H40" s="4"/>
      <c r="I40" s="4"/>
      <c r="J40" s="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"/>
      <c r="B41" s="28"/>
      <c r="C41" s="4"/>
      <c r="D41" s="4"/>
      <c r="E41" s="4"/>
      <c r="F41" s="4"/>
      <c r="G41" s="3" t="str">
        <f t="shared" si="0"/>
        <v/>
      </c>
      <c r="H41" s="4"/>
      <c r="I41" s="4"/>
      <c r="J41" s="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4"/>
      <c r="B42" s="28"/>
      <c r="C42" s="4"/>
      <c r="D42" s="4"/>
      <c r="E42" s="4"/>
      <c r="F42" s="4"/>
      <c r="G42" s="3" t="str">
        <f t="shared" si="0"/>
        <v/>
      </c>
      <c r="H42" s="4"/>
      <c r="I42" s="4"/>
      <c r="J42" s="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"/>
      <c r="B43" s="28"/>
      <c r="C43" s="4"/>
      <c r="D43" s="4"/>
      <c r="E43" s="4"/>
      <c r="F43" s="4"/>
      <c r="G43" s="3" t="str">
        <f t="shared" si="0"/>
        <v/>
      </c>
      <c r="H43" s="4"/>
      <c r="I43" s="4"/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4"/>
      <c r="B44" s="28"/>
      <c r="C44" s="4"/>
      <c r="D44" s="4"/>
      <c r="E44" s="4"/>
      <c r="F44" s="4"/>
      <c r="G44" s="3" t="str">
        <f t="shared" si="0"/>
        <v/>
      </c>
      <c r="H44" s="4"/>
      <c r="I44" s="4"/>
      <c r="J44" s="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"/>
      <c r="B45" s="28"/>
      <c r="C45" s="4"/>
      <c r="D45" s="4"/>
      <c r="E45" s="4"/>
      <c r="F45" s="4"/>
      <c r="G45" s="3" t="str">
        <f t="shared" si="0"/>
        <v/>
      </c>
      <c r="H45" s="4"/>
      <c r="I45" s="4"/>
      <c r="J45" s="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4"/>
      <c r="B46" s="28"/>
      <c r="C46" s="4"/>
      <c r="D46" s="4"/>
      <c r="E46" s="4"/>
      <c r="F46" s="4"/>
      <c r="G46" s="3" t="str">
        <f t="shared" si="0"/>
        <v/>
      </c>
      <c r="H46" s="4"/>
      <c r="I46" s="4"/>
      <c r="J46" s="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4"/>
      <c r="B47" s="28"/>
      <c r="C47" s="4"/>
      <c r="D47" s="4"/>
      <c r="E47" s="4"/>
      <c r="F47" s="4"/>
      <c r="G47" s="3" t="str">
        <f t="shared" si="0"/>
        <v/>
      </c>
      <c r="H47" s="4"/>
      <c r="I47" s="4"/>
      <c r="J47" s="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4"/>
      <c r="B48" s="28"/>
      <c r="C48" s="4"/>
      <c r="D48" s="4"/>
      <c r="E48" s="4"/>
      <c r="F48" s="4"/>
      <c r="G48" s="3" t="str">
        <f t="shared" si="0"/>
        <v/>
      </c>
      <c r="H48" s="4"/>
      <c r="I48" s="4"/>
      <c r="J48" s="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4"/>
      <c r="B49" s="28"/>
      <c r="C49" s="4"/>
      <c r="D49" s="4"/>
      <c r="E49" s="4"/>
      <c r="F49" s="4"/>
      <c r="G49" s="3" t="str">
        <f t="shared" si="0"/>
        <v/>
      </c>
      <c r="H49" s="4"/>
      <c r="I49" s="4"/>
      <c r="J49" s="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4"/>
      <c r="B50" s="28"/>
      <c r="C50" s="4"/>
      <c r="D50" s="4"/>
      <c r="E50" s="4"/>
      <c r="F50" s="4"/>
      <c r="G50" s="3" t="str">
        <f t="shared" si="0"/>
        <v/>
      </c>
      <c r="H50" s="4"/>
      <c r="I50" s="4"/>
      <c r="J50" s="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4"/>
      <c r="B51" s="28"/>
      <c r="C51" s="4"/>
      <c r="D51" s="4"/>
      <c r="E51" s="4"/>
      <c r="F51" s="4"/>
      <c r="G51" s="3" t="str">
        <f t="shared" si="0"/>
        <v/>
      </c>
      <c r="H51" s="4"/>
      <c r="I51" s="4"/>
      <c r="J51" s="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4"/>
      <c r="B52" s="28"/>
      <c r="C52" s="4"/>
      <c r="D52" s="4"/>
      <c r="E52" s="4"/>
      <c r="F52" s="4"/>
      <c r="G52" s="3" t="str">
        <f t="shared" si="0"/>
        <v/>
      </c>
      <c r="H52" s="4"/>
      <c r="I52" s="4"/>
      <c r="J52" s="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4"/>
      <c r="B53" s="28"/>
      <c r="C53" s="4"/>
      <c r="D53" s="4"/>
      <c r="E53" s="4"/>
      <c r="F53" s="4"/>
      <c r="G53" s="3" t="str">
        <f t="shared" si="0"/>
        <v/>
      </c>
      <c r="H53" s="4"/>
      <c r="I53" s="4"/>
      <c r="J53" s="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4"/>
      <c r="B54" s="28"/>
      <c r="C54" s="4"/>
      <c r="D54" s="4"/>
      <c r="E54" s="4"/>
      <c r="F54" s="4"/>
      <c r="G54" s="3" t="str">
        <f t="shared" si="0"/>
        <v/>
      </c>
      <c r="H54" s="4"/>
      <c r="I54" s="4"/>
      <c r="J54" s="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4"/>
      <c r="B55" s="28"/>
      <c r="C55" s="4"/>
      <c r="D55" s="4"/>
      <c r="E55" s="4"/>
      <c r="F55" s="4"/>
      <c r="G55" s="3" t="str">
        <f t="shared" si="0"/>
        <v/>
      </c>
      <c r="H55" s="4"/>
      <c r="I55" s="4"/>
      <c r="J55" s="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4"/>
      <c r="B56" s="28"/>
      <c r="C56" s="4"/>
      <c r="D56" s="4"/>
      <c r="E56" s="4"/>
      <c r="F56" s="4"/>
      <c r="G56" s="3" t="str">
        <f t="shared" si="0"/>
        <v/>
      </c>
      <c r="H56" s="4"/>
      <c r="I56" s="4"/>
      <c r="J56" s="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4"/>
      <c r="B57" s="28"/>
      <c r="C57" s="4"/>
      <c r="D57" s="4"/>
      <c r="E57" s="4"/>
      <c r="F57" s="4"/>
      <c r="G57" s="3" t="str">
        <f t="shared" si="0"/>
        <v/>
      </c>
      <c r="H57" s="4"/>
      <c r="I57" s="4"/>
      <c r="J57" s="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4"/>
      <c r="B58" s="28"/>
      <c r="C58" s="4"/>
      <c r="D58" s="4"/>
      <c r="E58" s="4"/>
      <c r="F58" s="4"/>
      <c r="G58" s="3" t="str">
        <f t="shared" si="0"/>
        <v/>
      </c>
      <c r="H58" s="4"/>
      <c r="I58" s="4"/>
      <c r="J58" s="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4"/>
      <c r="B59" s="28"/>
      <c r="C59" s="4"/>
      <c r="D59" s="4"/>
      <c r="E59" s="4"/>
      <c r="F59" s="4"/>
      <c r="G59" s="3" t="str">
        <f t="shared" si="0"/>
        <v/>
      </c>
      <c r="H59" s="4"/>
      <c r="I59" s="4"/>
      <c r="J59" s="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4"/>
      <c r="B60" s="28"/>
      <c r="C60" s="4"/>
      <c r="D60" s="4"/>
      <c r="E60" s="4"/>
      <c r="F60" s="4"/>
      <c r="G60" s="3" t="str">
        <f t="shared" si="0"/>
        <v/>
      </c>
      <c r="H60" s="4"/>
      <c r="I60" s="4"/>
      <c r="J60" s="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4"/>
      <c r="B61" s="28"/>
      <c r="C61" s="4"/>
      <c r="D61" s="4"/>
      <c r="E61" s="4"/>
      <c r="F61" s="4"/>
      <c r="G61" s="3" t="str">
        <f t="shared" si="0"/>
        <v/>
      </c>
      <c r="H61" s="4"/>
      <c r="I61" s="4"/>
      <c r="J61" s="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4"/>
      <c r="B62" s="28"/>
      <c r="C62" s="4"/>
      <c r="D62" s="4"/>
      <c r="E62" s="4"/>
      <c r="F62" s="4"/>
      <c r="G62" s="3" t="str">
        <f t="shared" si="0"/>
        <v/>
      </c>
      <c r="H62" s="4"/>
      <c r="I62" s="4"/>
      <c r="J62" s="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4"/>
      <c r="B63" s="28"/>
      <c r="C63" s="4"/>
      <c r="D63" s="4"/>
      <c r="E63" s="4"/>
      <c r="F63" s="4"/>
      <c r="G63" s="3" t="str">
        <f t="shared" si="0"/>
        <v/>
      </c>
      <c r="H63" s="4"/>
      <c r="I63" s="4"/>
      <c r="J63" s="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4"/>
      <c r="B64" s="28"/>
      <c r="C64" s="4"/>
      <c r="D64" s="4"/>
      <c r="E64" s="4"/>
      <c r="F64" s="4"/>
      <c r="G64" s="3" t="str">
        <f t="shared" si="0"/>
        <v/>
      </c>
      <c r="H64" s="4"/>
      <c r="I64" s="4"/>
      <c r="J64" s="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4"/>
      <c r="B65" s="28"/>
      <c r="C65" s="4"/>
      <c r="D65" s="4"/>
      <c r="E65" s="4"/>
      <c r="F65" s="4"/>
      <c r="G65" s="3" t="str">
        <f t="shared" si="0"/>
        <v/>
      </c>
      <c r="H65" s="4"/>
      <c r="I65" s="4"/>
      <c r="J65" s="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4"/>
      <c r="B66" s="28"/>
      <c r="C66" s="4"/>
      <c r="D66" s="4"/>
      <c r="E66" s="4"/>
      <c r="F66" s="4"/>
      <c r="G66" s="3" t="str">
        <f t="shared" si="0"/>
        <v/>
      </c>
      <c r="H66" s="4"/>
      <c r="I66" s="4"/>
      <c r="J66" s="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4"/>
      <c r="B67" s="28"/>
      <c r="C67" s="4"/>
      <c r="D67" s="4"/>
      <c r="E67" s="4"/>
      <c r="F67" s="4"/>
      <c r="G67" s="3" t="str">
        <f t="shared" si="0"/>
        <v/>
      </c>
      <c r="H67" s="4"/>
      <c r="I67" s="4"/>
      <c r="J67" s="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4"/>
      <c r="B68" s="28"/>
      <c r="C68" s="4"/>
      <c r="D68" s="4"/>
      <c r="E68" s="4"/>
      <c r="F68" s="4"/>
      <c r="G68" s="3" t="str">
        <f t="shared" si="0"/>
        <v/>
      </c>
      <c r="H68" s="4"/>
      <c r="I68" s="4"/>
      <c r="J68" s="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4"/>
      <c r="B69" s="28"/>
      <c r="C69" s="4"/>
      <c r="D69" s="4"/>
      <c r="E69" s="4"/>
      <c r="F69" s="4"/>
      <c r="G69" s="3" t="str">
        <f t="shared" ref="G69:G132" si="1">IF(D69="","",D69)</f>
        <v/>
      </c>
      <c r="H69" s="4"/>
      <c r="I69" s="4"/>
      <c r="J69" s="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4"/>
      <c r="B70" s="28"/>
      <c r="C70" s="4"/>
      <c r="D70" s="4"/>
      <c r="E70" s="4"/>
      <c r="F70" s="4"/>
      <c r="G70" s="3" t="str">
        <f t="shared" si="1"/>
        <v/>
      </c>
      <c r="H70" s="4"/>
      <c r="I70" s="4"/>
      <c r="J70" s="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4"/>
      <c r="B71" s="28"/>
      <c r="C71" s="4"/>
      <c r="D71" s="4"/>
      <c r="E71" s="4"/>
      <c r="F71" s="4"/>
      <c r="G71" s="3" t="str">
        <f t="shared" si="1"/>
        <v/>
      </c>
      <c r="H71" s="4"/>
      <c r="I71" s="4"/>
      <c r="J71" s="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4"/>
      <c r="B72" s="28"/>
      <c r="C72" s="4"/>
      <c r="D72" s="4"/>
      <c r="E72" s="4"/>
      <c r="F72" s="4"/>
      <c r="G72" s="3" t="str">
        <f t="shared" si="1"/>
        <v/>
      </c>
      <c r="H72" s="4"/>
      <c r="I72" s="4"/>
      <c r="J72" s="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4"/>
      <c r="B73" s="28"/>
      <c r="C73" s="4"/>
      <c r="D73" s="4"/>
      <c r="E73" s="4"/>
      <c r="F73" s="4"/>
      <c r="G73" s="3" t="str">
        <f t="shared" si="1"/>
        <v/>
      </c>
      <c r="H73" s="4"/>
      <c r="I73" s="4"/>
      <c r="J73" s="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4"/>
      <c r="B74" s="28"/>
      <c r="C74" s="4"/>
      <c r="D74" s="4"/>
      <c r="E74" s="4"/>
      <c r="F74" s="4"/>
      <c r="G74" s="3" t="str">
        <f t="shared" si="1"/>
        <v/>
      </c>
      <c r="H74" s="4"/>
      <c r="I74" s="4"/>
      <c r="J74" s="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4"/>
      <c r="B75" s="28"/>
      <c r="C75" s="4"/>
      <c r="D75" s="4"/>
      <c r="E75" s="4"/>
      <c r="F75" s="4"/>
      <c r="G75" s="3" t="str">
        <f t="shared" si="1"/>
        <v/>
      </c>
      <c r="H75" s="4"/>
      <c r="I75" s="4"/>
      <c r="J75" s="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4"/>
      <c r="B76" s="28"/>
      <c r="C76" s="4"/>
      <c r="D76" s="4"/>
      <c r="E76" s="4"/>
      <c r="F76" s="4"/>
      <c r="G76" s="3" t="str">
        <f t="shared" si="1"/>
        <v/>
      </c>
      <c r="H76" s="4"/>
      <c r="I76" s="4"/>
      <c r="J76" s="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4"/>
      <c r="B77" s="28"/>
      <c r="C77" s="4"/>
      <c r="D77" s="4"/>
      <c r="E77" s="4"/>
      <c r="F77" s="4"/>
      <c r="G77" s="3" t="str">
        <f t="shared" si="1"/>
        <v/>
      </c>
      <c r="H77" s="4"/>
      <c r="I77" s="4"/>
      <c r="J77" s="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4"/>
      <c r="B78" s="28"/>
      <c r="C78" s="4"/>
      <c r="D78" s="4"/>
      <c r="E78" s="4"/>
      <c r="F78" s="4"/>
      <c r="G78" s="3" t="str">
        <f t="shared" si="1"/>
        <v/>
      </c>
      <c r="H78" s="4"/>
      <c r="I78" s="4"/>
      <c r="J78" s="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4"/>
      <c r="B79" s="28"/>
      <c r="C79" s="4"/>
      <c r="D79" s="4"/>
      <c r="E79" s="4"/>
      <c r="F79" s="4"/>
      <c r="G79" s="3" t="str">
        <f t="shared" si="1"/>
        <v/>
      </c>
      <c r="H79" s="4"/>
      <c r="I79" s="4"/>
      <c r="J79" s="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4"/>
      <c r="B80" s="28"/>
      <c r="C80" s="4"/>
      <c r="D80" s="4"/>
      <c r="E80" s="4"/>
      <c r="F80" s="4"/>
      <c r="G80" s="3" t="str">
        <f t="shared" si="1"/>
        <v/>
      </c>
      <c r="H80" s="4"/>
      <c r="I80" s="4"/>
      <c r="J80" s="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4"/>
      <c r="B81" s="28"/>
      <c r="C81" s="4"/>
      <c r="D81" s="4"/>
      <c r="E81" s="4"/>
      <c r="F81" s="4"/>
      <c r="G81" s="3" t="str">
        <f t="shared" si="1"/>
        <v/>
      </c>
      <c r="H81" s="4"/>
      <c r="I81" s="4"/>
      <c r="J81" s="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4"/>
      <c r="B82" s="28"/>
      <c r="C82" s="4"/>
      <c r="D82" s="4"/>
      <c r="E82" s="4"/>
      <c r="F82" s="4"/>
      <c r="G82" s="3" t="str">
        <f t="shared" si="1"/>
        <v/>
      </c>
      <c r="H82" s="4"/>
      <c r="I82" s="4"/>
      <c r="J82" s="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4"/>
      <c r="B83" s="28"/>
      <c r="C83" s="4"/>
      <c r="D83" s="4"/>
      <c r="E83" s="4"/>
      <c r="F83" s="4"/>
      <c r="G83" s="3" t="str">
        <f t="shared" si="1"/>
        <v/>
      </c>
      <c r="H83" s="4"/>
      <c r="I83" s="4"/>
      <c r="J83" s="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4"/>
      <c r="B84" s="28"/>
      <c r="C84" s="4"/>
      <c r="D84" s="4"/>
      <c r="E84" s="4"/>
      <c r="F84" s="4"/>
      <c r="G84" s="3" t="str">
        <f t="shared" si="1"/>
        <v/>
      </c>
      <c r="H84" s="4"/>
      <c r="I84" s="4"/>
      <c r="J84" s="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4"/>
      <c r="B85" s="28"/>
      <c r="C85" s="4"/>
      <c r="D85" s="4"/>
      <c r="E85" s="4"/>
      <c r="F85" s="4"/>
      <c r="G85" s="3" t="str">
        <f t="shared" si="1"/>
        <v/>
      </c>
      <c r="H85" s="4"/>
      <c r="I85" s="4"/>
      <c r="J85" s="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4"/>
      <c r="B86" s="28"/>
      <c r="C86" s="4"/>
      <c r="D86" s="4"/>
      <c r="E86" s="4"/>
      <c r="F86" s="4"/>
      <c r="G86" s="3" t="str">
        <f t="shared" si="1"/>
        <v/>
      </c>
      <c r="H86" s="4"/>
      <c r="I86" s="4"/>
      <c r="J86" s="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4"/>
      <c r="B87" s="28"/>
      <c r="C87" s="4"/>
      <c r="D87" s="4"/>
      <c r="E87" s="4"/>
      <c r="F87" s="4"/>
      <c r="G87" s="3" t="str">
        <f t="shared" si="1"/>
        <v/>
      </c>
      <c r="H87" s="4"/>
      <c r="I87" s="4"/>
      <c r="J87" s="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4"/>
      <c r="B88" s="28"/>
      <c r="C88" s="4"/>
      <c r="D88" s="4"/>
      <c r="E88" s="4"/>
      <c r="F88" s="4"/>
      <c r="G88" s="3" t="str">
        <f t="shared" si="1"/>
        <v/>
      </c>
      <c r="H88" s="4"/>
      <c r="I88" s="4"/>
      <c r="J88" s="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4"/>
      <c r="B89" s="28"/>
      <c r="C89" s="4"/>
      <c r="D89" s="4"/>
      <c r="E89" s="4"/>
      <c r="F89" s="4"/>
      <c r="G89" s="3" t="str">
        <f t="shared" si="1"/>
        <v/>
      </c>
      <c r="H89" s="4"/>
      <c r="I89" s="4"/>
      <c r="J89" s="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4"/>
      <c r="B90" s="28"/>
      <c r="C90" s="4"/>
      <c r="D90" s="4"/>
      <c r="E90" s="4"/>
      <c r="F90" s="4"/>
      <c r="G90" s="3" t="str">
        <f t="shared" si="1"/>
        <v/>
      </c>
      <c r="H90" s="4"/>
      <c r="I90" s="4"/>
      <c r="J90" s="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4"/>
      <c r="B91" s="28"/>
      <c r="C91" s="4"/>
      <c r="D91" s="4"/>
      <c r="E91" s="4"/>
      <c r="F91" s="4"/>
      <c r="G91" s="3" t="str">
        <f t="shared" si="1"/>
        <v/>
      </c>
      <c r="H91" s="4"/>
      <c r="I91" s="4"/>
      <c r="J91" s="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4"/>
      <c r="B92" s="28"/>
      <c r="C92" s="4"/>
      <c r="D92" s="4"/>
      <c r="E92" s="4"/>
      <c r="F92" s="4"/>
      <c r="G92" s="3" t="str">
        <f t="shared" si="1"/>
        <v/>
      </c>
      <c r="H92" s="4"/>
      <c r="I92" s="4"/>
      <c r="J92" s="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4"/>
      <c r="B93" s="28"/>
      <c r="C93" s="4"/>
      <c r="D93" s="4"/>
      <c r="E93" s="4"/>
      <c r="F93" s="4"/>
      <c r="G93" s="3" t="str">
        <f t="shared" si="1"/>
        <v/>
      </c>
      <c r="H93" s="4"/>
      <c r="I93" s="4"/>
      <c r="J93" s="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4"/>
      <c r="B94" s="28"/>
      <c r="C94" s="4"/>
      <c r="D94" s="4"/>
      <c r="E94" s="4"/>
      <c r="F94" s="4"/>
      <c r="G94" s="3" t="str">
        <f t="shared" si="1"/>
        <v/>
      </c>
      <c r="H94" s="4"/>
      <c r="I94" s="4"/>
      <c r="J94" s="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4"/>
      <c r="B95" s="28"/>
      <c r="C95" s="4"/>
      <c r="D95" s="4"/>
      <c r="E95" s="4"/>
      <c r="F95" s="4"/>
      <c r="G95" s="3" t="str">
        <f t="shared" si="1"/>
        <v/>
      </c>
      <c r="H95" s="4"/>
      <c r="I95" s="4"/>
      <c r="J95" s="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4"/>
      <c r="B96" s="28"/>
      <c r="C96" s="4"/>
      <c r="D96" s="4"/>
      <c r="E96" s="4"/>
      <c r="F96" s="4"/>
      <c r="G96" s="3" t="str">
        <f t="shared" si="1"/>
        <v/>
      </c>
      <c r="H96" s="4"/>
      <c r="I96" s="4"/>
      <c r="J96" s="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4"/>
      <c r="B97" s="28"/>
      <c r="C97" s="4"/>
      <c r="D97" s="4"/>
      <c r="E97" s="4"/>
      <c r="F97" s="4"/>
      <c r="G97" s="3" t="str">
        <f t="shared" si="1"/>
        <v/>
      </c>
      <c r="H97" s="4"/>
      <c r="I97" s="4"/>
      <c r="J97" s="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4"/>
      <c r="B98" s="28"/>
      <c r="C98" s="4"/>
      <c r="D98" s="4"/>
      <c r="E98" s="4"/>
      <c r="F98" s="4"/>
      <c r="G98" s="3" t="str">
        <f t="shared" si="1"/>
        <v/>
      </c>
      <c r="H98" s="4"/>
      <c r="I98" s="4"/>
      <c r="J98" s="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4"/>
      <c r="B99" s="28"/>
      <c r="C99" s="4"/>
      <c r="D99" s="4"/>
      <c r="E99" s="4"/>
      <c r="F99" s="4"/>
      <c r="G99" s="3" t="str">
        <f t="shared" si="1"/>
        <v/>
      </c>
      <c r="H99" s="4"/>
      <c r="I99" s="4"/>
      <c r="J99" s="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4"/>
      <c r="B100" s="28"/>
      <c r="C100" s="4"/>
      <c r="D100" s="4"/>
      <c r="E100" s="4"/>
      <c r="F100" s="4"/>
      <c r="G100" s="3" t="str">
        <f t="shared" si="1"/>
        <v/>
      </c>
      <c r="H100" s="4"/>
      <c r="I100" s="4"/>
      <c r="J100" s="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4"/>
      <c r="B101" s="28"/>
      <c r="C101" s="4"/>
      <c r="D101" s="4"/>
      <c r="E101" s="4"/>
      <c r="F101" s="4"/>
      <c r="G101" s="3" t="str">
        <f t="shared" si="1"/>
        <v/>
      </c>
      <c r="H101" s="4"/>
      <c r="I101" s="4"/>
      <c r="J101" s="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4"/>
      <c r="B102" s="28"/>
      <c r="C102" s="4"/>
      <c r="D102" s="4"/>
      <c r="E102" s="4"/>
      <c r="F102" s="4"/>
      <c r="G102" s="3" t="str">
        <f t="shared" si="1"/>
        <v/>
      </c>
      <c r="H102" s="4"/>
      <c r="I102" s="4"/>
      <c r="J102" s="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4"/>
      <c r="B103" s="28"/>
      <c r="C103" s="4"/>
      <c r="D103" s="4"/>
      <c r="E103" s="4"/>
      <c r="F103" s="4"/>
      <c r="G103" s="3" t="str">
        <f t="shared" si="1"/>
        <v/>
      </c>
      <c r="H103" s="4"/>
      <c r="I103" s="4"/>
      <c r="J103" s="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4"/>
      <c r="B104" s="28"/>
      <c r="C104" s="4"/>
      <c r="D104" s="4"/>
      <c r="E104" s="4"/>
      <c r="F104" s="4"/>
      <c r="G104" s="3" t="str">
        <f t="shared" si="1"/>
        <v/>
      </c>
      <c r="H104" s="4"/>
      <c r="I104" s="4"/>
      <c r="J104" s="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4"/>
      <c r="B105" s="28"/>
      <c r="C105" s="4"/>
      <c r="D105" s="4"/>
      <c r="E105" s="4"/>
      <c r="F105" s="4"/>
      <c r="G105" s="3" t="str">
        <f t="shared" si="1"/>
        <v/>
      </c>
      <c r="H105" s="4"/>
      <c r="I105" s="4"/>
      <c r="J105" s="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4"/>
      <c r="B106" s="28"/>
      <c r="C106" s="4"/>
      <c r="D106" s="4"/>
      <c r="E106" s="4"/>
      <c r="F106" s="4"/>
      <c r="G106" s="3" t="str">
        <f t="shared" si="1"/>
        <v/>
      </c>
      <c r="H106" s="4"/>
      <c r="I106" s="4"/>
      <c r="J106" s="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4"/>
      <c r="B107" s="28"/>
      <c r="C107" s="4"/>
      <c r="D107" s="4"/>
      <c r="E107" s="4"/>
      <c r="F107" s="4"/>
      <c r="G107" s="3" t="str">
        <f t="shared" si="1"/>
        <v/>
      </c>
      <c r="H107" s="4"/>
      <c r="I107" s="4"/>
      <c r="J107" s="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4"/>
      <c r="B108" s="28"/>
      <c r="C108" s="4"/>
      <c r="D108" s="4"/>
      <c r="E108" s="4"/>
      <c r="F108" s="4"/>
      <c r="G108" s="3" t="str">
        <f t="shared" si="1"/>
        <v/>
      </c>
      <c r="H108" s="4"/>
      <c r="I108" s="4"/>
      <c r="J108" s="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4"/>
      <c r="B109" s="28"/>
      <c r="C109" s="4"/>
      <c r="D109" s="4"/>
      <c r="E109" s="4"/>
      <c r="F109" s="4"/>
      <c r="G109" s="3" t="str">
        <f t="shared" si="1"/>
        <v/>
      </c>
      <c r="H109" s="4"/>
      <c r="I109" s="4"/>
      <c r="J109" s="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4"/>
      <c r="B110" s="28"/>
      <c r="C110" s="4"/>
      <c r="D110" s="4"/>
      <c r="E110" s="4"/>
      <c r="F110" s="4"/>
      <c r="G110" s="3" t="str">
        <f t="shared" si="1"/>
        <v/>
      </c>
      <c r="H110" s="4"/>
      <c r="I110" s="4"/>
      <c r="J110" s="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4"/>
      <c r="B111" s="28"/>
      <c r="C111" s="4"/>
      <c r="D111" s="4"/>
      <c r="E111" s="4"/>
      <c r="F111" s="4"/>
      <c r="G111" s="3" t="str">
        <f t="shared" si="1"/>
        <v/>
      </c>
      <c r="H111" s="4"/>
      <c r="I111" s="4"/>
      <c r="J111" s="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4"/>
      <c r="B112" s="28"/>
      <c r="C112" s="4"/>
      <c r="D112" s="4"/>
      <c r="E112" s="4"/>
      <c r="F112" s="4"/>
      <c r="G112" s="3" t="str">
        <f t="shared" si="1"/>
        <v/>
      </c>
      <c r="H112" s="4"/>
      <c r="I112" s="4"/>
      <c r="J112" s="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4"/>
      <c r="B113" s="28"/>
      <c r="C113" s="4"/>
      <c r="D113" s="4"/>
      <c r="E113" s="4"/>
      <c r="F113" s="4"/>
      <c r="G113" s="3" t="str">
        <f t="shared" si="1"/>
        <v/>
      </c>
      <c r="H113" s="4"/>
      <c r="I113" s="4"/>
      <c r="J113" s="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4"/>
      <c r="B114" s="28"/>
      <c r="C114" s="4"/>
      <c r="D114" s="4"/>
      <c r="E114" s="4"/>
      <c r="F114" s="4"/>
      <c r="G114" s="3" t="str">
        <f t="shared" si="1"/>
        <v/>
      </c>
      <c r="H114" s="4"/>
      <c r="I114" s="4"/>
      <c r="J114" s="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4"/>
      <c r="B115" s="28"/>
      <c r="C115" s="4"/>
      <c r="D115" s="4"/>
      <c r="E115" s="4"/>
      <c r="F115" s="4"/>
      <c r="G115" s="3" t="str">
        <f t="shared" si="1"/>
        <v/>
      </c>
      <c r="H115" s="4"/>
      <c r="I115" s="4"/>
      <c r="J115" s="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4"/>
      <c r="B116" s="28"/>
      <c r="C116" s="4"/>
      <c r="D116" s="4"/>
      <c r="E116" s="4"/>
      <c r="F116" s="4"/>
      <c r="G116" s="3" t="str">
        <f t="shared" si="1"/>
        <v/>
      </c>
      <c r="H116" s="4"/>
      <c r="I116" s="4"/>
      <c r="J116" s="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4"/>
      <c r="B117" s="28"/>
      <c r="C117" s="4"/>
      <c r="D117" s="4"/>
      <c r="E117" s="4"/>
      <c r="F117" s="4"/>
      <c r="G117" s="3" t="str">
        <f t="shared" si="1"/>
        <v/>
      </c>
      <c r="H117" s="4"/>
      <c r="I117" s="4"/>
      <c r="J117" s="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4"/>
      <c r="B118" s="28"/>
      <c r="C118" s="4"/>
      <c r="D118" s="4"/>
      <c r="E118" s="4"/>
      <c r="F118" s="4"/>
      <c r="G118" s="3" t="str">
        <f t="shared" si="1"/>
        <v/>
      </c>
      <c r="H118" s="4"/>
      <c r="I118" s="4"/>
      <c r="J118" s="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4"/>
      <c r="B119" s="28"/>
      <c r="C119" s="4"/>
      <c r="D119" s="4"/>
      <c r="E119" s="4"/>
      <c r="F119" s="4"/>
      <c r="G119" s="3" t="str">
        <f t="shared" si="1"/>
        <v/>
      </c>
      <c r="H119" s="4"/>
      <c r="I119" s="4"/>
      <c r="J119" s="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4"/>
      <c r="B120" s="28"/>
      <c r="C120" s="4"/>
      <c r="D120" s="4"/>
      <c r="E120" s="4"/>
      <c r="F120" s="4"/>
      <c r="G120" s="3" t="str">
        <f t="shared" si="1"/>
        <v/>
      </c>
      <c r="H120" s="4"/>
      <c r="I120" s="4"/>
      <c r="J120" s="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4"/>
      <c r="B121" s="28"/>
      <c r="C121" s="4"/>
      <c r="D121" s="4"/>
      <c r="E121" s="4"/>
      <c r="F121" s="4"/>
      <c r="G121" s="3" t="str">
        <f t="shared" si="1"/>
        <v/>
      </c>
      <c r="H121" s="4"/>
      <c r="I121" s="4"/>
      <c r="J121" s="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4"/>
      <c r="B122" s="28"/>
      <c r="C122" s="4"/>
      <c r="D122" s="4"/>
      <c r="E122" s="4"/>
      <c r="F122" s="4"/>
      <c r="G122" s="3" t="str">
        <f t="shared" si="1"/>
        <v/>
      </c>
      <c r="H122" s="4"/>
      <c r="I122" s="4"/>
      <c r="J122" s="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4"/>
      <c r="B123" s="28"/>
      <c r="C123" s="4"/>
      <c r="D123" s="4"/>
      <c r="E123" s="4"/>
      <c r="F123" s="4"/>
      <c r="G123" s="3" t="str">
        <f t="shared" si="1"/>
        <v/>
      </c>
      <c r="H123" s="4"/>
      <c r="I123" s="4"/>
      <c r="J123" s="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4"/>
      <c r="B124" s="28"/>
      <c r="C124" s="4"/>
      <c r="D124" s="4"/>
      <c r="E124" s="4"/>
      <c r="F124" s="4"/>
      <c r="G124" s="3" t="str">
        <f t="shared" si="1"/>
        <v/>
      </c>
      <c r="H124" s="4"/>
      <c r="I124" s="4"/>
      <c r="J124" s="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4"/>
      <c r="B125" s="28"/>
      <c r="C125" s="4"/>
      <c r="D125" s="4"/>
      <c r="E125" s="4"/>
      <c r="F125" s="4"/>
      <c r="G125" s="3" t="str">
        <f t="shared" si="1"/>
        <v/>
      </c>
      <c r="H125" s="4"/>
      <c r="I125" s="4"/>
      <c r="J125" s="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4"/>
      <c r="B126" s="28"/>
      <c r="C126" s="4"/>
      <c r="D126" s="4"/>
      <c r="E126" s="4"/>
      <c r="F126" s="4"/>
      <c r="G126" s="3" t="str">
        <f t="shared" si="1"/>
        <v/>
      </c>
      <c r="H126" s="4"/>
      <c r="I126" s="4"/>
      <c r="J126" s="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4"/>
      <c r="B127" s="28"/>
      <c r="C127" s="4"/>
      <c r="D127" s="4"/>
      <c r="E127" s="4"/>
      <c r="F127" s="4"/>
      <c r="G127" s="3" t="str">
        <f t="shared" si="1"/>
        <v/>
      </c>
      <c r="H127" s="4"/>
      <c r="I127" s="4"/>
      <c r="J127" s="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4"/>
      <c r="B128" s="28"/>
      <c r="C128" s="4"/>
      <c r="D128" s="4"/>
      <c r="E128" s="4"/>
      <c r="F128" s="4"/>
      <c r="G128" s="3" t="str">
        <f t="shared" si="1"/>
        <v/>
      </c>
      <c r="H128" s="4"/>
      <c r="I128" s="4"/>
      <c r="J128" s="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4"/>
      <c r="B129" s="28"/>
      <c r="C129" s="4"/>
      <c r="D129" s="4"/>
      <c r="E129" s="4"/>
      <c r="F129" s="4"/>
      <c r="G129" s="3" t="str">
        <f t="shared" si="1"/>
        <v/>
      </c>
      <c r="H129" s="4"/>
      <c r="I129" s="4"/>
      <c r="J129" s="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4"/>
      <c r="B130" s="28"/>
      <c r="C130" s="4"/>
      <c r="D130" s="4"/>
      <c r="E130" s="4"/>
      <c r="F130" s="4"/>
      <c r="G130" s="3" t="str">
        <f t="shared" si="1"/>
        <v/>
      </c>
      <c r="H130" s="4"/>
      <c r="I130" s="4"/>
      <c r="J130" s="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4"/>
      <c r="B131" s="28"/>
      <c r="C131" s="4"/>
      <c r="D131" s="4"/>
      <c r="E131" s="4"/>
      <c r="F131" s="4"/>
      <c r="G131" s="3" t="str">
        <f t="shared" si="1"/>
        <v/>
      </c>
      <c r="H131" s="4"/>
      <c r="I131" s="4"/>
      <c r="J131" s="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4"/>
      <c r="B132" s="28"/>
      <c r="C132" s="4"/>
      <c r="D132" s="4"/>
      <c r="E132" s="4"/>
      <c r="F132" s="4"/>
      <c r="G132" s="3" t="str">
        <f t="shared" si="1"/>
        <v/>
      </c>
      <c r="H132" s="4"/>
      <c r="I132" s="4"/>
      <c r="J132" s="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4"/>
      <c r="B133" s="28"/>
      <c r="C133" s="4"/>
      <c r="D133" s="4"/>
      <c r="E133" s="4"/>
      <c r="F133" s="4"/>
      <c r="G133" s="3" t="str">
        <f t="shared" ref="G133:G196" si="2">IF(D133="","",D133)</f>
        <v/>
      </c>
      <c r="H133" s="4"/>
      <c r="I133" s="4"/>
      <c r="J133" s="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4"/>
      <c r="B134" s="28"/>
      <c r="C134" s="4"/>
      <c r="D134" s="4"/>
      <c r="E134" s="4"/>
      <c r="F134" s="4"/>
      <c r="G134" s="3" t="str">
        <f t="shared" si="2"/>
        <v/>
      </c>
      <c r="H134" s="4"/>
      <c r="I134" s="4"/>
      <c r="J134" s="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4"/>
      <c r="B135" s="28"/>
      <c r="C135" s="4"/>
      <c r="D135" s="4"/>
      <c r="E135" s="4"/>
      <c r="F135" s="4"/>
      <c r="G135" s="3" t="str">
        <f t="shared" si="2"/>
        <v/>
      </c>
      <c r="H135" s="4"/>
      <c r="I135" s="4"/>
      <c r="J135" s="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4"/>
      <c r="B136" s="28"/>
      <c r="C136" s="4"/>
      <c r="D136" s="4"/>
      <c r="E136" s="4"/>
      <c r="F136" s="4"/>
      <c r="G136" s="3" t="str">
        <f t="shared" si="2"/>
        <v/>
      </c>
      <c r="H136" s="4"/>
      <c r="I136" s="4"/>
      <c r="J136" s="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4"/>
      <c r="B137" s="28"/>
      <c r="C137" s="4"/>
      <c r="D137" s="4"/>
      <c r="E137" s="4"/>
      <c r="F137" s="4"/>
      <c r="G137" s="3" t="str">
        <f t="shared" si="2"/>
        <v/>
      </c>
      <c r="H137" s="4"/>
      <c r="I137" s="4"/>
      <c r="J137" s="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4"/>
      <c r="B138" s="28"/>
      <c r="C138" s="4"/>
      <c r="D138" s="4"/>
      <c r="E138" s="4"/>
      <c r="F138" s="4"/>
      <c r="G138" s="3" t="str">
        <f t="shared" si="2"/>
        <v/>
      </c>
      <c r="H138" s="4"/>
      <c r="I138" s="4"/>
      <c r="J138" s="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4"/>
      <c r="B139" s="28"/>
      <c r="C139" s="4"/>
      <c r="D139" s="4"/>
      <c r="E139" s="4"/>
      <c r="F139" s="4"/>
      <c r="G139" s="3" t="str">
        <f t="shared" si="2"/>
        <v/>
      </c>
      <c r="H139" s="4"/>
      <c r="I139" s="4"/>
      <c r="J139" s="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4"/>
      <c r="B140" s="28"/>
      <c r="C140" s="4"/>
      <c r="D140" s="4"/>
      <c r="E140" s="4"/>
      <c r="F140" s="4"/>
      <c r="G140" s="3" t="str">
        <f t="shared" si="2"/>
        <v/>
      </c>
      <c r="H140" s="4"/>
      <c r="I140" s="4"/>
      <c r="J140" s="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4"/>
      <c r="B141" s="28"/>
      <c r="C141" s="4"/>
      <c r="D141" s="4"/>
      <c r="E141" s="4"/>
      <c r="F141" s="4"/>
      <c r="G141" s="3" t="str">
        <f t="shared" si="2"/>
        <v/>
      </c>
      <c r="H141" s="4"/>
      <c r="I141" s="4"/>
      <c r="J141" s="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4"/>
      <c r="B142" s="28"/>
      <c r="C142" s="4"/>
      <c r="D142" s="4"/>
      <c r="E142" s="4"/>
      <c r="F142" s="4"/>
      <c r="G142" s="3" t="str">
        <f t="shared" si="2"/>
        <v/>
      </c>
      <c r="H142" s="4"/>
      <c r="I142" s="4"/>
      <c r="J142" s="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4"/>
      <c r="B143" s="28"/>
      <c r="C143" s="4"/>
      <c r="D143" s="4"/>
      <c r="E143" s="4"/>
      <c r="F143" s="4"/>
      <c r="G143" s="3" t="str">
        <f t="shared" si="2"/>
        <v/>
      </c>
      <c r="H143" s="4"/>
      <c r="I143" s="4"/>
      <c r="J143" s="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4"/>
      <c r="B144" s="28"/>
      <c r="C144" s="4"/>
      <c r="D144" s="4"/>
      <c r="E144" s="4"/>
      <c r="F144" s="4"/>
      <c r="G144" s="3" t="str">
        <f t="shared" si="2"/>
        <v/>
      </c>
      <c r="H144" s="4"/>
      <c r="I144" s="4"/>
      <c r="J144" s="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4"/>
      <c r="B145" s="28"/>
      <c r="C145" s="4"/>
      <c r="D145" s="4"/>
      <c r="E145" s="4"/>
      <c r="F145" s="4"/>
      <c r="G145" s="3" t="str">
        <f t="shared" si="2"/>
        <v/>
      </c>
      <c r="H145" s="4"/>
      <c r="I145" s="4"/>
      <c r="J145" s="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4"/>
      <c r="B146" s="28"/>
      <c r="C146" s="4"/>
      <c r="D146" s="4"/>
      <c r="E146" s="4"/>
      <c r="F146" s="4"/>
      <c r="G146" s="3" t="str">
        <f t="shared" si="2"/>
        <v/>
      </c>
      <c r="H146" s="4"/>
      <c r="I146" s="4"/>
      <c r="J146" s="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4"/>
      <c r="B147" s="28"/>
      <c r="C147" s="4"/>
      <c r="D147" s="4"/>
      <c r="E147" s="4"/>
      <c r="F147" s="4"/>
      <c r="G147" s="3" t="str">
        <f t="shared" si="2"/>
        <v/>
      </c>
      <c r="H147" s="4"/>
      <c r="I147" s="4"/>
      <c r="J147" s="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4"/>
      <c r="B148" s="28"/>
      <c r="C148" s="4"/>
      <c r="D148" s="4"/>
      <c r="E148" s="4"/>
      <c r="F148" s="4"/>
      <c r="G148" s="3" t="str">
        <f t="shared" si="2"/>
        <v/>
      </c>
      <c r="H148" s="4"/>
      <c r="I148" s="4"/>
      <c r="J148" s="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4"/>
      <c r="B149" s="28"/>
      <c r="C149" s="4"/>
      <c r="D149" s="4"/>
      <c r="E149" s="4"/>
      <c r="F149" s="4"/>
      <c r="G149" s="3" t="str">
        <f t="shared" si="2"/>
        <v/>
      </c>
      <c r="H149" s="4"/>
      <c r="I149" s="4"/>
      <c r="J149" s="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4"/>
      <c r="B150" s="28"/>
      <c r="C150" s="4"/>
      <c r="D150" s="4"/>
      <c r="E150" s="4"/>
      <c r="F150" s="4"/>
      <c r="G150" s="3" t="str">
        <f t="shared" si="2"/>
        <v/>
      </c>
      <c r="H150" s="4"/>
      <c r="I150" s="4"/>
      <c r="J150" s="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4"/>
      <c r="B151" s="28"/>
      <c r="C151" s="4"/>
      <c r="D151" s="4"/>
      <c r="E151" s="4"/>
      <c r="F151" s="4"/>
      <c r="G151" s="3" t="str">
        <f t="shared" si="2"/>
        <v/>
      </c>
      <c r="H151" s="4"/>
      <c r="I151" s="4"/>
      <c r="J151" s="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4"/>
      <c r="B152" s="28"/>
      <c r="C152" s="4"/>
      <c r="D152" s="4"/>
      <c r="E152" s="4"/>
      <c r="F152" s="4"/>
      <c r="G152" s="3" t="str">
        <f t="shared" si="2"/>
        <v/>
      </c>
      <c r="H152" s="4"/>
      <c r="I152" s="4"/>
      <c r="J152" s="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4"/>
      <c r="B153" s="28"/>
      <c r="C153" s="4"/>
      <c r="D153" s="4"/>
      <c r="E153" s="4"/>
      <c r="F153" s="4"/>
      <c r="G153" s="3" t="str">
        <f t="shared" si="2"/>
        <v/>
      </c>
      <c r="H153" s="4"/>
      <c r="I153" s="4"/>
      <c r="J153" s="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4"/>
      <c r="B154" s="28"/>
      <c r="C154" s="4"/>
      <c r="D154" s="4"/>
      <c r="E154" s="4"/>
      <c r="F154" s="4"/>
      <c r="G154" s="3" t="str">
        <f t="shared" si="2"/>
        <v/>
      </c>
      <c r="H154" s="4"/>
      <c r="I154" s="4"/>
      <c r="J154" s="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4"/>
      <c r="B155" s="28"/>
      <c r="C155" s="4"/>
      <c r="D155" s="4"/>
      <c r="E155" s="4"/>
      <c r="F155" s="4"/>
      <c r="G155" s="3" t="str">
        <f t="shared" si="2"/>
        <v/>
      </c>
      <c r="H155" s="4"/>
      <c r="I155" s="4"/>
      <c r="J155" s="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4"/>
      <c r="B156" s="28"/>
      <c r="C156" s="4"/>
      <c r="D156" s="4"/>
      <c r="E156" s="4"/>
      <c r="F156" s="4"/>
      <c r="G156" s="3" t="str">
        <f t="shared" si="2"/>
        <v/>
      </c>
      <c r="H156" s="4"/>
      <c r="I156" s="4"/>
      <c r="J156" s="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4"/>
      <c r="B157" s="28"/>
      <c r="C157" s="4"/>
      <c r="D157" s="4"/>
      <c r="E157" s="4"/>
      <c r="F157" s="4"/>
      <c r="G157" s="3" t="str">
        <f t="shared" si="2"/>
        <v/>
      </c>
      <c r="H157" s="4"/>
      <c r="I157" s="4"/>
      <c r="J157" s="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4"/>
      <c r="B158" s="28"/>
      <c r="C158" s="4"/>
      <c r="D158" s="4"/>
      <c r="E158" s="4"/>
      <c r="F158" s="4"/>
      <c r="G158" s="3" t="str">
        <f t="shared" si="2"/>
        <v/>
      </c>
      <c r="H158" s="4"/>
      <c r="I158" s="4"/>
      <c r="J158" s="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4"/>
      <c r="B159" s="28"/>
      <c r="C159" s="4"/>
      <c r="D159" s="4"/>
      <c r="E159" s="4"/>
      <c r="F159" s="4"/>
      <c r="G159" s="3" t="str">
        <f t="shared" si="2"/>
        <v/>
      </c>
      <c r="H159" s="4"/>
      <c r="I159" s="4"/>
      <c r="J159" s="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4"/>
      <c r="B160" s="28"/>
      <c r="C160" s="4"/>
      <c r="D160" s="4"/>
      <c r="E160" s="4"/>
      <c r="F160" s="4"/>
      <c r="G160" s="3" t="str">
        <f t="shared" si="2"/>
        <v/>
      </c>
      <c r="H160" s="4"/>
      <c r="I160" s="4"/>
      <c r="J160" s="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4"/>
      <c r="B161" s="28"/>
      <c r="C161" s="4"/>
      <c r="D161" s="4"/>
      <c r="E161" s="4"/>
      <c r="F161" s="4"/>
      <c r="G161" s="3" t="str">
        <f t="shared" si="2"/>
        <v/>
      </c>
      <c r="H161" s="4"/>
      <c r="I161" s="4"/>
      <c r="J161" s="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4"/>
      <c r="B162" s="28"/>
      <c r="C162" s="4"/>
      <c r="D162" s="4"/>
      <c r="E162" s="4"/>
      <c r="F162" s="4"/>
      <c r="G162" s="3" t="str">
        <f t="shared" si="2"/>
        <v/>
      </c>
      <c r="H162" s="4"/>
      <c r="I162" s="4"/>
      <c r="J162" s="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4"/>
      <c r="B163" s="28"/>
      <c r="C163" s="4"/>
      <c r="D163" s="4"/>
      <c r="E163" s="4"/>
      <c r="F163" s="4"/>
      <c r="G163" s="3" t="str">
        <f t="shared" si="2"/>
        <v/>
      </c>
      <c r="H163" s="4"/>
      <c r="I163" s="4"/>
      <c r="J163" s="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4"/>
      <c r="B164" s="28"/>
      <c r="C164" s="4"/>
      <c r="D164" s="4"/>
      <c r="E164" s="4"/>
      <c r="F164" s="4"/>
      <c r="G164" s="3" t="str">
        <f t="shared" si="2"/>
        <v/>
      </c>
      <c r="H164" s="4"/>
      <c r="I164" s="4"/>
      <c r="J164" s="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4"/>
      <c r="B165" s="28"/>
      <c r="C165" s="4"/>
      <c r="D165" s="4"/>
      <c r="E165" s="4"/>
      <c r="F165" s="4"/>
      <c r="G165" s="3" t="str">
        <f t="shared" si="2"/>
        <v/>
      </c>
      <c r="H165" s="4"/>
      <c r="I165" s="4"/>
      <c r="J165" s="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4"/>
      <c r="B166" s="28"/>
      <c r="C166" s="4"/>
      <c r="D166" s="4"/>
      <c r="E166" s="4"/>
      <c r="F166" s="4"/>
      <c r="G166" s="3" t="str">
        <f t="shared" si="2"/>
        <v/>
      </c>
      <c r="H166" s="4"/>
      <c r="I166" s="4"/>
      <c r="J166" s="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4"/>
      <c r="B167" s="28"/>
      <c r="C167" s="4"/>
      <c r="D167" s="4"/>
      <c r="E167" s="4"/>
      <c r="F167" s="4"/>
      <c r="G167" s="3" t="str">
        <f t="shared" si="2"/>
        <v/>
      </c>
      <c r="H167" s="4"/>
      <c r="I167" s="4"/>
      <c r="J167" s="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4"/>
      <c r="B168" s="28"/>
      <c r="C168" s="4"/>
      <c r="D168" s="4"/>
      <c r="E168" s="4"/>
      <c r="F168" s="4"/>
      <c r="G168" s="3" t="str">
        <f t="shared" si="2"/>
        <v/>
      </c>
      <c r="H168" s="4"/>
      <c r="I168" s="4"/>
      <c r="J168" s="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4"/>
      <c r="B169" s="28"/>
      <c r="C169" s="4"/>
      <c r="D169" s="4"/>
      <c r="E169" s="4"/>
      <c r="F169" s="4"/>
      <c r="G169" s="3" t="str">
        <f t="shared" si="2"/>
        <v/>
      </c>
      <c r="H169" s="4"/>
      <c r="I169" s="4"/>
      <c r="J169" s="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4"/>
      <c r="B170" s="28"/>
      <c r="C170" s="4"/>
      <c r="D170" s="4"/>
      <c r="E170" s="4"/>
      <c r="F170" s="4"/>
      <c r="G170" s="3" t="str">
        <f t="shared" si="2"/>
        <v/>
      </c>
      <c r="H170" s="4"/>
      <c r="I170" s="4"/>
      <c r="J170" s="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4"/>
      <c r="B171" s="28"/>
      <c r="C171" s="4"/>
      <c r="D171" s="4"/>
      <c r="E171" s="4"/>
      <c r="F171" s="4"/>
      <c r="G171" s="3" t="str">
        <f t="shared" si="2"/>
        <v/>
      </c>
      <c r="H171" s="4"/>
      <c r="I171" s="4"/>
      <c r="J171" s="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4"/>
      <c r="B172" s="28"/>
      <c r="C172" s="4"/>
      <c r="D172" s="4"/>
      <c r="E172" s="4"/>
      <c r="F172" s="4"/>
      <c r="G172" s="3" t="str">
        <f t="shared" si="2"/>
        <v/>
      </c>
      <c r="H172" s="4"/>
      <c r="I172" s="4"/>
      <c r="J172" s="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4"/>
      <c r="B173" s="28"/>
      <c r="C173" s="4"/>
      <c r="D173" s="4"/>
      <c r="E173" s="4"/>
      <c r="F173" s="4"/>
      <c r="G173" s="3" t="str">
        <f t="shared" si="2"/>
        <v/>
      </c>
      <c r="H173" s="4"/>
      <c r="I173" s="4"/>
      <c r="J173" s="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4"/>
      <c r="B174" s="28"/>
      <c r="C174" s="4"/>
      <c r="D174" s="4"/>
      <c r="E174" s="4"/>
      <c r="F174" s="4"/>
      <c r="G174" s="3" t="str">
        <f t="shared" si="2"/>
        <v/>
      </c>
      <c r="H174" s="4"/>
      <c r="I174" s="4"/>
      <c r="J174" s="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4"/>
      <c r="B175" s="28"/>
      <c r="C175" s="4"/>
      <c r="D175" s="4"/>
      <c r="E175" s="4"/>
      <c r="F175" s="4"/>
      <c r="G175" s="3" t="str">
        <f t="shared" si="2"/>
        <v/>
      </c>
      <c r="H175" s="4"/>
      <c r="I175" s="4"/>
      <c r="J175" s="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4"/>
      <c r="B176" s="28"/>
      <c r="C176" s="4"/>
      <c r="D176" s="4"/>
      <c r="E176" s="4"/>
      <c r="F176" s="4"/>
      <c r="G176" s="3" t="str">
        <f t="shared" si="2"/>
        <v/>
      </c>
      <c r="H176" s="4"/>
      <c r="I176" s="4"/>
      <c r="J176" s="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4"/>
      <c r="B177" s="28"/>
      <c r="C177" s="4"/>
      <c r="D177" s="4"/>
      <c r="E177" s="4"/>
      <c r="F177" s="4"/>
      <c r="G177" s="3" t="str">
        <f t="shared" si="2"/>
        <v/>
      </c>
      <c r="H177" s="4"/>
      <c r="I177" s="4"/>
      <c r="J177" s="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4"/>
      <c r="B178" s="28"/>
      <c r="C178" s="4"/>
      <c r="D178" s="4"/>
      <c r="E178" s="4"/>
      <c r="F178" s="4"/>
      <c r="G178" s="3" t="str">
        <f t="shared" si="2"/>
        <v/>
      </c>
      <c r="H178" s="4"/>
      <c r="I178" s="4"/>
      <c r="J178" s="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4"/>
      <c r="B179" s="28"/>
      <c r="C179" s="4"/>
      <c r="D179" s="4"/>
      <c r="E179" s="4"/>
      <c r="F179" s="4"/>
      <c r="G179" s="3" t="str">
        <f t="shared" si="2"/>
        <v/>
      </c>
      <c r="H179" s="4"/>
      <c r="I179" s="4"/>
      <c r="J179" s="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4"/>
      <c r="B180" s="28"/>
      <c r="C180" s="4"/>
      <c r="D180" s="4"/>
      <c r="E180" s="4"/>
      <c r="F180" s="4"/>
      <c r="G180" s="3" t="str">
        <f t="shared" si="2"/>
        <v/>
      </c>
      <c r="H180" s="4"/>
      <c r="I180" s="4"/>
      <c r="J180" s="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4"/>
      <c r="B181" s="28"/>
      <c r="C181" s="4"/>
      <c r="D181" s="4"/>
      <c r="E181" s="4"/>
      <c r="F181" s="4"/>
      <c r="G181" s="3" t="str">
        <f t="shared" si="2"/>
        <v/>
      </c>
      <c r="H181" s="4"/>
      <c r="I181" s="4"/>
      <c r="J181" s="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4"/>
      <c r="B182" s="28"/>
      <c r="C182" s="4"/>
      <c r="D182" s="4"/>
      <c r="E182" s="4"/>
      <c r="F182" s="4"/>
      <c r="G182" s="3" t="str">
        <f t="shared" si="2"/>
        <v/>
      </c>
      <c r="H182" s="4"/>
      <c r="I182" s="4"/>
      <c r="J182" s="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4"/>
      <c r="B183" s="28"/>
      <c r="C183" s="4"/>
      <c r="D183" s="4"/>
      <c r="E183" s="4"/>
      <c r="F183" s="4"/>
      <c r="G183" s="3" t="str">
        <f t="shared" si="2"/>
        <v/>
      </c>
      <c r="H183" s="4"/>
      <c r="I183" s="4"/>
      <c r="J183" s="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4"/>
      <c r="B184" s="28"/>
      <c r="C184" s="4"/>
      <c r="D184" s="4"/>
      <c r="E184" s="4"/>
      <c r="F184" s="4"/>
      <c r="G184" s="3" t="str">
        <f t="shared" si="2"/>
        <v/>
      </c>
      <c r="H184" s="4"/>
      <c r="I184" s="4"/>
      <c r="J184" s="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4"/>
      <c r="B185" s="28"/>
      <c r="C185" s="4"/>
      <c r="D185" s="4"/>
      <c r="E185" s="4"/>
      <c r="F185" s="4"/>
      <c r="G185" s="3" t="str">
        <f t="shared" si="2"/>
        <v/>
      </c>
      <c r="H185" s="4"/>
      <c r="I185" s="4"/>
      <c r="J185" s="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4"/>
      <c r="B186" s="28"/>
      <c r="C186" s="4"/>
      <c r="D186" s="4"/>
      <c r="E186" s="4"/>
      <c r="F186" s="4"/>
      <c r="G186" s="3" t="str">
        <f t="shared" si="2"/>
        <v/>
      </c>
      <c r="H186" s="4"/>
      <c r="I186" s="4"/>
      <c r="J186" s="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4"/>
      <c r="B187" s="28"/>
      <c r="C187" s="4"/>
      <c r="D187" s="4"/>
      <c r="E187" s="4"/>
      <c r="F187" s="4"/>
      <c r="G187" s="3" t="str">
        <f t="shared" si="2"/>
        <v/>
      </c>
      <c r="H187" s="4"/>
      <c r="I187" s="4"/>
      <c r="J187" s="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4"/>
      <c r="B188" s="28"/>
      <c r="C188" s="4"/>
      <c r="D188" s="4"/>
      <c r="E188" s="4"/>
      <c r="F188" s="4"/>
      <c r="G188" s="3" t="str">
        <f t="shared" si="2"/>
        <v/>
      </c>
      <c r="H188" s="4"/>
      <c r="I188" s="4"/>
      <c r="J188" s="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4"/>
      <c r="B189" s="28"/>
      <c r="C189" s="4"/>
      <c r="D189" s="4"/>
      <c r="E189" s="4"/>
      <c r="F189" s="4"/>
      <c r="G189" s="3" t="str">
        <f t="shared" si="2"/>
        <v/>
      </c>
      <c r="H189" s="4"/>
      <c r="I189" s="4"/>
      <c r="J189" s="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4"/>
      <c r="B190" s="28"/>
      <c r="C190" s="4"/>
      <c r="D190" s="4"/>
      <c r="E190" s="4"/>
      <c r="F190" s="4"/>
      <c r="G190" s="3" t="str">
        <f t="shared" si="2"/>
        <v/>
      </c>
      <c r="H190" s="4"/>
      <c r="I190" s="4"/>
      <c r="J190" s="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4"/>
      <c r="B191" s="28"/>
      <c r="C191" s="4"/>
      <c r="D191" s="4"/>
      <c r="E191" s="4"/>
      <c r="F191" s="4"/>
      <c r="G191" s="3" t="str">
        <f t="shared" si="2"/>
        <v/>
      </c>
      <c r="H191" s="4"/>
      <c r="I191" s="4"/>
      <c r="J191" s="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4"/>
      <c r="B192" s="28"/>
      <c r="C192" s="4"/>
      <c r="D192" s="4"/>
      <c r="E192" s="4"/>
      <c r="F192" s="4"/>
      <c r="G192" s="3" t="str">
        <f t="shared" si="2"/>
        <v/>
      </c>
      <c r="H192" s="4"/>
      <c r="I192" s="4"/>
      <c r="J192" s="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4"/>
      <c r="B193" s="28"/>
      <c r="C193" s="4"/>
      <c r="D193" s="4"/>
      <c r="E193" s="4"/>
      <c r="F193" s="4"/>
      <c r="G193" s="3" t="str">
        <f t="shared" si="2"/>
        <v/>
      </c>
      <c r="H193" s="4"/>
      <c r="I193" s="4"/>
      <c r="J193" s="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4"/>
      <c r="B194" s="28"/>
      <c r="C194" s="4"/>
      <c r="D194" s="4"/>
      <c r="E194" s="4"/>
      <c r="F194" s="4"/>
      <c r="G194" s="3" t="str">
        <f t="shared" si="2"/>
        <v/>
      </c>
      <c r="H194" s="4"/>
      <c r="I194" s="4"/>
      <c r="J194" s="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4"/>
      <c r="B195" s="28"/>
      <c r="C195" s="4"/>
      <c r="D195" s="4"/>
      <c r="E195" s="4"/>
      <c r="F195" s="4"/>
      <c r="G195" s="3" t="str">
        <f t="shared" si="2"/>
        <v/>
      </c>
      <c r="H195" s="4"/>
      <c r="I195" s="4"/>
      <c r="J195" s="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4"/>
      <c r="B196" s="28"/>
      <c r="C196" s="4"/>
      <c r="D196" s="4"/>
      <c r="E196" s="4"/>
      <c r="F196" s="4"/>
      <c r="G196" s="3" t="str">
        <f t="shared" si="2"/>
        <v/>
      </c>
      <c r="H196" s="4"/>
      <c r="I196" s="4"/>
      <c r="J196" s="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4"/>
      <c r="B197" s="28"/>
      <c r="C197" s="4"/>
      <c r="D197" s="4"/>
      <c r="E197" s="4"/>
      <c r="F197" s="4"/>
      <c r="G197" s="3" t="str">
        <f t="shared" ref="G197:G260" si="3">IF(D197="","",D197)</f>
        <v/>
      </c>
      <c r="H197" s="4"/>
      <c r="I197" s="4"/>
      <c r="J197" s="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4"/>
      <c r="B198" s="28"/>
      <c r="C198" s="4"/>
      <c r="D198" s="4"/>
      <c r="E198" s="4"/>
      <c r="F198" s="4"/>
      <c r="G198" s="3" t="str">
        <f t="shared" si="3"/>
        <v/>
      </c>
      <c r="H198" s="4"/>
      <c r="I198" s="4"/>
      <c r="J198" s="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4"/>
      <c r="B199" s="28"/>
      <c r="C199" s="4"/>
      <c r="D199" s="4"/>
      <c r="E199" s="4"/>
      <c r="F199" s="4"/>
      <c r="G199" s="3" t="str">
        <f t="shared" si="3"/>
        <v/>
      </c>
      <c r="H199" s="4"/>
      <c r="I199" s="4"/>
      <c r="J199" s="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4"/>
      <c r="B200" s="28"/>
      <c r="C200" s="4"/>
      <c r="D200" s="4"/>
      <c r="E200" s="4"/>
      <c r="F200" s="4"/>
      <c r="G200" s="3" t="str">
        <f t="shared" si="3"/>
        <v/>
      </c>
      <c r="H200" s="4"/>
      <c r="I200" s="4"/>
      <c r="J200" s="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4"/>
      <c r="B201" s="28"/>
      <c r="C201" s="4"/>
      <c r="D201" s="4"/>
      <c r="E201" s="4"/>
      <c r="F201" s="4"/>
      <c r="G201" s="3" t="str">
        <f t="shared" si="3"/>
        <v/>
      </c>
      <c r="H201" s="4"/>
      <c r="I201" s="4"/>
      <c r="J201" s="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4"/>
      <c r="B202" s="28"/>
      <c r="C202" s="4"/>
      <c r="D202" s="4"/>
      <c r="E202" s="4"/>
      <c r="F202" s="4"/>
      <c r="G202" s="3" t="str">
        <f t="shared" si="3"/>
        <v/>
      </c>
      <c r="H202" s="4"/>
      <c r="I202" s="4"/>
      <c r="J202" s="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4"/>
      <c r="B203" s="28"/>
      <c r="C203" s="4"/>
      <c r="D203" s="4"/>
      <c r="E203" s="4"/>
      <c r="F203" s="4"/>
      <c r="G203" s="3" t="str">
        <f t="shared" si="3"/>
        <v/>
      </c>
      <c r="H203" s="4"/>
      <c r="I203" s="4"/>
      <c r="J203" s="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4"/>
      <c r="B204" s="28"/>
      <c r="C204" s="4"/>
      <c r="D204" s="4"/>
      <c r="E204" s="4"/>
      <c r="F204" s="4"/>
      <c r="G204" s="3" t="str">
        <f t="shared" si="3"/>
        <v/>
      </c>
      <c r="H204" s="4"/>
      <c r="I204" s="4"/>
      <c r="J204" s="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4"/>
      <c r="B205" s="28"/>
      <c r="C205" s="4"/>
      <c r="D205" s="4"/>
      <c r="E205" s="4"/>
      <c r="F205" s="4"/>
      <c r="G205" s="3" t="str">
        <f t="shared" si="3"/>
        <v/>
      </c>
      <c r="H205" s="4"/>
      <c r="I205" s="4"/>
      <c r="J205" s="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4"/>
      <c r="B206" s="28"/>
      <c r="C206" s="4"/>
      <c r="D206" s="4"/>
      <c r="E206" s="4"/>
      <c r="F206" s="4"/>
      <c r="G206" s="3" t="str">
        <f t="shared" si="3"/>
        <v/>
      </c>
      <c r="H206" s="4"/>
      <c r="I206" s="4"/>
      <c r="J206" s="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4"/>
      <c r="B207" s="28"/>
      <c r="C207" s="4"/>
      <c r="D207" s="4"/>
      <c r="E207" s="4"/>
      <c r="F207" s="4"/>
      <c r="G207" s="3" t="str">
        <f t="shared" si="3"/>
        <v/>
      </c>
      <c r="H207" s="4"/>
      <c r="I207" s="4"/>
      <c r="J207" s="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4"/>
      <c r="B208" s="28"/>
      <c r="C208" s="4"/>
      <c r="D208" s="4"/>
      <c r="E208" s="4"/>
      <c r="F208" s="4"/>
      <c r="G208" s="3" t="str">
        <f t="shared" si="3"/>
        <v/>
      </c>
      <c r="H208" s="4"/>
      <c r="I208" s="4"/>
      <c r="J208" s="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4"/>
      <c r="B209" s="28"/>
      <c r="C209" s="4"/>
      <c r="D209" s="4"/>
      <c r="E209" s="4"/>
      <c r="F209" s="4"/>
      <c r="G209" s="3" t="str">
        <f t="shared" si="3"/>
        <v/>
      </c>
      <c r="H209" s="4"/>
      <c r="I209" s="4"/>
      <c r="J209" s="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4"/>
      <c r="B210" s="28"/>
      <c r="C210" s="4"/>
      <c r="D210" s="4"/>
      <c r="E210" s="4"/>
      <c r="F210" s="4"/>
      <c r="G210" s="3" t="str">
        <f t="shared" si="3"/>
        <v/>
      </c>
      <c r="H210" s="4"/>
      <c r="I210" s="4"/>
      <c r="J210" s="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4"/>
      <c r="B211" s="28"/>
      <c r="C211" s="4"/>
      <c r="D211" s="4"/>
      <c r="E211" s="4"/>
      <c r="F211" s="4"/>
      <c r="G211" s="3" t="str">
        <f t="shared" si="3"/>
        <v/>
      </c>
      <c r="H211" s="4"/>
      <c r="I211" s="4"/>
      <c r="J211" s="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4"/>
      <c r="B212" s="28"/>
      <c r="C212" s="4"/>
      <c r="D212" s="4"/>
      <c r="E212" s="4"/>
      <c r="F212" s="4"/>
      <c r="G212" s="3" t="str">
        <f t="shared" si="3"/>
        <v/>
      </c>
      <c r="H212" s="4"/>
      <c r="I212" s="4"/>
      <c r="J212" s="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4"/>
      <c r="B213" s="28"/>
      <c r="C213" s="4"/>
      <c r="D213" s="4"/>
      <c r="E213" s="4"/>
      <c r="F213" s="4"/>
      <c r="G213" s="3" t="str">
        <f t="shared" si="3"/>
        <v/>
      </c>
      <c r="H213" s="4"/>
      <c r="I213" s="4"/>
      <c r="J213" s="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4"/>
      <c r="B214" s="28"/>
      <c r="C214" s="4"/>
      <c r="D214" s="4"/>
      <c r="E214" s="4"/>
      <c r="F214" s="4"/>
      <c r="G214" s="3" t="str">
        <f t="shared" si="3"/>
        <v/>
      </c>
      <c r="H214" s="4"/>
      <c r="I214" s="4"/>
      <c r="J214" s="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4"/>
      <c r="B215" s="28"/>
      <c r="C215" s="4"/>
      <c r="D215" s="4"/>
      <c r="E215" s="4"/>
      <c r="F215" s="4"/>
      <c r="G215" s="3" t="str">
        <f t="shared" si="3"/>
        <v/>
      </c>
      <c r="H215" s="4"/>
      <c r="I215" s="4"/>
      <c r="J215" s="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4"/>
      <c r="B216" s="28"/>
      <c r="C216" s="4"/>
      <c r="D216" s="4"/>
      <c r="E216" s="4"/>
      <c r="F216" s="4"/>
      <c r="G216" s="3" t="str">
        <f t="shared" si="3"/>
        <v/>
      </c>
      <c r="H216" s="4"/>
      <c r="I216" s="4"/>
      <c r="J216" s="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4"/>
      <c r="B217" s="28"/>
      <c r="C217" s="4"/>
      <c r="D217" s="4"/>
      <c r="E217" s="4"/>
      <c r="F217" s="4"/>
      <c r="G217" s="3" t="str">
        <f t="shared" si="3"/>
        <v/>
      </c>
      <c r="H217" s="4"/>
      <c r="I217" s="4"/>
      <c r="J217" s="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4"/>
      <c r="B218" s="28"/>
      <c r="C218" s="4"/>
      <c r="D218" s="4"/>
      <c r="E218" s="4"/>
      <c r="F218" s="4"/>
      <c r="G218" s="3" t="str">
        <f t="shared" si="3"/>
        <v/>
      </c>
      <c r="H218" s="4"/>
      <c r="I218" s="4"/>
      <c r="J218" s="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4"/>
      <c r="B219" s="28"/>
      <c r="C219" s="4"/>
      <c r="D219" s="4"/>
      <c r="E219" s="4"/>
      <c r="F219" s="4"/>
      <c r="G219" s="3" t="str">
        <f t="shared" si="3"/>
        <v/>
      </c>
      <c r="H219" s="4"/>
      <c r="I219" s="4"/>
      <c r="J219" s="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4"/>
      <c r="B220" s="28"/>
      <c r="C220" s="4"/>
      <c r="D220" s="4"/>
      <c r="E220" s="4"/>
      <c r="F220" s="4"/>
      <c r="G220" s="3" t="str">
        <f t="shared" si="3"/>
        <v/>
      </c>
      <c r="H220" s="4"/>
      <c r="I220" s="4"/>
      <c r="J220" s="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4"/>
      <c r="B221" s="28"/>
      <c r="C221" s="4"/>
      <c r="D221" s="4"/>
      <c r="E221" s="4"/>
      <c r="F221" s="4"/>
      <c r="G221" s="3" t="str">
        <f t="shared" si="3"/>
        <v/>
      </c>
      <c r="H221" s="4"/>
      <c r="I221" s="4"/>
      <c r="J221" s="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4"/>
      <c r="B222" s="28"/>
      <c r="C222" s="4"/>
      <c r="D222" s="4"/>
      <c r="E222" s="4"/>
      <c r="F222" s="4"/>
      <c r="G222" s="3" t="str">
        <f t="shared" si="3"/>
        <v/>
      </c>
      <c r="H222" s="4"/>
      <c r="I222" s="4"/>
      <c r="J222" s="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4"/>
      <c r="B223" s="28"/>
      <c r="C223" s="4"/>
      <c r="D223" s="4"/>
      <c r="E223" s="4"/>
      <c r="F223" s="4"/>
      <c r="G223" s="3" t="str">
        <f t="shared" si="3"/>
        <v/>
      </c>
      <c r="H223" s="4"/>
      <c r="I223" s="4"/>
      <c r="J223" s="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4"/>
      <c r="B224" s="28"/>
      <c r="C224" s="4"/>
      <c r="D224" s="4"/>
      <c r="E224" s="4"/>
      <c r="F224" s="4"/>
      <c r="G224" s="3" t="str">
        <f t="shared" si="3"/>
        <v/>
      </c>
      <c r="H224" s="4"/>
      <c r="I224" s="4"/>
      <c r="J224" s="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4"/>
      <c r="B225" s="28"/>
      <c r="C225" s="4"/>
      <c r="D225" s="4"/>
      <c r="E225" s="4"/>
      <c r="F225" s="4"/>
      <c r="G225" s="3" t="str">
        <f t="shared" si="3"/>
        <v/>
      </c>
      <c r="H225" s="4"/>
      <c r="I225" s="4"/>
      <c r="J225" s="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4"/>
      <c r="B226" s="28"/>
      <c r="C226" s="4"/>
      <c r="D226" s="4"/>
      <c r="E226" s="4"/>
      <c r="F226" s="4"/>
      <c r="G226" s="3" t="str">
        <f t="shared" si="3"/>
        <v/>
      </c>
      <c r="H226" s="4"/>
      <c r="I226" s="4"/>
      <c r="J226" s="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4"/>
      <c r="B227" s="28"/>
      <c r="C227" s="4"/>
      <c r="D227" s="4"/>
      <c r="E227" s="4"/>
      <c r="F227" s="4"/>
      <c r="G227" s="3" t="str">
        <f t="shared" si="3"/>
        <v/>
      </c>
      <c r="H227" s="4"/>
      <c r="I227" s="4"/>
      <c r="J227" s="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4"/>
      <c r="B228" s="28"/>
      <c r="C228" s="4"/>
      <c r="D228" s="4"/>
      <c r="E228" s="4"/>
      <c r="F228" s="4"/>
      <c r="G228" s="3" t="str">
        <f t="shared" si="3"/>
        <v/>
      </c>
      <c r="H228" s="4"/>
      <c r="I228" s="4"/>
      <c r="J228" s="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4"/>
      <c r="B229" s="28"/>
      <c r="C229" s="4"/>
      <c r="D229" s="4"/>
      <c r="E229" s="4"/>
      <c r="F229" s="4"/>
      <c r="G229" s="3" t="str">
        <f t="shared" si="3"/>
        <v/>
      </c>
      <c r="H229" s="4"/>
      <c r="I229" s="4"/>
      <c r="J229" s="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4"/>
      <c r="B230" s="28"/>
      <c r="C230" s="4"/>
      <c r="D230" s="4"/>
      <c r="E230" s="4"/>
      <c r="F230" s="4"/>
      <c r="G230" s="3" t="str">
        <f t="shared" si="3"/>
        <v/>
      </c>
      <c r="H230" s="4"/>
      <c r="I230" s="4"/>
      <c r="J230" s="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4"/>
      <c r="B231" s="28"/>
      <c r="C231" s="4"/>
      <c r="D231" s="4"/>
      <c r="E231" s="4"/>
      <c r="F231" s="4"/>
      <c r="G231" s="3" t="str">
        <f t="shared" si="3"/>
        <v/>
      </c>
      <c r="H231" s="4"/>
      <c r="I231" s="4"/>
      <c r="J231" s="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4"/>
      <c r="B232" s="28"/>
      <c r="C232" s="4"/>
      <c r="D232" s="4"/>
      <c r="E232" s="4"/>
      <c r="F232" s="4"/>
      <c r="G232" s="3" t="str">
        <f t="shared" si="3"/>
        <v/>
      </c>
      <c r="H232" s="4"/>
      <c r="I232" s="4"/>
      <c r="J232" s="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4"/>
      <c r="B233" s="28"/>
      <c r="C233" s="4"/>
      <c r="D233" s="4"/>
      <c r="E233" s="4"/>
      <c r="F233" s="4"/>
      <c r="G233" s="3" t="str">
        <f t="shared" si="3"/>
        <v/>
      </c>
      <c r="H233" s="4"/>
      <c r="I233" s="4"/>
      <c r="J233" s="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4"/>
      <c r="B234" s="28"/>
      <c r="C234" s="4"/>
      <c r="D234" s="4"/>
      <c r="E234" s="4"/>
      <c r="F234" s="4"/>
      <c r="G234" s="3" t="str">
        <f t="shared" si="3"/>
        <v/>
      </c>
      <c r="H234" s="4"/>
      <c r="I234" s="4"/>
      <c r="J234" s="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4"/>
      <c r="B235" s="28"/>
      <c r="C235" s="4"/>
      <c r="D235" s="4"/>
      <c r="E235" s="4"/>
      <c r="F235" s="4"/>
      <c r="G235" s="3" t="str">
        <f t="shared" si="3"/>
        <v/>
      </c>
      <c r="H235" s="4"/>
      <c r="I235" s="4"/>
      <c r="J235" s="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4"/>
      <c r="B236" s="28"/>
      <c r="C236" s="4"/>
      <c r="D236" s="4"/>
      <c r="E236" s="4"/>
      <c r="F236" s="4"/>
      <c r="G236" s="3" t="str">
        <f t="shared" si="3"/>
        <v/>
      </c>
      <c r="H236" s="4"/>
      <c r="I236" s="4"/>
      <c r="J236" s="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4"/>
      <c r="B237" s="28"/>
      <c r="C237" s="4"/>
      <c r="D237" s="4"/>
      <c r="E237" s="4"/>
      <c r="F237" s="4"/>
      <c r="G237" s="3" t="str">
        <f t="shared" si="3"/>
        <v/>
      </c>
      <c r="H237" s="4"/>
      <c r="I237" s="4"/>
      <c r="J237" s="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4"/>
      <c r="B238" s="28"/>
      <c r="C238" s="4"/>
      <c r="D238" s="4"/>
      <c r="E238" s="4"/>
      <c r="F238" s="4"/>
      <c r="G238" s="3" t="str">
        <f t="shared" si="3"/>
        <v/>
      </c>
      <c r="H238" s="4"/>
      <c r="I238" s="4"/>
      <c r="J238" s="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4"/>
      <c r="B239" s="28"/>
      <c r="C239" s="4"/>
      <c r="D239" s="4"/>
      <c r="E239" s="4"/>
      <c r="F239" s="4"/>
      <c r="G239" s="3" t="str">
        <f t="shared" si="3"/>
        <v/>
      </c>
      <c r="H239" s="4"/>
      <c r="I239" s="4"/>
      <c r="J239" s="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4"/>
      <c r="B240" s="28"/>
      <c r="C240" s="4"/>
      <c r="D240" s="4"/>
      <c r="E240" s="4"/>
      <c r="F240" s="4"/>
      <c r="G240" s="3" t="str">
        <f t="shared" si="3"/>
        <v/>
      </c>
      <c r="H240" s="4"/>
      <c r="I240" s="4"/>
      <c r="J240" s="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4"/>
      <c r="B241" s="28"/>
      <c r="C241" s="4"/>
      <c r="D241" s="4"/>
      <c r="E241" s="4"/>
      <c r="F241" s="4"/>
      <c r="G241" s="3" t="str">
        <f t="shared" si="3"/>
        <v/>
      </c>
      <c r="H241" s="4"/>
      <c r="I241" s="4"/>
      <c r="J241" s="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4"/>
      <c r="B242" s="28"/>
      <c r="C242" s="4"/>
      <c r="D242" s="4"/>
      <c r="E242" s="4"/>
      <c r="F242" s="4"/>
      <c r="G242" s="3" t="str">
        <f t="shared" si="3"/>
        <v/>
      </c>
      <c r="H242" s="4"/>
      <c r="I242" s="4"/>
      <c r="J242" s="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4"/>
      <c r="B243" s="28"/>
      <c r="C243" s="4"/>
      <c r="D243" s="4"/>
      <c r="E243" s="4"/>
      <c r="F243" s="4"/>
      <c r="G243" s="3" t="str">
        <f t="shared" si="3"/>
        <v/>
      </c>
      <c r="H243" s="4"/>
      <c r="I243" s="4"/>
      <c r="J243" s="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4"/>
      <c r="B244" s="28"/>
      <c r="C244" s="4"/>
      <c r="D244" s="4"/>
      <c r="E244" s="4"/>
      <c r="F244" s="4"/>
      <c r="G244" s="3" t="str">
        <f t="shared" si="3"/>
        <v/>
      </c>
      <c r="H244" s="4"/>
      <c r="I244" s="4"/>
      <c r="J244" s="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4"/>
      <c r="B245" s="28"/>
      <c r="C245" s="4"/>
      <c r="D245" s="4"/>
      <c r="E245" s="4"/>
      <c r="F245" s="4"/>
      <c r="G245" s="3" t="str">
        <f t="shared" si="3"/>
        <v/>
      </c>
      <c r="H245" s="4"/>
      <c r="I245" s="4"/>
      <c r="J245" s="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4"/>
      <c r="B246" s="28"/>
      <c r="C246" s="4"/>
      <c r="D246" s="4"/>
      <c r="E246" s="4"/>
      <c r="F246" s="4"/>
      <c r="G246" s="3" t="str">
        <f t="shared" si="3"/>
        <v/>
      </c>
      <c r="H246" s="4"/>
      <c r="I246" s="4"/>
      <c r="J246" s="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4"/>
      <c r="B247" s="28"/>
      <c r="C247" s="4"/>
      <c r="D247" s="4"/>
      <c r="E247" s="4"/>
      <c r="F247" s="4"/>
      <c r="G247" s="3" t="str">
        <f t="shared" si="3"/>
        <v/>
      </c>
      <c r="H247" s="4"/>
      <c r="I247" s="4"/>
      <c r="J247" s="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4"/>
      <c r="B248" s="28"/>
      <c r="C248" s="4"/>
      <c r="D248" s="4"/>
      <c r="E248" s="4"/>
      <c r="F248" s="4"/>
      <c r="G248" s="3" t="str">
        <f t="shared" si="3"/>
        <v/>
      </c>
      <c r="H248" s="4"/>
      <c r="I248" s="4"/>
      <c r="J248" s="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4"/>
      <c r="B249" s="28"/>
      <c r="C249" s="4"/>
      <c r="D249" s="4"/>
      <c r="E249" s="4"/>
      <c r="F249" s="4"/>
      <c r="G249" s="3" t="str">
        <f t="shared" si="3"/>
        <v/>
      </c>
      <c r="H249" s="4"/>
      <c r="I249" s="4"/>
      <c r="J249" s="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4"/>
      <c r="B250" s="28"/>
      <c r="C250" s="4"/>
      <c r="D250" s="4"/>
      <c r="E250" s="4"/>
      <c r="F250" s="4"/>
      <c r="G250" s="3" t="str">
        <f t="shared" si="3"/>
        <v/>
      </c>
      <c r="H250" s="4"/>
      <c r="I250" s="4"/>
      <c r="J250" s="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4"/>
      <c r="B251" s="28"/>
      <c r="C251" s="4"/>
      <c r="D251" s="4"/>
      <c r="E251" s="4"/>
      <c r="F251" s="4"/>
      <c r="G251" s="3" t="str">
        <f t="shared" si="3"/>
        <v/>
      </c>
      <c r="H251" s="4"/>
      <c r="I251" s="4"/>
      <c r="J251" s="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4"/>
      <c r="B252" s="28"/>
      <c r="C252" s="4"/>
      <c r="D252" s="4"/>
      <c r="E252" s="4"/>
      <c r="F252" s="4"/>
      <c r="G252" s="3" t="str">
        <f t="shared" si="3"/>
        <v/>
      </c>
      <c r="H252" s="4"/>
      <c r="I252" s="4"/>
      <c r="J252" s="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4"/>
      <c r="B253" s="28"/>
      <c r="C253" s="4"/>
      <c r="D253" s="4"/>
      <c r="E253" s="4"/>
      <c r="F253" s="4"/>
      <c r="G253" s="3" t="str">
        <f t="shared" si="3"/>
        <v/>
      </c>
      <c r="H253" s="4"/>
      <c r="I253" s="4"/>
      <c r="J253" s="4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4"/>
      <c r="B254" s="28"/>
      <c r="C254" s="4"/>
      <c r="D254" s="4"/>
      <c r="E254" s="4"/>
      <c r="F254" s="4"/>
      <c r="G254" s="3" t="str">
        <f t="shared" si="3"/>
        <v/>
      </c>
      <c r="H254" s="4"/>
      <c r="I254" s="4"/>
      <c r="J254" s="4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4"/>
      <c r="B255" s="28"/>
      <c r="C255" s="4"/>
      <c r="D255" s="4"/>
      <c r="E255" s="4"/>
      <c r="F255" s="4"/>
      <c r="G255" s="3" t="str">
        <f t="shared" si="3"/>
        <v/>
      </c>
      <c r="H255" s="4"/>
      <c r="I255" s="4"/>
      <c r="J255" s="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4"/>
      <c r="B256" s="28"/>
      <c r="C256" s="4"/>
      <c r="D256" s="4"/>
      <c r="E256" s="4"/>
      <c r="F256" s="4"/>
      <c r="G256" s="3" t="str">
        <f t="shared" si="3"/>
        <v/>
      </c>
      <c r="H256" s="4"/>
      <c r="I256" s="4"/>
      <c r="J256" s="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4"/>
      <c r="B257" s="28"/>
      <c r="C257" s="4"/>
      <c r="D257" s="4"/>
      <c r="E257" s="4"/>
      <c r="F257" s="4"/>
      <c r="G257" s="3" t="str">
        <f t="shared" si="3"/>
        <v/>
      </c>
      <c r="H257" s="4"/>
      <c r="I257" s="4"/>
      <c r="J257" s="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4"/>
      <c r="B258" s="28"/>
      <c r="C258" s="4"/>
      <c r="D258" s="4"/>
      <c r="E258" s="4"/>
      <c r="F258" s="4"/>
      <c r="G258" s="3" t="str">
        <f t="shared" si="3"/>
        <v/>
      </c>
      <c r="H258" s="4"/>
      <c r="I258" s="4"/>
      <c r="J258" s="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4"/>
      <c r="B259" s="28"/>
      <c r="C259" s="4"/>
      <c r="D259" s="4"/>
      <c r="E259" s="4"/>
      <c r="F259" s="4"/>
      <c r="G259" s="3" t="str">
        <f t="shared" si="3"/>
        <v/>
      </c>
      <c r="H259" s="4"/>
      <c r="I259" s="4"/>
      <c r="J259" s="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4"/>
      <c r="B260" s="28"/>
      <c r="C260" s="4"/>
      <c r="D260" s="4"/>
      <c r="E260" s="4"/>
      <c r="F260" s="4"/>
      <c r="G260" s="3" t="str">
        <f t="shared" si="3"/>
        <v/>
      </c>
      <c r="H260" s="4"/>
      <c r="I260" s="4"/>
      <c r="J260" s="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4"/>
      <c r="B261" s="28"/>
      <c r="C261" s="4"/>
      <c r="D261" s="4"/>
      <c r="E261" s="4"/>
      <c r="F261" s="4"/>
      <c r="G261" s="3" t="str">
        <f t="shared" ref="G261:G324" si="4">IF(D261="","",D261)</f>
        <v/>
      </c>
      <c r="H261" s="4"/>
      <c r="I261" s="4"/>
      <c r="J261" s="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4"/>
      <c r="B262" s="28"/>
      <c r="C262" s="4"/>
      <c r="D262" s="4"/>
      <c r="E262" s="4"/>
      <c r="F262" s="4"/>
      <c r="G262" s="3" t="str">
        <f t="shared" si="4"/>
        <v/>
      </c>
      <c r="H262" s="4"/>
      <c r="I262" s="4"/>
      <c r="J262" s="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4"/>
      <c r="B263" s="28"/>
      <c r="C263" s="4"/>
      <c r="D263" s="4"/>
      <c r="E263" s="4"/>
      <c r="F263" s="4"/>
      <c r="G263" s="3" t="str">
        <f t="shared" si="4"/>
        <v/>
      </c>
      <c r="H263" s="4"/>
      <c r="I263" s="4"/>
      <c r="J263" s="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4"/>
      <c r="B264" s="28"/>
      <c r="C264" s="4"/>
      <c r="D264" s="4"/>
      <c r="E264" s="4"/>
      <c r="F264" s="4"/>
      <c r="G264" s="3" t="str">
        <f t="shared" si="4"/>
        <v/>
      </c>
      <c r="H264" s="4"/>
      <c r="I264" s="4"/>
      <c r="J264" s="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4"/>
      <c r="B265" s="28"/>
      <c r="C265" s="4"/>
      <c r="D265" s="4"/>
      <c r="E265" s="4"/>
      <c r="F265" s="4"/>
      <c r="G265" s="3" t="str">
        <f t="shared" si="4"/>
        <v/>
      </c>
      <c r="H265" s="4"/>
      <c r="I265" s="4"/>
      <c r="J265" s="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4"/>
      <c r="B266" s="28"/>
      <c r="C266" s="4"/>
      <c r="D266" s="4"/>
      <c r="E266" s="4"/>
      <c r="F266" s="4"/>
      <c r="G266" s="3" t="str">
        <f t="shared" si="4"/>
        <v/>
      </c>
      <c r="H266" s="4"/>
      <c r="I266" s="4"/>
      <c r="J266" s="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4"/>
      <c r="B267" s="28"/>
      <c r="C267" s="4"/>
      <c r="D267" s="4"/>
      <c r="E267" s="4"/>
      <c r="F267" s="4"/>
      <c r="G267" s="3" t="str">
        <f t="shared" si="4"/>
        <v/>
      </c>
      <c r="H267" s="4"/>
      <c r="I267" s="4"/>
      <c r="J267" s="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4"/>
      <c r="B268" s="28"/>
      <c r="C268" s="4"/>
      <c r="D268" s="4"/>
      <c r="E268" s="4"/>
      <c r="F268" s="4"/>
      <c r="G268" s="3" t="str">
        <f t="shared" si="4"/>
        <v/>
      </c>
      <c r="H268" s="4"/>
      <c r="I268" s="4"/>
      <c r="J268" s="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4"/>
      <c r="B269" s="28"/>
      <c r="C269" s="4"/>
      <c r="D269" s="4"/>
      <c r="E269" s="4"/>
      <c r="F269" s="4"/>
      <c r="G269" s="3" t="str">
        <f t="shared" si="4"/>
        <v/>
      </c>
      <c r="H269" s="4"/>
      <c r="I269" s="4"/>
      <c r="J269" s="4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4"/>
      <c r="B270" s="28"/>
      <c r="C270" s="4"/>
      <c r="D270" s="4"/>
      <c r="E270" s="4"/>
      <c r="F270" s="4"/>
      <c r="G270" s="3" t="str">
        <f t="shared" si="4"/>
        <v/>
      </c>
      <c r="H270" s="4"/>
      <c r="I270" s="4"/>
      <c r="J270" s="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4"/>
      <c r="B271" s="28"/>
      <c r="C271" s="4"/>
      <c r="D271" s="4"/>
      <c r="E271" s="4"/>
      <c r="F271" s="4"/>
      <c r="G271" s="3" t="str">
        <f t="shared" si="4"/>
        <v/>
      </c>
      <c r="H271" s="4"/>
      <c r="I271" s="4"/>
      <c r="J271" s="4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4"/>
      <c r="B272" s="28"/>
      <c r="C272" s="4"/>
      <c r="D272" s="4"/>
      <c r="E272" s="4"/>
      <c r="F272" s="4"/>
      <c r="G272" s="3" t="str">
        <f t="shared" si="4"/>
        <v/>
      </c>
      <c r="H272" s="4"/>
      <c r="I272" s="4"/>
      <c r="J272" s="4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4"/>
      <c r="B273" s="28"/>
      <c r="C273" s="4"/>
      <c r="D273" s="4"/>
      <c r="E273" s="4"/>
      <c r="F273" s="4"/>
      <c r="G273" s="3" t="str">
        <f t="shared" si="4"/>
        <v/>
      </c>
      <c r="H273" s="4"/>
      <c r="I273" s="4"/>
      <c r="J273" s="4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4"/>
      <c r="B274" s="28"/>
      <c r="C274" s="4"/>
      <c r="D274" s="4"/>
      <c r="E274" s="4"/>
      <c r="F274" s="4"/>
      <c r="G274" s="3" t="str">
        <f t="shared" si="4"/>
        <v/>
      </c>
      <c r="H274" s="4"/>
      <c r="I274" s="4"/>
      <c r="J274" s="4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4"/>
      <c r="B275" s="28"/>
      <c r="C275" s="4"/>
      <c r="D275" s="4"/>
      <c r="E275" s="4"/>
      <c r="F275" s="4"/>
      <c r="G275" s="3" t="str">
        <f t="shared" si="4"/>
        <v/>
      </c>
      <c r="H275" s="4"/>
      <c r="I275" s="4"/>
      <c r="J275" s="4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4"/>
      <c r="B276" s="28"/>
      <c r="C276" s="4"/>
      <c r="D276" s="4"/>
      <c r="E276" s="4"/>
      <c r="F276" s="4"/>
      <c r="G276" s="3" t="str">
        <f t="shared" si="4"/>
        <v/>
      </c>
      <c r="H276" s="4"/>
      <c r="I276" s="4"/>
      <c r="J276" s="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4"/>
      <c r="B277" s="28"/>
      <c r="C277" s="4"/>
      <c r="D277" s="4"/>
      <c r="E277" s="4"/>
      <c r="F277" s="4"/>
      <c r="G277" s="3" t="str">
        <f t="shared" si="4"/>
        <v/>
      </c>
      <c r="H277" s="4"/>
      <c r="I277" s="4"/>
      <c r="J277" s="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4"/>
      <c r="B278" s="28"/>
      <c r="C278" s="4"/>
      <c r="D278" s="4"/>
      <c r="E278" s="4"/>
      <c r="F278" s="4"/>
      <c r="G278" s="3" t="str">
        <f t="shared" si="4"/>
        <v/>
      </c>
      <c r="H278" s="4"/>
      <c r="I278" s="4"/>
      <c r="J278" s="4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4"/>
      <c r="B279" s="28"/>
      <c r="C279" s="4"/>
      <c r="D279" s="4"/>
      <c r="E279" s="4"/>
      <c r="F279" s="4"/>
      <c r="G279" s="3" t="str">
        <f t="shared" si="4"/>
        <v/>
      </c>
      <c r="H279" s="4"/>
      <c r="I279" s="4"/>
      <c r="J279" s="4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4"/>
      <c r="B280" s="28"/>
      <c r="C280" s="4"/>
      <c r="D280" s="4"/>
      <c r="E280" s="4"/>
      <c r="F280" s="4"/>
      <c r="G280" s="3" t="str">
        <f t="shared" si="4"/>
        <v/>
      </c>
      <c r="H280" s="4"/>
      <c r="I280" s="4"/>
      <c r="J280" s="4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4"/>
      <c r="B281" s="28"/>
      <c r="C281" s="4"/>
      <c r="D281" s="4"/>
      <c r="E281" s="4"/>
      <c r="F281" s="4"/>
      <c r="G281" s="3" t="str">
        <f t="shared" si="4"/>
        <v/>
      </c>
      <c r="H281" s="4"/>
      <c r="I281" s="4"/>
      <c r="J281" s="4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4"/>
      <c r="B282" s="28"/>
      <c r="C282" s="4"/>
      <c r="D282" s="4"/>
      <c r="E282" s="4"/>
      <c r="F282" s="4"/>
      <c r="G282" s="3" t="str">
        <f t="shared" si="4"/>
        <v/>
      </c>
      <c r="H282" s="4"/>
      <c r="I282" s="4"/>
      <c r="J282" s="4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4"/>
      <c r="B283" s="28"/>
      <c r="C283" s="4"/>
      <c r="D283" s="4"/>
      <c r="E283" s="4"/>
      <c r="F283" s="4"/>
      <c r="G283" s="3" t="str">
        <f t="shared" si="4"/>
        <v/>
      </c>
      <c r="H283" s="4"/>
      <c r="I283" s="4"/>
      <c r="J283" s="4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4"/>
      <c r="B284" s="28"/>
      <c r="C284" s="4"/>
      <c r="D284" s="4"/>
      <c r="E284" s="4"/>
      <c r="F284" s="4"/>
      <c r="G284" s="3" t="str">
        <f t="shared" si="4"/>
        <v/>
      </c>
      <c r="H284" s="4"/>
      <c r="I284" s="4"/>
      <c r="J284" s="4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4"/>
      <c r="B285" s="28"/>
      <c r="C285" s="4"/>
      <c r="D285" s="4"/>
      <c r="E285" s="4"/>
      <c r="F285" s="4"/>
      <c r="G285" s="3" t="str">
        <f t="shared" si="4"/>
        <v/>
      </c>
      <c r="H285" s="4"/>
      <c r="I285" s="4"/>
      <c r="J285" s="4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4"/>
      <c r="B286" s="28"/>
      <c r="C286" s="4"/>
      <c r="D286" s="4"/>
      <c r="E286" s="4"/>
      <c r="F286" s="4"/>
      <c r="G286" s="3" t="str">
        <f t="shared" si="4"/>
        <v/>
      </c>
      <c r="H286" s="4"/>
      <c r="I286" s="4"/>
      <c r="J286" s="4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4"/>
      <c r="B287" s="28"/>
      <c r="C287" s="4"/>
      <c r="D287" s="4"/>
      <c r="E287" s="4"/>
      <c r="F287" s="4"/>
      <c r="G287" s="3" t="str">
        <f t="shared" si="4"/>
        <v/>
      </c>
      <c r="H287" s="4"/>
      <c r="I287" s="4"/>
      <c r="J287" s="4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4"/>
      <c r="B288" s="28"/>
      <c r="C288" s="4"/>
      <c r="D288" s="4"/>
      <c r="E288" s="4"/>
      <c r="F288" s="4"/>
      <c r="G288" s="3" t="str">
        <f t="shared" si="4"/>
        <v/>
      </c>
      <c r="H288" s="4"/>
      <c r="I288" s="4"/>
      <c r="J288" s="4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4"/>
      <c r="B289" s="28"/>
      <c r="C289" s="4"/>
      <c r="D289" s="4"/>
      <c r="E289" s="4"/>
      <c r="F289" s="4"/>
      <c r="G289" s="3" t="str">
        <f t="shared" si="4"/>
        <v/>
      </c>
      <c r="H289" s="4"/>
      <c r="I289" s="4"/>
      <c r="J289" s="4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4"/>
      <c r="B290" s="28"/>
      <c r="C290" s="4"/>
      <c r="D290" s="4"/>
      <c r="E290" s="4"/>
      <c r="F290" s="4"/>
      <c r="G290" s="3" t="str">
        <f t="shared" si="4"/>
        <v/>
      </c>
      <c r="H290" s="4"/>
      <c r="I290" s="4"/>
      <c r="J290" s="4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4"/>
      <c r="B291" s="28"/>
      <c r="C291" s="4"/>
      <c r="D291" s="4"/>
      <c r="E291" s="4"/>
      <c r="F291" s="4"/>
      <c r="G291" s="3" t="str">
        <f t="shared" si="4"/>
        <v/>
      </c>
      <c r="H291" s="4"/>
      <c r="I291" s="4"/>
      <c r="J291" s="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4"/>
      <c r="B292" s="28"/>
      <c r="C292" s="4"/>
      <c r="D292" s="4"/>
      <c r="E292" s="4"/>
      <c r="F292" s="4"/>
      <c r="G292" s="3" t="str">
        <f t="shared" si="4"/>
        <v/>
      </c>
      <c r="H292" s="4"/>
      <c r="I292" s="4"/>
      <c r="J292" s="4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4"/>
      <c r="B293" s="28"/>
      <c r="C293" s="4"/>
      <c r="D293" s="4"/>
      <c r="E293" s="4"/>
      <c r="F293" s="4"/>
      <c r="G293" s="3" t="str">
        <f t="shared" si="4"/>
        <v/>
      </c>
      <c r="H293" s="4"/>
      <c r="I293" s="4"/>
      <c r="J293" s="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4"/>
      <c r="B294" s="28"/>
      <c r="C294" s="4"/>
      <c r="D294" s="4"/>
      <c r="E294" s="4"/>
      <c r="F294" s="4"/>
      <c r="G294" s="3" t="str">
        <f t="shared" si="4"/>
        <v/>
      </c>
      <c r="H294" s="4"/>
      <c r="I294" s="4"/>
      <c r="J294" s="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4"/>
      <c r="B295" s="28"/>
      <c r="C295" s="4"/>
      <c r="D295" s="4"/>
      <c r="E295" s="4"/>
      <c r="F295" s="4"/>
      <c r="G295" s="3" t="str">
        <f t="shared" si="4"/>
        <v/>
      </c>
      <c r="H295" s="4"/>
      <c r="I295" s="4"/>
      <c r="J295" s="4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4"/>
      <c r="B296" s="28"/>
      <c r="C296" s="4"/>
      <c r="D296" s="4"/>
      <c r="E296" s="4"/>
      <c r="F296" s="4"/>
      <c r="G296" s="3" t="str">
        <f t="shared" si="4"/>
        <v/>
      </c>
      <c r="H296" s="4"/>
      <c r="I296" s="4"/>
      <c r="J296" s="4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4"/>
      <c r="B297" s="28"/>
      <c r="C297" s="4"/>
      <c r="D297" s="4"/>
      <c r="E297" s="4"/>
      <c r="F297" s="4"/>
      <c r="G297" s="3" t="str">
        <f t="shared" si="4"/>
        <v/>
      </c>
      <c r="H297" s="4"/>
      <c r="I297" s="4"/>
      <c r="J297" s="4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4"/>
      <c r="B298" s="28"/>
      <c r="C298" s="4"/>
      <c r="D298" s="4"/>
      <c r="E298" s="4"/>
      <c r="F298" s="4"/>
      <c r="G298" s="3" t="str">
        <f t="shared" si="4"/>
        <v/>
      </c>
      <c r="H298" s="4"/>
      <c r="I298" s="4"/>
      <c r="J298" s="4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4"/>
      <c r="B299" s="28"/>
      <c r="C299" s="4"/>
      <c r="D299" s="4"/>
      <c r="E299" s="4"/>
      <c r="F299" s="4"/>
      <c r="G299" s="3" t="str">
        <f t="shared" si="4"/>
        <v/>
      </c>
      <c r="H299" s="4"/>
      <c r="I299" s="4"/>
      <c r="J299" s="4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4"/>
      <c r="B300" s="28"/>
      <c r="C300" s="4"/>
      <c r="D300" s="4"/>
      <c r="E300" s="4"/>
      <c r="F300" s="4"/>
      <c r="G300" s="3" t="str">
        <f t="shared" si="4"/>
        <v/>
      </c>
      <c r="H300" s="4"/>
      <c r="I300" s="4"/>
      <c r="J300" s="4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4"/>
      <c r="B301" s="28"/>
      <c r="C301" s="4"/>
      <c r="D301" s="4"/>
      <c r="E301" s="4"/>
      <c r="F301" s="4"/>
      <c r="G301" s="3" t="str">
        <f t="shared" si="4"/>
        <v/>
      </c>
      <c r="H301" s="4"/>
      <c r="I301" s="4"/>
      <c r="J301" s="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4"/>
      <c r="B302" s="28"/>
      <c r="C302" s="4"/>
      <c r="D302" s="4"/>
      <c r="E302" s="4"/>
      <c r="F302" s="4"/>
      <c r="G302" s="3" t="str">
        <f t="shared" si="4"/>
        <v/>
      </c>
      <c r="H302" s="4"/>
      <c r="I302" s="4"/>
      <c r="J302" s="4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4"/>
      <c r="B303" s="28"/>
      <c r="C303" s="4"/>
      <c r="D303" s="4"/>
      <c r="E303" s="4"/>
      <c r="F303" s="4"/>
      <c r="G303" s="3" t="str">
        <f t="shared" si="4"/>
        <v/>
      </c>
      <c r="H303" s="4"/>
      <c r="I303" s="4"/>
      <c r="J303" s="4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4"/>
      <c r="B304" s="28"/>
      <c r="C304" s="4"/>
      <c r="D304" s="4"/>
      <c r="E304" s="4"/>
      <c r="F304" s="4"/>
      <c r="G304" s="3" t="str">
        <f t="shared" si="4"/>
        <v/>
      </c>
      <c r="H304" s="4"/>
      <c r="I304" s="4"/>
      <c r="J304" s="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4"/>
      <c r="B305" s="28"/>
      <c r="C305" s="4"/>
      <c r="D305" s="4"/>
      <c r="E305" s="4"/>
      <c r="F305" s="4"/>
      <c r="G305" s="3" t="str">
        <f t="shared" si="4"/>
        <v/>
      </c>
      <c r="H305" s="4"/>
      <c r="I305" s="4"/>
      <c r="J305" s="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4"/>
      <c r="B306" s="28"/>
      <c r="C306" s="4"/>
      <c r="D306" s="4"/>
      <c r="E306" s="4"/>
      <c r="F306" s="4"/>
      <c r="G306" s="3" t="str">
        <f t="shared" si="4"/>
        <v/>
      </c>
      <c r="H306" s="4"/>
      <c r="I306" s="4"/>
      <c r="J306" s="4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4"/>
      <c r="B307" s="28"/>
      <c r="C307" s="4"/>
      <c r="D307" s="4"/>
      <c r="E307" s="4"/>
      <c r="F307" s="4"/>
      <c r="G307" s="3" t="str">
        <f t="shared" si="4"/>
        <v/>
      </c>
      <c r="H307" s="4"/>
      <c r="I307" s="4"/>
      <c r="J307" s="4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4"/>
      <c r="B308" s="28"/>
      <c r="C308" s="4"/>
      <c r="D308" s="4"/>
      <c r="E308" s="4"/>
      <c r="F308" s="4"/>
      <c r="G308" s="3" t="str">
        <f t="shared" si="4"/>
        <v/>
      </c>
      <c r="H308" s="4"/>
      <c r="I308" s="4"/>
      <c r="J308" s="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4"/>
      <c r="B309" s="28"/>
      <c r="C309" s="4"/>
      <c r="D309" s="4"/>
      <c r="E309" s="4"/>
      <c r="F309" s="4"/>
      <c r="G309" s="3" t="str">
        <f t="shared" si="4"/>
        <v/>
      </c>
      <c r="H309" s="4"/>
      <c r="I309" s="4"/>
      <c r="J309" s="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4"/>
      <c r="B310" s="28"/>
      <c r="C310" s="4"/>
      <c r="D310" s="4"/>
      <c r="E310" s="4"/>
      <c r="F310" s="4"/>
      <c r="G310" s="3" t="str">
        <f t="shared" si="4"/>
        <v/>
      </c>
      <c r="H310" s="4"/>
      <c r="I310" s="4"/>
      <c r="J310" s="4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4"/>
      <c r="B311" s="28"/>
      <c r="C311" s="4"/>
      <c r="D311" s="4"/>
      <c r="E311" s="4"/>
      <c r="F311" s="4"/>
      <c r="G311" s="3" t="str">
        <f t="shared" si="4"/>
        <v/>
      </c>
      <c r="H311" s="4"/>
      <c r="I311" s="4"/>
      <c r="J311" s="4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4"/>
      <c r="B312" s="28"/>
      <c r="C312" s="4"/>
      <c r="D312" s="4"/>
      <c r="E312" s="4"/>
      <c r="F312" s="4"/>
      <c r="G312" s="3" t="str">
        <f t="shared" si="4"/>
        <v/>
      </c>
      <c r="H312" s="4"/>
      <c r="I312" s="4"/>
      <c r="J312" s="4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4"/>
      <c r="B313" s="28"/>
      <c r="C313" s="4"/>
      <c r="D313" s="4"/>
      <c r="E313" s="4"/>
      <c r="F313" s="4"/>
      <c r="G313" s="3" t="str">
        <f t="shared" si="4"/>
        <v/>
      </c>
      <c r="H313" s="4"/>
      <c r="I313" s="4"/>
      <c r="J313" s="4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4"/>
      <c r="B314" s="28"/>
      <c r="C314" s="4"/>
      <c r="D314" s="4"/>
      <c r="E314" s="4"/>
      <c r="F314" s="4"/>
      <c r="G314" s="3" t="str">
        <f t="shared" si="4"/>
        <v/>
      </c>
      <c r="H314" s="4"/>
      <c r="I314" s="4"/>
      <c r="J314" s="4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4"/>
      <c r="B315" s="28"/>
      <c r="C315" s="4"/>
      <c r="D315" s="4"/>
      <c r="E315" s="4"/>
      <c r="F315" s="4"/>
      <c r="G315" s="3" t="str">
        <f t="shared" si="4"/>
        <v/>
      </c>
      <c r="H315" s="4"/>
      <c r="I315" s="4"/>
      <c r="J315" s="4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4"/>
      <c r="B316" s="28"/>
      <c r="C316" s="4"/>
      <c r="D316" s="4"/>
      <c r="E316" s="4"/>
      <c r="F316" s="4"/>
      <c r="G316" s="3" t="str">
        <f t="shared" si="4"/>
        <v/>
      </c>
      <c r="H316" s="4"/>
      <c r="I316" s="4"/>
      <c r="J316" s="4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4"/>
      <c r="B317" s="28"/>
      <c r="C317" s="4"/>
      <c r="D317" s="4"/>
      <c r="E317" s="4"/>
      <c r="F317" s="4"/>
      <c r="G317" s="3" t="str">
        <f t="shared" si="4"/>
        <v/>
      </c>
      <c r="H317" s="4"/>
      <c r="I317" s="4"/>
      <c r="J317" s="4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4"/>
      <c r="B318" s="28"/>
      <c r="C318" s="4"/>
      <c r="D318" s="4"/>
      <c r="E318" s="4"/>
      <c r="F318" s="4"/>
      <c r="G318" s="3" t="str">
        <f t="shared" si="4"/>
        <v/>
      </c>
      <c r="H318" s="4"/>
      <c r="I318" s="4"/>
      <c r="J318" s="4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4"/>
      <c r="B319" s="28"/>
      <c r="C319" s="4"/>
      <c r="D319" s="4"/>
      <c r="E319" s="4"/>
      <c r="F319" s="4"/>
      <c r="G319" s="3" t="str">
        <f t="shared" si="4"/>
        <v/>
      </c>
      <c r="H319" s="4"/>
      <c r="I319" s="4"/>
      <c r="J319" s="4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4"/>
      <c r="B320" s="28"/>
      <c r="C320" s="4"/>
      <c r="D320" s="4"/>
      <c r="E320" s="4"/>
      <c r="F320" s="4"/>
      <c r="G320" s="3" t="str">
        <f t="shared" si="4"/>
        <v/>
      </c>
      <c r="H320" s="4"/>
      <c r="I320" s="4"/>
      <c r="J320" s="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4"/>
      <c r="B321" s="28"/>
      <c r="C321" s="4"/>
      <c r="D321" s="4"/>
      <c r="E321" s="4"/>
      <c r="F321" s="4"/>
      <c r="G321" s="3" t="str">
        <f t="shared" si="4"/>
        <v/>
      </c>
      <c r="H321" s="4"/>
      <c r="I321" s="4"/>
      <c r="J321" s="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4"/>
      <c r="B322" s="28"/>
      <c r="C322" s="4"/>
      <c r="D322" s="4"/>
      <c r="E322" s="4"/>
      <c r="F322" s="4"/>
      <c r="G322" s="3" t="str">
        <f t="shared" si="4"/>
        <v/>
      </c>
      <c r="H322" s="4"/>
      <c r="I322" s="4"/>
      <c r="J322" s="4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4"/>
      <c r="B323" s="28"/>
      <c r="C323" s="4"/>
      <c r="D323" s="4"/>
      <c r="E323" s="4"/>
      <c r="F323" s="4"/>
      <c r="G323" s="3" t="str">
        <f t="shared" si="4"/>
        <v/>
      </c>
      <c r="H323" s="4"/>
      <c r="I323" s="4"/>
      <c r="J323" s="4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4"/>
      <c r="B324" s="28"/>
      <c r="C324" s="4"/>
      <c r="D324" s="4"/>
      <c r="E324" s="4"/>
      <c r="F324" s="4"/>
      <c r="G324" s="3" t="str">
        <f t="shared" si="4"/>
        <v/>
      </c>
      <c r="H324" s="4"/>
      <c r="I324" s="4"/>
      <c r="J324" s="4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4"/>
      <c r="B325" s="28"/>
      <c r="C325" s="4"/>
      <c r="D325" s="4"/>
      <c r="E325" s="4"/>
      <c r="F325" s="4"/>
      <c r="G325" s="3" t="str">
        <f t="shared" ref="G325:G388" si="5">IF(D325="","",D325)</f>
        <v/>
      </c>
      <c r="H325" s="4"/>
      <c r="I325" s="4"/>
      <c r="J325" s="4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4"/>
      <c r="B326" s="28"/>
      <c r="C326" s="4"/>
      <c r="D326" s="4"/>
      <c r="E326" s="4"/>
      <c r="F326" s="4"/>
      <c r="G326" s="3" t="str">
        <f t="shared" si="5"/>
        <v/>
      </c>
      <c r="H326" s="4"/>
      <c r="I326" s="4"/>
      <c r="J326" s="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4"/>
      <c r="B327" s="28"/>
      <c r="C327" s="4"/>
      <c r="D327" s="4"/>
      <c r="E327" s="4"/>
      <c r="F327" s="4"/>
      <c r="G327" s="3" t="str">
        <f t="shared" si="5"/>
        <v/>
      </c>
      <c r="H327" s="4"/>
      <c r="I327" s="4"/>
      <c r="J327" s="4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4"/>
      <c r="B328" s="28"/>
      <c r="C328" s="4"/>
      <c r="D328" s="4"/>
      <c r="E328" s="4"/>
      <c r="F328" s="4"/>
      <c r="G328" s="3" t="str">
        <f t="shared" si="5"/>
        <v/>
      </c>
      <c r="H328" s="4"/>
      <c r="I328" s="4"/>
      <c r="J328" s="4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4"/>
      <c r="B329" s="28"/>
      <c r="C329" s="4"/>
      <c r="D329" s="4"/>
      <c r="E329" s="4"/>
      <c r="F329" s="4"/>
      <c r="G329" s="3" t="str">
        <f t="shared" si="5"/>
        <v/>
      </c>
      <c r="H329" s="4"/>
      <c r="I329" s="4"/>
      <c r="J329" s="4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4"/>
      <c r="B330" s="28"/>
      <c r="C330" s="4"/>
      <c r="D330" s="4"/>
      <c r="E330" s="4"/>
      <c r="F330" s="4"/>
      <c r="G330" s="3" t="str">
        <f t="shared" si="5"/>
        <v/>
      </c>
      <c r="H330" s="4"/>
      <c r="I330" s="4"/>
      <c r="J330" s="4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4"/>
      <c r="B331" s="28"/>
      <c r="C331" s="4"/>
      <c r="D331" s="4"/>
      <c r="E331" s="4"/>
      <c r="F331" s="4"/>
      <c r="G331" s="3" t="str">
        <f t="shared" si="5"/>
        <v/>
      </c>
      <c r="H331" s="4"/>
      <c r="I331" s="4"/>
      <c r="J331" s="4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4"/>
      <c r="B332" s="28"/>
      <c r="C332" s="4"/>
      <c r="D332" s="4"/>
      <c r="E332" s="4"/>
      <c r="F332" s="4"/>
      <c r="G332" s="3" t="str">
        <f t="shared" si="5"/>
        <v/>
      </c>
      <c r="H332" s="4"/>
      <c r="I332" s="4"/>
      <c r="J332" s="4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4"/>
      <c r="B333" s="28"/>
      <c r="C333" s="4"/>
      <c r="D333" s="4"/>
      <c r="E333" s="4"/>
      <c r="F333" s="4"/>
      <c r="G333" s="3" t="str">
        <f t="shared" si="5"/>
        <v/>
      </c>
      <c r="H333" s="4"/>
      <c r="I333" s="4"/>
      <c r="J333" s="4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4"/>
      <c r="B334" s="28"/>
      <c r="C334" s="4"/>
      <c r="D334" s="4"/>
      <c r="E334" s="4"/>
      <c r="F334" s="4"/>
      <c r="G334" s="3" t="str">
        <f t="shared" si="5"/>
        <v/>
      </c>
      <c r="H334" s="4"/>
      <c r="I334" s="4"/>
      <c r="J334" s="4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4"/>
      <c r="B335" s="28"/>
      <c r="C335" s="4"/>
      <c r="D335" s="4"/>
      <c r="E335" s="4"/>
      <c r="F335" s="4"/>
      <c r="G335" s="3" t="str">
        <f t="shared" si="5"/>
        <v/>
      </c>
      <c r="H335" s="4"/>
      <c r="I335" s="4"/>
      <c r="J335" s="4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4"/>
      <c r="B336" s="28"/>
      <c r="C336" s="4"/>
      <c r="D336" s="4"/>
      <c r="E336" s="4"/>
      <c r="F336" s="4"/>
      <c r="G336" s="3" t="str">
        <f t="shared" si="5"/>
        <v/>
      </c>
      <c r="H336" s="4"/>
      <c r="I336" s="4"/>
      <c r="J336" s="4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4"/>
      <c r="B337" s="28"/>
      <c r="C337" s="4"/>
      <c r="D337" s="4"/>
      <c r="E337" s="4"/>
      <c r="F337" s="4"/>
      <c r="G337" s="3" t="str">
        <f t="shared" si="5"/>
        <v/>
      </c>
      <c r="H337" s="4"/>
      <c r="I337" s="4"/>
      <c r="J337" s="4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4"/>
      <c r="B338" s="28"/>
      <c r="C338" s="4"/>
      <c r="D338" s="4"/>
      <c r="E338" s="4"/>
      <c r="F338" s="4"/>
      <c r="G338" s="3" t="str">
        <f t="shared" si="5"/>
        <v/>
      </c>
      <c r="H338" s="4"/>
      <c r="I338" s="4"/>
      <c r="J338" s="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4"/>
      <c r="B339" s="28"/>
      <c r="C339" s="4"/>
      <c r="D339" s="4"/>
      <c r="E339" s="4"/>
      <c r="F339" s="4"/>
      <c r="G339" s="3" t="str">
        <f t="shared" si="5"/>
        <v/>
      </c>
      <c r="H339" s="4"/>
      <c r="I339" s="4"/>
      <c r="J339" s="4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4"/>
      <c r="B340" s="28"/>
      <c r="C340" s="4"/>
      <c r="D340" s="4"/>
      <c r="E340" s="4"/>
      <c r="F340" s="4"/>
      <c r="G340" s="3" t="str">
        <f t="shared" si="5"/>
        <v/>
      </c>
      <c r="H340" s="4"/>
      <c r="I340" s="4"/>
      <c r="J340" s="4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4"/>
      <c r="B341" s="28"/>
      <c r="C341" s="4"/>
      <c r="D341" s="4"/>
      <c r="E341" s="4"/>
      <c r="F341" s="4"/>
      <c r="G341" s="3" t="str">
        <f t="shared" si="5"/>
        <v/>
      </c>
      <c r="H341" s="4"/>
      <c r="I341" s="4"/>
      <c r="J341" s="4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4"/>
      <c r="B342" s="28"/>
      <c r="C342" s="4"/>
      <c r="D342" s="4"/>
      <c r="E342" s="4"/>
      <c r="F342" s="4"/>
      <c r="G342" s="3" t="str">
        <f t="shared" si="5"/>
        <v/>
      </c>
      <c r="H342" s="4"/>
      <c r="I342" s="4"/>
      <c r="J342" s="4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4"/>
      <c r="B343" s="28"/>
      <c r="C343" s="4"/>
      <c r="D343" s="4"/>
      <c r="E343" s="4"/>
      <c r="F343" s="4"/>
      <c r="G343" s="3" t="str">
        <f t="shared" si="5"/>
        <v/>
      </c>
      <c r="H343" s="4"/>
      <c r="I343" s="4"/>
      <c r="J343" s="4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4"/>
      <c r="B344" s="28"/>
      <c r="C344" s="4"/>
      <c r="D344" s="4"/>
      <c r="E344" s="4"/>
      <c r="F344" s="4"/>
      <c r="G344" s="3" t="str">
        <f t="shared" si="5"/>
        <v/>
      </c>
      <c r="H344" s="4"/>
      <c r="I344" s="4"/>
      <c r="J344" s="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4"/>
      <c r="B345" s="28"/>
      <c r="C345" s="4"/>
      <c r="D345" s="4"/>
      <c r="E345" s="4"/>
      <c r="F345" s="4"/>
      <c r="G345" s="3" t="str">
        <f t="shared" si="5"/>
        <v/>
      </c>
      <c r="H345" s="4"/>
      <c r="I345" s="4"/>
      <c r="J345" s="4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4"/>
      <c r="B346" s="28"/>
      <c r="C346" s="4"/>
      <c r="D346" s="4"/>
      <c r="E346" s="4"/>
      <c r="F346" s="4"/>
      <c r="G346" s="3" t="str">
        <f t="shared" si="5"/>
        <v/>
      </c>
      <c r="H346" s="4"/>
      <c r="I346" s="4"/>
      <c r="J346" s="4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4"/>
      <c r="B347" s="28"/>
      <c r="C347" s="4"/>
      <c r="D347" s="4"/>
      <c r="E347" s="4"/>
      <c r="F347" s="4"/>
      <c r="G347" s="3" t="str">
        <f t="shared" si="5"/>
        <v/>
      </c>
      <c r="H347" s="4"/>
      <c r="I347" s="4"/>
      <c r="J347" s="4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4"/>
      <c r="B348" s="28"/>
      <c r="C348" s="4"/>
      <c r="D348" s="4"/>
      <c r="E348" s="4"/>
      <c r="F348" s="4"/>
      <c r="G348" s="3" t="str">
        <f t="shared" si="5"/>
        <v/>
      </c>
      <c r="H348" s="4"/>
      <c r="I348" s="4"/>
      <c r="J348" s="4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4"/>
      <c r="B349" s="28"/>
      <c r="C349" s="4"/>
      <c r="D349" s="4"/>
      <c r="E349" s="4"/>
      <c r="F349" s="4"/>
      <c r="G349" s="3" t="str">
        <f t="shared" si="5"/>
        <v/>
      </c>
      <c r="H349" s="4"/>
      <c r="I349" s="4"/>
      <c r="J349" s="4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4"/>
      <c r="B350" s="28"/>
      <c r="C350" s="4"/>
      <c r="D350" s="4"/>
      <c r="E350" s="4"/>
      <c r="F350" s="4"/>
      <c r="G350" s="3" t="str">
        <f t="shared" si="5"/>
        <v/>
      </c>
      <c r="H350" s="4"/>
      <c r="I350" s="4"/>
      <c r="J350" s="4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4"/>
      <c r="B351" s="28"/>
      <c r="C351" s="4"/>
      <c r="D351" s="4"/>
      <c r="E351" s="4"/>
      <c r="F351" s="4"/>
      <c r="G351" s="3" t="str">
        <f t="shared" si="5"/>
        <v/>
      </c>
      <c r="H351" s="4"/>
      <c r="I351" s="4"/>
      <c r="J351" s="4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4"/>
      <c r="B352" s="28"/>
      <c r="C352" s="4"/>
      <c r="D352" s="4"/>
      <c r="E352" s="4"/>
      <c r="F352" s="4"/>
      <c r="G352" s="3" t="str">
        <f t="shared" si="5"/>
        <v/>
      </c>
      <c r="H352" s="4"/>
      <c r="I352" s="4"/>
      <c r="J352" s="4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4"/>
      <c r="B353" s="28"/>
      <c r="C353" s="4"/>
      <c r="D353" s="4"/>
      <c r="E353" s="4"/>
      <c r="F353" s="4"/>
      <c r="G353" s="3" t="str">
        <f t="shared" si="5"/>
        <v/>
      </c>
      <c r="H353" s="4"/>
      <c r="I353" s="4"/>
      <c r="J353" s="4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4"/>
      <c r="B354" s="28"/>
      <c r="C354" s="4"/>
      <c r="D354" s="4"/>
      <c r="E354" s="4"/>
      <c r="F354" s="4"/>
      <c r="G354" s="3" t="str">
        <f t="shared" si="5"/>
        <v/>
      </c>
      <c r="H354" s="4"/>
      <c r="I354" s="4"/>
      <c r="J354" s="4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4"/>
      <c r="B355" s="28"/>
      <c r="C355" s="4"/>
      <c r="D355" s="4"/>
      <c r="E355" s="4"/>
      <c r="F355" s="4"/>
      <c r="G355" s="3" t="str">
        <f t="shared" si="5"/>
        <v/>
      </c>
      <c r="H355" s="4"/>
      <c r="I355" s="4"/>
      <c r="J355" s="4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4"/>
      <c r="B356" s="28"/>
      <c r="C356" s="4"/>
      <c r="D356" s="4"/>
      <c r="E356" s="4"/>
      <c r="F356" s="4"/>
      <c r="G356" s="3" t="str">
        <f t="shared" si="5"/>
        <v/>
      </c>
      <c r="H356" s="4"/>
      <c r="I356" s="4"/>
      <c r="J356" s="4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4"/>
      <c r="B357" s="28"/>
      <c r="C357" s="4"/>
      <c r="D357" s="4"/>
      <c r="E357" s="4"/>
      <c r="F357" s="4"/>
      <c r="G357" s="3" t="str">
        <f t="shared" si="5"/>
        <v/>
      </c>
      <c r="H357" s="4"/>
      <c r="I357" s="4"/>
      <c r="J357" s="4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4"/>
      <c r="B358" s="28"/>
      <c r="C358" s="4"/>
      <c r="D358" s="4"/>
      <c r="E358" s="4"/>
      <c r="F358" s="4"/>
      <c r="G358" s="3" t="str">
        <f t="shared" si="5"/>
        <v/>
      </c>
      <c r="H358" s="4"/>
      <c r="I358" s="4"/>
      <c r="J358" s="4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4"/>
      <c r="B359" s="28"/>
      <c r="C359" s="4"/>
      <c r="D359" s="4"/>
      <c r="E359" s="4"/>
      <c r="F359" s="4"/>
      <c r="G359" s="3" t="str">
        <f t="shared" si="5"/>
        <v/>
      </c>
      <c r="H359" s="4"/>
      <c r="I359" s="4"/>
      <c r="J359" s="4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4"/>
      <c r="B360" s="28"/>
      <c r="C360" s="4"/>
      <c r="D360" s="4"/>
      <c r="E360" s="4"/>
      <c r="F360" s="4"/>
      <c r="G360" s="3" t="str">
        <f t="shared" si="5"/>
        <v/>
      </c>
      <c r="H360" s="4"/>
      <c r="I360" s="4"/>
      <c r="J360" s="4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4"/>
      <c r="B361" s="28"/>
      <c r="C361" s="4"/>
      <c r="D361" s="4"/>
      <c r="E361" s="4"/>
      <c r="F361" s="4"/>
      <c r="G361" s="3" t="str">
        <f t="shared" si="5"/>
        <v/>
      </c>
      <c r="H361" s="4"/>
      <c r="I361" s="4"/>
      <c r="J361" s="4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4"/>
      <c r="B362" s="28"/>
      <c r="C362" s="4"/>
      <c r="D362" s="4"/>
      <c r="E362" s="4"/>
      <c r="F362" s="4"/>
      <c r="G362" s="3" t="str">
        <f t="shared" si="5"/>
        <v/>
      </c>
      <c r="H362" s="4"/>
      <c r="I362" s="4"/>
      <c r="J362" s="4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4"/>
      <c r="B363" s="28"/>
      <c r="C363" s="4"/>
      <c r="D363" s="4"/>
      <c r="E363" s="4"/>
      <c r="F363" s="4"/>
      <c r="G363" s="3" t="str">
        <f t="shared" si="5"/>
        <v/>
      </c>
      <c r="H363" s="4"/>
      <c r="I363" s="4"/>
      <c r="J363" s="4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4"/>
      <c r="B364" s="28"/>
      <c r="C364" s="4"/>
      <c r="D364" s="4"/>
      <c r="E364" s="4"/>
      <c r="F364" s="4"/>
      <c r="G364" s="3" t="str">
        <f t="shared" si="5"/>
        <v/>
      </c>
      <c r="H364" s="4"/>
      <c r="I364" s="4"/>
      <c r="J364" s="4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4"/>
      <c r="B365" s="28"/>
      <c r="C365" s="4"/>
      <c r="D365" s="4"/>
      <c r="E365" s="4"/>
      <c r="F365" s="4"/>
      <c r="G365" s="3" t="str">
        <f t="shared" si="5"/>
        <v/>
      </c>
      <c r="H365" s="4"/>
      <c r="I365" s="4"/>
      <c r="J365" s="4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4"/>
      <c r="B366" s="28"/>
      <c r="C366" s="4"/>
      <c r="D366" s="4"/>
      <c r="E366" s="4"/>
      <c r="F366" s="4"/>
      <c r="G366" s="3" t="str">
        <f t="shared" si="5"/>
        <v/>
      </c>
      <c r="H366" s="4"/>
      <c r="I366" s="4"/>
      <c r="J366" s="4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4"/>
      <c r="B367" s="28"/>
      <c r="C367" s="4"/>
      <c r="D367" s="4"/>
      <c r="E367" s="4"/>
      <c r="F367" s="4"/>
      <c r="G367" s="3" t="str">
        <f t="shared" si="5"/>
        <v/>
      </c>
      <c r="H367" s="4"/>
      <c r="I367" s="4"/>
      <c r="J367" s="4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4"/>
      <c r="B368" s="28"/>
      <c r="C368" s="4"/>
      <c r="D368" s="4"/>
      <c r="E368" s="4"/>
      <c r="F368" s="4"/>
      <c r="G368" s="3" t="str">
        <f t="shared" si="5"/>
        <v/>
      </c>
      <c r="H368" s="4"/>
      <c r="I368" s="4"/>
      <c r="J368" s="4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4"/>
      <c r="B369" s="28"/>
      <c r="C369" s="4"/>
      <c r="D369" s="4"/>
      <c r="E369" s="4"/>
      <c r="F369" s="4"/>
      <c r="G369" s="3" t="str">
        <f t="shared" si="5"/>
        <v/>
      </c>
      <c r="H369" s="4"/>
      <c r="I369" s="4"/>
      <c r="J369" s="4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4"/>
      <c r="B370" s="28"/>
      <c r="C370" s="4"/>
      <c r="D370" s="4"/>
      <c r="E370" s="4"/>
      <c r="F370" s="4"/>
      <c r="G370" s="3" t="str">
        <f t="shared" si="5"/>
        <v/>
      </c>
      <c r="H370" s="4"/>
      <c r="I370" s="4"/>
      <c r="J370" s="4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4"/>
      <c r="B371" s="28"/>
      <c r="C371" s="4"/>
      <c r="D371" s="4"/>
      <c r="E371" s="4"/>
      <c r="F371" s="4"/>
      <c r="G371" s="3" t="str">
        <f t="shared" si="5"/>
        <v/>
      </c>
      <c r="H371" s="4"/>
      <c r="I371" s="4"/>
      <c r="J371" s="4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4"/>
      <c r="B372" s="28"/>
      <c r="C372" s="4"/>
      <c r="D372" s="4"/>
      <c r="E372" s="4"/>
      <c r="F372" s="4"/>
      <c r="G372" s="3" t="str">
        <f t="shared" si="5"/>
        <v/>
      </c>
      <c r="H372" s="4"/>
      <c r="I372" s="4"/>
      <c r="J372" s="4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4"/>
      <c r="B373" s="28"/>
      <c r="C373" s="4"/>
      <c r="D373" s="4"/>
      <c r="E373" s="4"/>
      <c r="F373" s="4"/>
      <c r="G373" s="3" t="str">
        <f t="shared" si="5"/>
        <v/>
      </c>
      <c r="H373" s="4"/>
      <c r="I373" s="4"/>
      <c r="J373" s="4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4"/>
      <c r="B374" s="28"/>
      <c r="C374" s="4"/>
      <c r="D374" s="4"/>
      <c r="E374" s="4"/>
      <c r="F374" s="4"/>
      <c r="G374" s="3" t="str">
        <f t="shared" si="5"/>
        <v/>
      </c>
      <c r="H374" s="4"/>
      <c r="I374" s="4"/>
      <c r="J374" s="4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4"/>
      <c r="B375" s="28"/>
      <c r="C375" s="4"/>
      <c r="D375" s="4"/>
      <c r="E375" s="4"/>
      <c r="F375" s="4"/>
      <c r="G375" s="3" t="str">
        <f t="shared" si="5"/>
        <v/>
      </c>
      <c r="H375" s="4"/>
      <c r="I375" s="4"/>
      <c r="J375" s="4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4"/>
      <c r="B376" s="28"/>
      <c r="C376" s="4"/>
      <c r="D376" s="4"/>
      <c r="E376" s="4"/>
      <c r="F376" s="4"/>
      <c r="G376" s="3" t="str">
        <f t="shared" si="5"/>
        <v/>
      </c>
      <c r="H376" s="4"/>
      <c r="I376" s="4"/>
      <c r="J376" s="4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4"/>
      <c r="B377" s="28"/>
      <c r="C377" s="4"/>
      <c r="D377" s="4"/>
      <c r="E377" s="4"/>
      <c r="F377" s="4"/>
      <c r="G377" s="3" t="str">
        <f t="shared" si="5"/>
        <v/>
      </c>
      <c r="H377" s="4"/>
      <c r="I377" s="4"/>
      <c r="J377" s="4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4"/>
      <c r="B378" s="28"/>
      <c r="C378" s="4"/>
      <c r="D378" s="4"/>
      <c r="E378" s="4"/>
      <c r="F378" s="4"/>
      <c r="G378" s="3" t="str">
        <f t="shared" si="5"/>
        <v/>
      </c>
      <c r="H378" s="4"/>
      <c r="I378" s="4"/>
      <c r="J378" s="4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4"/>
      <c r="B379" s="28"/>
      <c r="C379" s="4"/>
      <c r="D379" s="4"/>
      <c r="E379" s="4"/>
      <c r="F379" s="4"/>
      <c r="G379" s="3" t="str">
        <f t="shared" si="5"/>
        <v/>
      </c>
      <c r="H379" s="4"/>
      <c r="I379" s="4"/>
      <c r="J379" s="4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4"/>
      <c r="B380" s="28"/>
      <c r="C380" s="4"/>
      <c r="D380" s="4"/>
      <c r="E380" s="4"/>
      <c r="F380" s="4"/>
      <c r="G380" s="3" t="str">
        <f t="shared" si="5"/>
        <v/>
      </c>
      <c r="H380" s="4"/>
      <c r="I380" s="4"/>
      <c r="J380" s="4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4"/>
      <c r="B381" s="28"/>
      <c r="C381" s="4"/>
      <c r="D381" s="4"/>
      <c r="E381" s="4"/>
      <c r="F381" s="4"/>
      <c r="G381" s="3" t="str">
        <f t="shared" si="5"/>
        <v/>
      </c>
      <c r="H381" s="4"/>
      <c r="I381" s="4"/>
      <c r="J381" s="4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4"/>
      <c r="B382" s="28"/>
      <c r="C382" s="4"/>
      <c r="D382" s="4"/>
      <c r="E382" s="4"/>
      <c r="F382" s="4"/>
      <c r="G382" s="3" t="str">
        <f t="shared" si="5"/>
        <v/>
      </c>
      <c r="H382" s="4"/>
      <c r="I382" s="4"/>
      <c r="J382" s="4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4"/>
      <c r="B383" s="28"/>
      <c r="C383" s="4"/>
      <c r="D383" s="4"/>
      <c r="E383" s="4"/>
      <c r="F383" s="4"/>
      <c r="G383" s="3" t="str">
        <f t="shared" si="5"/>
        <v/>
      </c>
      <c r="H383" s="4"/>
      <c r="I383" s="4"/>
      <c r="J383" s="4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4"/>
      <c r="B384" s="28"/>
      <c r="C384" s="4"/>
      <c r="D384" s="4"/>
      <c r="E384" s="4"/>
      <c r="F384" s="4"/>
      <c r="G384" s="3" t="str">
        <f t="shared" si="5"/>
        <v/>
      </c>
      <c r="H384" s="4"/>
      <c r="I384" s="4"/>
      <c r="J384" s="4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4"/>
      <c r="B385" s="28"/>
      <c r="C385" s="4"/>
      <c r="D385" s="4"/>
      <c r="E385" s="4"/>
      <c r="F385" s="4"/>
      <c r="G385" s="3" t="str">
        <f t="shared" si="5"/>
        <v/>
      </c>
      <c r="H385" s="4"/>
      <c r="I385" s="4"/>
      <c r="J385" s="4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4"/>
      <c r="B386" s="28"/>
      <c r="C386" s="4"/>
      <c r="D386" s="4"/>
      <c r="E386" s="4"/>
      <c r="F386" s="4"/>
      <c r="G386" s="3" t="str">
        <f t="shared" si="5"/>
        <v/>
      </c>
      <c r="H386" s="4"/>
      <c r="I386" s="4"/>
      <c r="J386" s="4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4"/>
      <c r="B387" s="28"/>
      <c r="C387" s="4"/>
      <c r="D387" s="4"/>
      <c r="E387" s="4"/>
      <c r="F387" s="4"/>
      <c r="G387" s="3" t="str">
        <f t="shared" si="5"/>
        <v/>
      </c>
      <c r="H387" s="4"/>
      <c r="I387" s="4"/>
      <c r="J387" s="4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4"/>
      <c r="B388" s="28"/>
      <c r="C388" s="4"/>
      <c r="D388" s="4"/>
      <c r="E388" s="4"/>
      <c r="F388" s="4"/>
      <c r="G388" s="3" t="str">
        <f t="shared" si="5"/>
        <v/>
      </c>
      <c r="H388" s="4"/>
      <c r="I388" s="4"/>
      <c r="J388" s="4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4"/>
      <c r="B389" s="28"/>
      <c r="C389" s="4"/>
      <c r="D389" s="4"/>
      <c r="E389" s="4"/>
      <c r="F389" s="4"/>
      <c r="G389" s="3" t="str">
        <f t="shared" ref="G389:G452" si="6">IF(D389="","",D389)</f>
        <v/>
      </c>
      <c r="H389" s="4"/>
      <c r="I389" s="4"/>
      <c r="J389" s="4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4"/>
      <c r="B390" s="28"/>
      <c r="C390" s="4"/>
      <c r="D390" s="4"/>
      <c r="E390" s="4"/>
      <c r="F390" s="4"/>
      <c r="G390" s="3" t="str">
        <f t="shared" si="6"/>
        <v/>
      </c>
      <c r="H390" s="4"/>
      <c r="I390" s="4"/>
      <c r="J390" s="4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4"/>
      <c r="B391" s="28"/>
      <c r="C391" s="4"/>
      <c r="D391" s="4"/>
      <c r="E391" s="4"/>
      <c r="F391" s="4"/>
      <c r="G391" s="3" t="str">
        <f t="shared" si="6"/>
        <v/>
      </c>
      <c r="H391" s="4"/>
      <c r="I391" s="4"/>
      <c r="J391" s="4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4"/>
      <c r="B392" s="28"/>
      <c r="C392" s="4"/>
      <c r="D392" s="4"/>
      <c r="E392" s="4"/>
      <c r="F392" s="4"/>
      <c r="G392" s="3" t="str">
        <f t="shared" si="6"/>
        <v/>
      </c>
      <c r="H392" s="4"/>
      <c r="I392" s="4"/>
      <c r="J392" s="4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4"/>
      <c r="B393" s="28"/>
      <c r="C393" s="4"/>
      <c r="D393" s="4"/>
      <c r="E393" s="4"/>
      <c r="F393" s="4"/>
      <c r="G393" s="3" t="str">
        <f t="shared" si="6"/>
        <v/>
      </c>
      <c r="H393" s="4"/>
      <c r="I393" s="4"/>
      <c r="J393" s="4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4"/>
      <c r="B394" s="28"/>
      <c r="C394" s="4"/>
      <c r="D394" s="4"/>
      <c r="E394" s="4"/>
      <c r="F394" s="4"/>
      <c r="G394" s="3" t="str">
        <f t="shared" si="6"/>
        <v/>
      </c>
      <c r="H394" s="4"/>
      <c r="I394" s="4"/>
      <c r="J394" s="4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4"/>
      <c r="B395" s="28"/>
      <c r="C395" s="4"/>
      <c r="D395" s="4"/>
      <c r="E395" s="4"/>
      <c r="F395" s="4"/>
      <c r="G395" s="3" t="str">
        <f t="shared" si="6"/>
        <v/>
      </c>
      <c r="H395" s="4"/>
      <c r="I395" s="4"/>
      <c r="J395" s="4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4"/>
      <c r="B396" s="28"/>
      <c r="C396" s="4"/>
      <c r="D396" s="4"/>
      <c r="E396" s="4"/>
      <c r="F396" s="4"/>
      <c r="G396" s="3" t="str">
        <f t="shared" si="6"/>
        <v/>
      </c>
      <c r="H396" s="4"/>
      <c r="I396" s="4"/>
      <c r="J396" s="4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4"/>
      <c r="B397" s="28"/>
      <c r="C397" s="4"/>
      <c r="D397" s="4"/>
      <c r="E397" s="4"/>
      <c r="F397" s="4"/>
      <c r="G397" s="3" t="str">
        <f t="shared" si="6"/>
        <v/>
      </c>
      <c r="H397" s="4"/>
      <c r="I397" s="4"/>
      <c r="J397" s="4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4"/>
      <c r="B398" s="28"/>
      <c r="C398" s="4"/>
      <c r="D398" s="4"/>
      <c r="E398" s="4"/>
      <c r="F398" s="4"/>
      <c r="G398" s="3" t="str">
        <f t="shared" si="6"/>
        <v/>
      </c>
      <c r="H398" s="4"/>
      <c r="I398" s="4"/>
      <c r="J398" s="4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4"/>
      <c r="B399" s="28"/>
      <c r="C399" s="4"/>
      <c r="D399" s="4"/>
      <c r="E399" s="4"/>
      <c r="F399" s="4"/>
      <c r="G399" s="3" t="str">
        <f t="shared" si="6"/>
        <v/>
      </c>
      <c r="H399" s="4"/>
      <c r="I399" s="4"/>
      <c r="J399" s="4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4"/>
      <c r="B400" s="28"/>
      <c r="C400" s="4"/>
      <c r="D400" s="4"/>
      <c r="E400" s="4"/>
      <c r="F400" s="4"/>
      <c r="G400" s="3" t="str">
        <f t="shared" si="6"/>
        <v/>
      </c>
      <c r="H400" s="4"/>
      <c r="I400" s="4"/>
      <c r="J400" s="4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4"/>
      <c r="B401" s="28"/>
      <c r="C401" s="4"/>
      <c r="D401" s="4"/>
      <c r="E401" s="4"/>
      <c r="F401" s="4"/>
      <c r="G401" s="3" t="str">
        <f t="shared" si="6"/>
        <v/>
      </c>
      <c r="H401" s="4"/>
      <c r="I401" s="4"/>
      <c r="J401" s="4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4"/>
      <c r="B402" s="28"/>
      <c r="C402" s="4"/>
      <c r="D402" s="4"/>
      <c r="E402" s="4"/>
      <c r="F402" s="4"/>
      <c r="G402" s="3" t="str">
        <f t="shared" si="6"/>
        <v/>
      </c>
      <c r="H402" s="4"/>
      <c r="I402" s="4"/>
      <c r="J402" s="4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4"/>
      <c r="B403" s="28"/>
      <c r="C403" s="4"/>
      <c r="D403" s="4"/>
      <c r="E403" s="4"/>
      <c r="F403" s="4"/>
      <c r="G403" s="3" t="str">
        <f t="shared" si="6"/>
        <v/>
      </c>
      <c r="H403" s="4"/>
      <c r="I403" s="4"/>
      <c r="J403" s="4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4"/>
      <c r="B404" s="28"/>
      <c r="C404" s="4"/>
      <c r="D404" s="4"/>
      <c r="E404" s="4"/>
      <c r="F404" s="4"/>
      <c r="G404" s="3" t="str">
        <f t="shared" si="6"/>
        <v/>
      </c>
      <c r="H404" s="4"/>
      <c r="I404" s="4"/>
      <c r="J404" s="4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4"/>
      <c r="B405" s="28"/>
      <c r="C405" s="4"/>
      <c r="D405" s="4"/>
      <c r="E405" s="4"/>
      <c r="F405" s="4"/>
      <c r="G405" s="3" t="str">
        <f t="shared" si="6"/>
        <v/>
      </c>
      <c r="H405" s="4"/>
      <c r="I405" s="4"/>
      <c r="J405" s="4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4"/>
      <c r="B406" s="28"/>
      <c r="C406" s="4"/>
      <c r="D406" s="4"/>
      <c r="E406" s="4"/>
      <c r="F406" s="4"/>
      <c r="G406" s="3" t="str">
        <f t="shared" si="6"/>
        <v/>
      </c>
      <c r="H406" s="4"/>
      <c r="I406" s="4"/>
      <c r="J406" s="4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4"/>
      <c r="B407" s="28"/>
      <c r="C407" s="4"/>
      <c r="D407" s="4"/>
      <c r="E407" s="4"/>
      <c r="F407" s="4"/>
      <c r="G407" s="3" t="str">
        <f t="shared" si="6"/>
        <v/>
      </c>
      <c r="H407" s="4"/>
      <c r="I407" s="4"/>
      <c r="J407" s="4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4"/>
      <c r="B408" s="28"/>
      <c r="C408" s="4"/>
      <c r="D408" s="4"/>
      <c r="E408" s="4"/>
      <c r="F408" s="4"/>
      <c r="G408" s="3" t="str">
        <f t="shared" si="6"/>
        <v/>
      </c>
      <c r="H408" s="4"/>
      <c r="I408" s="4"/>
      <c r="J408" s="4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4"/>
      <c r="B409" s="28"/>
      <c r="C409" s="4"/>
      <c r="D409" s="4"/>
      <c r="E409" s="4"/>
      <c r="F409" s="4"/>
      <c r="G409" s="3" t="str">
        <f t="shared" si="6"/>
        <v/>
      </c>
      <c r="H409" s="4"/>
      <c r="I409" s="4"/>
      <c r="J409" s="4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4"/>
      <c r="B410" s="28"/>
      <c r="C410" s="4"/>
      <c r="D410" s="4"/>
      <c r="E410" s="4"/>
      <c r="F410" s="4"/>
      <c r="G410" s="3" t="str">
        <f t="shared" si="6"/>
        <v/>
      </c>
      <c r="H410" s="4"/>
      <c r="I410" s="4"/>
      <c r="J410" s="4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4"/>
      <c r="B411" s="28"/>
      <c r="C411" s="4"/>
      <c r="D411" s="4"/>
      <c r="E411" s="4"/>
      <c r="F411" s="4"/>
      <c r="G411" s="3" t="str">
        <f t="shared" si="6"/>
        <v/>
      </c>
      <c r="H411" s="4"/>
      <c r="I411" s="4"/>
      <c r="J411" s="4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4"/>
      <c r="B412" s="28"/>
      <c r="C412" s="4"/>
      <c r="D412" s="4"/>
      <c r="E412" s="4"/>
      <c r="F412" s="4"/>
      <c r="G412" s="3" t="str">
        <f t="shared" si="6"/>
        <v/>
      </c>
      <c r="H412" s="4"/>
      <c r="I412" s="4"/>
      <c r="J412" s="4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4"/>
      <c r="B413" s="28"/>
      <c r="C413" s="4"/>
      <c r="D413" s="4"/>
      <c r="E413" s="4"/>
      <c r="F413" s="4"/>
      <c r="G413" s="3" t="str">
        <f t="shared" si="6"/>
        <v/>
      </c>
      <c r="H413" s="4"/>
      <c r="I413" s="4"/>
      <c r="J413" s="4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4"/>
      <c r="B414" s="28"/>
      <c r="C414" s="4"/>
      <c r="D414" s="4"/>
      <c r="E414" s="4"/>
      <c r="F414" s="4"/>
      <c r="G414" s="3" t="str">
        <f t="shared" si="6"/>
        <v/>
      </c>
      <c r="H414" s="4"/>
      <c r="I414" s="4"/>
      <c r="J414" s="4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4"/>
      <c r="B415" s="28"/>
      <c r="C415" s="4"/>
      <c r="D415" s="4"/>
      <c r="E415" s="4"/>
      <c r="F415" s="4"/>
      <c r="G415" s="3" t="str">
        <f t="shared" si="6"/>
        <v/>
      </c>
      <c r="H415" s="4"/>
      <c r="I415" s="4"/>
      <c r="J415" s="4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4"/>
      <c r="B416" s="28"/>
      <c r="C416" s="4"/>
      <c r="D416" s="4"/>
      <c r="E416" s="4"/>
      <c r="F416" s="4"/>
      <c r="G416" s="3" t="str">
        <f t="shared" si="6"/>
        <v/>
      </c>
      <c r="H416" s="4"/>
      <c r="I416" s="4"/>
      <c r="J416" s="4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4"/>
      <c r="B417" s="28"/>
      <c r="C417" s="4"/>
      <c r="D417" s="4"/>
      <c r="E417" s="4"/>
      <c r="F417" s="4"/>
      <c r="G417" s="3" t="str">
        <f t="shared" si="6"/>
        <v/>
      </c>
      <c r="H417" s="4"/>
      <c r="I417" s="4"/>
      <c r="J417" s="4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4"/>
      <c r="B418" s="28"/>
      <c r="C418" s="4"/>
      <c r="D418" s="4"/>
      <c r="E418" s="4"/>
      <c r="F418" s="4"/>
      <c r="G418" s="3" t="str">
        <f t="shared" si="6"/>
        <v/>
      </c>
      <c r="H418" s="4"/>
      <c r="I418" s="4"/>
      <c r="J418" s="4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4"/>
      <c r="B419" s="28"/>
      <c r="C419" s="4"/>
      <c r="D419" s="4"/>
      <c r="E419" s="4"/>
      <c r="F419" s="4"/>
      <c r="G419" s="3" t="str">
        <f t="shared" si="6"/>
        <v/>
      </c>
      <c r="H419" s="4"/>
      <c r="I419" s="4"/>
      <c r="J419" s="4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4"/>
      <c r="B420" s="28"/>
      <c r="C420" s="4"/>
      <c r="D420" s="4"/>
      <c r="E420" s="4"/>
      <c r="F420" s="4"/>
      <c r="G420" s="3" t="str">
        <f t="shared" si="6"/>
        <v/>
      </c>
      <c r="H420" s="4"/>
      <c r="I420" s="4"/>
      <c r="J420" s="4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4"/>
      <c r="B421" s="28"/>
      <c r="C421" s="4"/>
      <c r="D421" s="4"/>
      <c r="E421" s="4"/>
      <c r="F421" s="4"/>
      <c r="G421" s="3" t="str">
        <f t="shared" si="6"/>
        <v/>
      </c>
      <c r="H421" s="4"/>
      <c r="I421" s="4"/>
      <c r="J421" s="4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4"/>
      <c r="B422" s="28"/>
      <c r="C422" s="4"/>
      <c r="D422" s="4"/>
      <c r="E422" s="4"/>
      <c r="F422" s="4"/>
      <c r="G422" s="3" t="str">
        <f t="shared" si="6"/>
        <v/>
      </c>
      <c r="H422" s="4"/>
      <c r="I422" s="4"/>
      <c r="J422" s="4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4"/>
      <c r="B423" s="28"/>
      <c r="C423" s="4"/>
      <c r="D423" s="4"/>
      <c r="E423" s="4"/>
      <c r="F423" s="4"/>
      <c r="G423" s="3" t="str">
        <f t="shared" si="6"/>
        <v/>
      </c>
      <c r="H423" s="4"/>
      <c r="I423" s="4"/>
      <c r="J423" s="4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4"/>
      <c r="B424" s="28"/>
      <c r="C424" s="4"/>
      <c r="D424" s="4"/>
      <c r="E424" s="4"/>
      <c r="F424" s="4"/>
      <c r="G424" s="3" t="str">
        <f t="shared" si="6"/>
        <v/>
      </c>
      <c r="H424" s="4"/>
      <c r="I424" s="4"/>
      <c r="J424" s="4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4"/>
      <c r="B425" s="28"/>
      <c r="C425" s="4"/>
      <c r="D425" s="4"/>
      <c r="E425" s="4"/>
      <c r="F425" s="4"/>
      <c r="G425" s="3" t="str">
        <f t="shared" si="6"/>
        <v/>
      </c>
      <c r="H425" s="4"/>
      <c r="I425" s="4"/>
      <c r="J425" s="4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4"/>
      <c r="B426" s="28"/>
      <c r="C426" s="4"/>
      <c r="D426" s="4"/>
      <c r="E426" s="4"/>
      <c r="F426" s="4"/>
      <c r="G426" s="3" t="str">
        <f t="shared" si="6"/>
        <v/>
      </c>
      <c r="H426" s="4"/>
      <c r="I426" s="4"/>
      <c r="J426" s="4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4"/>
      <c r="B427" s="28"/>
      <c r="C427" s="4"/>
      <c r="D427" s="4"/>
      <c r="E427" s="4"/>
      <c r="F427" s="4"/>
      <c r="G427" s="3" t="str">
        <f t="shared" si="6"/>
        <v/>
      </c>
      <c r="H427" s="4"/>
      <c r="I427" s="4"/>
      <c r="J427" s="4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4"/>
      <c r="B428" s="28"/>
      <c r="C428" s="4"/>
      <c r="D428" s="4"/>
      <c r="E428" s="4"/>
      <c r="F428" s="4"/>
      <c r="G428" s="3" t="str">
        <f t="shared" si="6"/>
        <v/>
      </c>
      <c r="H428" s="4"/>
      <c r="I428" s="4"/>
      <c r="J428" s="4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4"/>
      <c r="B429" s="28"/>
      <c r="C429" s="4"/>
      <c r="D429" s="4"/>
      <c r="E429" s="4"/>
      <c r="F429" s="4"/>
      <c r="G429" s="3" t="str">
        <f t="shared" si="6"/>
        <v/>
      </c>
      <c r="H429" s="4"/>
      <c r="I429" s="4"/>
      <c r="J429" s="4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4"/>
      <c r="B430" s="28"/>
      <c r="C430" s="4"/>
      <c r="D430" s="4"/>
      <c r="E430" s="4"/>
      <c r="F430" s="4"/>
      <c r="G430" s="3" t="str">
        <f t="shared" si="6"/>
        <v/>
      </c>
      <c r="H430" s="4"/>
      <c r="I430" s="4"/>
      <c r="J430" s="4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4"/>
      <c r="B431" s="28"/>
      <c r="C431" s="4"/>
      <c r="D431" s="4"/>
      <c r="E431" s="4"/>
      <c r="F431" s="4"/>
      <c r="G431" s="3" t="str">
        <f t="shared" si="6"/>
        <v/>
      </c>
      <c r="H431" s="4"/>
      <c r="I431" s="4"/>
      <c r="J431" s="4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4"/>
      <c r="B432" s="28"/>
      <c r="C432" s="4"/>
      <c r="D432" s="4"/>
      <c r="E432" s="4"/>
      <c r="F432" s="4"/>
      <c r="G432" s="3" t="str">
        <f t="shared" si="6"/>
        <v/>
      </c>
      <c r="H432" s="4"/>
      <c r="I432" s="4"/>
      <c r="J432" s="4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4"/>
      <c r="B433" s="28"/>
      <c r="C433" s="4"/>
      <c r="D433" s="4"/>
      <c r="E433" s="4"/>
      <c r="F433" s="4"/>
      <c r="G433" s="3" t="str">
        <f t="shared" si="6"/>
        <v/>
      </c>
      <c r="H433" s="4"/>
      <c r="I433" s="4"/>
      <c r="J433" s="4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4"/>
      <c r="B434" s="28"/>
      <c r="C434" s="4"/>
      <c r="D434" s="4"/>
      <c r="E434" s="4"/>
      <c r="F434" s="4"/>
      <c r="G434" s="3" t="str">
        <f t="shared" si="6"/>
        <v/>
      </c>
      <c r="H434" s="4"/>
      <c r="I434" s="4"/>
      <c r="J434" s="4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4"/>
      <c r="B435" s="28"/>
      <c r="C435" s="4"/>
      <c r="D435" s="4"/>
      <c r="E435" s="4"/>
      <c r="F435" s="4"/>
      <c r="G435" s="3" t="str">
        <f t="shared" si="6"/>
        <v/>
      </c>
      <c r="H435" s="4"/>
      <c r="I435" s="4"/>
      <c r="J435" s="4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4"/>
      <c r="B436" s="28"/>
      <c r="C436" s="4"/>
      <c r="D436" s="4"/>
      <c r="E436" s="4"/>
      <c r="F436" s="4"/>
      <c r="G436" s="3" t="str">
        <f t="shared" si="6"/>
        <v/>
      </c>
      <c r="H436" s="4"/>
      <c r="I436" s="4"/>
      <c r="J436" s="4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4"/>
      <c r="B437" s="28"/>
      <c r="C437" s="4"/>
      <c r="D437" s="4"/>
      <c r="E437" s="4"/>
      <c r="F437" s="4"/>
      <c r="G437" s="3" t="str">
        <f t="shared" si="6"/>
        <v/>
      </c>
      <c r="H437" s="4"/>
      <c r="I437" s="4"/>
      <c r="J437" s="4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4"/>
      <c r="B438" s="28"/>
      <c r="C438" s="4"/>
      <c r="D438" s="4"/>
      <c r="E438" s="4"/>
      <c r="F438" s="4"/>
      <c r="G438" s="3" t="str">
        <f t="shared" si="6"/>
        <v/>
      </c>
      <c r="H438" s="4"/>
      <c r="I438" s="4"/>
      <c r="J438" s="4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4"/>
      <c r="B439" s="28"/>
      <c r="C439" s="4"/>
      <c r="D439" s="4"/>
      <c r="E439" s="4"/>
      <c r="F439" s="4"/>
      <c r="G439" s="3" t="str">
        <f t="shared" si="6"/>
        <v/>
      </c>
      <c r="H439" s="4"/>
      <c r="I439" s="4"/>
      <c r="J439" s="4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4"/>
      <c r="B440" s="28"/>
      <c r="C440" s="4"/>
      <c r="D440" s="4"/>
      <c r="E440" s="4"/>
      <c r="F440" s="4"/>
      <c r="G440" s="3" t="str">
        <f t="shared" si="6"/>
        <v/>
      </c>
      <c r="H440" s="4"/>
      <c r="I440" s="4"/>
      <c r="J440" s="4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4"/>
      <c r="B441" s="28"/>
      <c r="C441" s="4"/>
      <c r="D441" s="4"/>
      <c r="E441" s="4"/>
      <c r="F441" s="4"/>
      <c r="G441" s="3" t="str">
        <f t="shared" si="6"/>
        <v/>
      </c>
      <c r="H441" s="4"/>
      <c r="I441" s="4"/>
      <c r="J441" s="4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4"/>
      <c r="B442" s="28"/>
      <c r="C442" s="4"/>
      <c r="D442" s="4"/>
      <c r="E442" s="4"/>
      <c r="F442" s="4"/>
      <c r="G442" s="3" t="str">
        <f t="shared" si="6"/>
        <v/>
      </c>
      <c r="H442" s="4"/>
      <c r="I442" s="4"/>
      <c r="J442" s="4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4"/>
      <c r="B443" s="28"/>
      <c r="C443" s="4"/>
      <c r="D443" s="4"/>
      <c r="E443" s="4"/>
      <c r="F443" s="4"/>
      <c r="G443" s="3" t="str">
        <f t="shared" si="6"/>
        <v/>
      </c>
      <c r="H443" s="4"/>
      <c r="I443" s="4"/>
      <c r="J443" s="4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4"/>
      <c r="B444" s="28"/>
      <c r="C444" s="4"/>
      <c r="D444" s="4"/>
      <c r="E444" s="4"/>
      <c r="F444" s="4"/>
      <c r="G444" s="3" t="str">
        <f t="shared" si="6"/>
        <v/>
      </c>
      <c r="H444" s="4"/>
      <c r="I444" s="4"/>
      <c r="J444" s="4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4"/>
      <c r="B445" s="28"/>
      <c r="C445" s="4"/>
      <c r="D445" s="4"/>
      <c r="E445" s="4"/>
      <c r="F445" s="4"/>
      <c r="G445" s="3" t="str">
        <f t="shared" si="6"/>
        <v/>
      </c>
      <c r="H445" s="4"/>
      <c r="I445" s="4"/>
      <c r="J445" s="4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4"/>
      <c r="B446" s="28"/>
      <c r="C446" s="4"/>
      <c r="D446" s="4"/>
      <c r="E446" s="4"/>
      <c r="F446" s="4"/>
      <c r="G446" s="3" t="str">
        <f t="shared" si="6"/>
        <v/>
      </c>
      <c r="H446" s="4"/>
      <c r="I446" s="4"/>
      <c r="J446" s="4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4"/>
      <c r="B447" s="28"/>
      <c r="C447" s="4"/>
      <c r="D447" s="4"/>
      <c r="E447" s="4"/>
      <c r="F447" s="4"/>
      <c r="G447" s="3" t="str">
        <f t="shared" si="6"/>
        <v/>
      </c>
      <c r="H447" s="4"/>
      <c r="I447" s="4"/>
      <c r="J447" s="4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4"/>
      <c r="B448" s="28"/>
      <c r="C448" s="4"/>
      <c r="D448" s="4"/>
      <c r="E448" s="4"/>
      <c r="F448" s="4"/>
      <c r="G448" s="3" t="str">
        <f t="shared" si="6"/>
        <v/>
      </c>
      <c r="H448" s="4"/>
      <c r="I448" s="4"/>
      <c r="J448" s="4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4"/>
      <c r="B449" s="28"/>
      <c r="C449" s="4"/>
      <c r="D449" s="4"/>
      <c r="E449" s="4"/>
      <c r="F449" s="4"/>
      <c r="G449" s="3" t="str">
        <f t="shared" si="6"/>
        <v/>
      </c>
      <c r="H449" s="4"/>
      <c r="I449" s="4"/>
      <c r="J449" s="4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4"/>
      <c r="B450" s="28"/>
      <c r="C450" s="4"/>
      <c r="D450" s="4"/>
      <c r="E450" s="4"/>
      <c r="F450" s="4"/>
      <c r="G450" s="3" t="str">
        <f t="shared" si="6"/>
        <v/>
      </c>
      <c r="H450" s="4"/>
      <c r="I450" s="4"/>
      <c r="J450" s="4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4"/>
      <c r="B451" s="28"/>
      <c r="C451" s="4"/>
      <c r="D451" s="4"/>
      <c r="E451" s="4"/>
      <c r="F451" s="4"/>
      <c r="G451" s="3" t="str">
        <f t="shared" si="6"/>
        <v/>
      </c>
      <c r="H451" s="4"/>
      <c r="I451" s="4"/>
      <c r="J451" s="4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4"/>
      <c r="B452" s="28"/>
      <c r="C452" s="4"/>
      <c r="D452" s="4"/>
      <c r="E452" s="4"/>
      <c r="F452" s="4"/>
      <c r="G452" s="3" t="str">
        <f t="shared" si="6"/>
        <v/>
      </c>
      <c r="H452" s="4"/>
      <c r="I452" s="4"/>
      <c r="J452" s="4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4"/>
      <c r="B453" s="28"/>
      <c r="C453" s="4"/>
      <c r="D453" s="4"/>
      <c r="E453" s="4"/>
      <c r="F453" s="4"/>
      <c r="G453" s="3" t="str">
        <f t="shared" ref="G453:G504" si="7">IF(D453="","",D453)</f>
        <v/>
      </c>
      <c r="H453" s="4"/>
      <c r="I453" s="4"/>
      <c r="J453" s="4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4"/>
      <c r="B454" s="28"/>
      <c r="C454" s="4"/>
      <c r="D454" s="4"/>
      <c r="E454" s="4"/>
      <c r="F454" s="4"/>
      <c r="G454" s="3" t="str">
        <f t="shared" si="7"/>
        <v/>
      </c>
      <c r="H454" s="4"/>
      <c r="I454" s="4"/>
      <c r="J454" s="4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4"/>
      <c r="B455" s="28"/>
      <c r="C455" s="4"/>
      <c r="D455" s="4"/>
      <c r="E455" s="4"/>
      <c r="F455" s="4"/>
      <c r="G455" s="3" t="str">
        <f t="shared" si="7"/>
        <v/>
      </c>
      <c r="H455" s="4"/>
      <c r="I455" s="4"/>
      <c r="J455" s="4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4"/>
      <c r="B456" s="28"/>
      <c r="C456" s="4"/>
      <c r="D456" s="4"/>
      <c r="E456" s="4"/>
      <c r="F456" s="4"/>
      <c r="G456" s="3" t="str">
        <f t="shared" si="7"/>
        <v/>
      </c>
      <c r="H456" s="4"/>
      <c r="I456" s="4"/>
      <c r="J456" s="4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4"/>
      <c r="B457" s="28"/>
      <c r="C457" s="4"/>
      <c r="D457" s="4"/>
      <c r="E457" s="4"/>
      <c r="F457" s="4"/>
      <c r="G457" s="3" t="str">
        <f t="shared" si="7"/>
        <v/>
      </c>
      <c r="H457" s="4"/>
      <c r="I457" s="4"/>
      <c r="J457" s="4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4"/>
      <c r="B458" s="28"/>
      <c r="C458" s="4"/>
      <c r="D458" s="4"/>
      <c r="E458" s="4"/>
      <c r="F458" s="4"/>
      <c r="G458" s="3" t="str">
        <f t="shared" si="7"/>
        <v/>
      </c>
      <c r="H458" s="4"/>
      <c r="I458" s="4"/>
      <c r="J458" s="4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4"/>
      <c r="B459" s="28"/>
      <c r="C459" s="4"/>
      <c r="D459" s="4"/>
      <c r="E459" s="4"/>
      <c r="F459" s="4"/>
      <c r="G459" s="3" t="str">
        <f t="shared" si="7"/>
        <v/>
      </c>
      <c r="H459" s="4"/>
      <c r="I459" s="4"/>
      <c r="J459" s="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4"/>
      <c r="B460" s="28"/>
      <c r="C460" s="4"/>
      <c r="D460" s="4"/>
      <c r="E460" s="4"/>
      <c r="F460" s="4"/>
      <c r="G460" s="3" t="str">
        <f t="shared" si="7"/>
        <v/>
      </c>
      <c r="H460" s="4"/>
      <c r="I460" s="4"/>
      <c r="J460" s="4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4"/>
      <c r="B461" s="28"/>
      <c r="C461" s="4"/>
      <c r="D461" s="4"/>
      <c r="E461" s="4"/>
      <c r="F461" s="4"/>
      <c r="G461" s="3" t="str">
        <f t="shared" si="7"/>
        <v/>
      </c>
      <c r="H461" s="4"/>
      <c r="I461" s="4"/>
      <c r="J461" s="4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4"/>
      <c r="B462" s="28"/>
      <c r="C462" s="4"/>
      <c r="D462" s="4"/>
      <c r="E462" s="4"/>
      <c r="F462" s="4"/>
      <c r="G462" s="3" t="str">
        <f t="shared" si="7"/>
        <v/>
      </c>
      <c r="H462" s="4"/>
      <c r="I462" s="4"/>
      <c r="J462" s="4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4"/>
      <c r="B463" s="28"/>
      <c r="C463" s="4"/>
      <c r="D463" s="4"/>
      <c r="E463" s="4"/>
      <c r="F463" s="4"/>
      <c r="G463" s="3" t="str">
        <f t="shared" si="7"/>
        <v/>
      </c>
      <c r="H463" s="4"/>
      <c r="I463" s="4"/>
      <c r="J463" s="4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4"/>
      <c r="B464" s="28"/>
      <c r="C464" s="4"/>
      <c r="D464" s="4"/>
      <c r="E464" s="4"/>
      <c r="F464" s="4"/>
      <c r="G464" s="3" t="str">
        <f t="shared" si="7"/>
        <v/>
      </c>
      <c r="H464" s="4"/>
      <c r="I464" s="4"/>
      <c r="J464" s="4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4"/>
      <c r="B465" s="28"/>
      <c r="C465" s="4"/>
      <c r="D465" s="4"/>
      <c r="E465" s="4"/>
      <c r="F465" s="4"/>
      <c r="G465" s="3" t="str">
        <f t="shared" si="7"/>
        <v/>
      </c>
      <c r="H465" s="4"/>
      <c r="I465" s="4"/>
      <c r="J465" s="4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4"/>
      <c r="B466" s="28"/>
      <c r="C466" s="4"/>
      <c r="D466" s="4"/>
      <c r="E466" s="4"/>
      <c r="F466" s="4"/>
      <c r="G466" s="3" t="str">
        <f t="shared" si="7"/>
        <v/>
      </c>
      <c r="H466" s="4"/>
      <c r="I466" s="4"/>
      <c r="J466" s="4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4"/>
      <c r="B467" s="28"/>
      <c r="C467" s="4"/>
      <c r="D467" s="4"/>
      <c r="E467" s="4"/>
      <c r="F467" s="4"/>
      <c r="G467" s="3" t="str">
        <f t="shared" si="7"/>
        <v/>
      </c>
      <c r="H467" s="4"/>
      <c r="I467" s="4"/>
      <c r="J467" s="4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4"/>
      <c r="B468" s="28"/>
      <c r="C468" s="4"/>
      <c r="D468" s="4"/>
      <c r="E468" s="4"/>
      <c r="F468" s="4"/>
      <c r="G468" s="3" t="str">
        <f t="shared" si="7"/>
        <v/>
      </c>
      <c r="H468" s="4"/>
      <c r="I468" s="4"/>
      <c r="J468" s="4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4"/>
      <c r="B469" s="28"/>
      <c r="C469" s="4"/>
      <c r="D469" s="4"/>
      <c r="E469" s="4"/>
      <c r="F469" s="4"/>
      <c r="G469" s="3" t="str">
        <f t="shared" si="7"/>
        <v/>
      </c>
      <c r="H469" s="4"/>
      <c r="I469" s="4"/>
      <c r="J469" s="4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4"/>
      <c r="B470" s="28"/>
      <c r="C470" s="4"/>
      <c r="D470" s="4"/>
      <c r="E470" s="4"/>
      <c r="F470" s="4"/>
      <c r="G470" s="3" t="str">
        <f t="shared" si="7"/>
        <v/>
      </c>
      <c r="H470" s="4"/>
      <c r="I470" s="4"/>
      <c r="J470" s="4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4"/>
      <c r="B471" s="28"/>
      <c r="C471" s="4"/>
      <c r="D471" s="4"/>
      <c r="E471" s="4"/>
      <c r="F471" s="4"/>
      <c r="G471" s="3" t="str">
        <f t="shared" si="7"/>
        <v/>
      </c>
      <c r="H471" s="4"/>
      <c r="I471" s="4"/>
      <c r="J471" s="4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4"/>
      <c r="B472" s="28"/>
      <c r="C472" s="4"/>
      <c r="D472" s="4"/>
      <c r="E472" s="4"/>
      <c r="F472" s="4"/>
      <c r="G472" s="3" t="str">
        <f t="shared" si="7"/>
        <v/>
      </c>
      <c r="H472" s="4"/>
      <c r="I472" s="4"/>
      <c r="J472" s="4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4"/>
      <c r="B473" s="28"/>
      <c r="C473" s="4"/>
      <c r="D473" s="4"/>
      <c r="E473" s="4"/>
      <c r="F473" s="4"/>
      <c r="G473" s="3" t="str">
        <f t="shared" si="7"/>
        <v/>
      </c>
      <c r="H473" s="4"/>
      <c r="I473" s="4"/>
      <c r="J473" s="4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4"/>
      <c r="B474" s="28"/>
      <c r="C474" s="4"/>
      <c r="D474" s="4"/>
      <c r="E474" s="4"/>
      <c r="F474" s="4"/>
      <c r="G474" s="3" t="str">
        <f t="shared" si="7"/>
        <v/>
      </c>
      <c r="H474" s="4"/>
      <c r="I474" s="4"/>
      <c r="J474" s="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4"/>
      <c r="B475" s="28"/>
      <c r="C475" s="4"/>
      <c r="D475" s="4"/>
      <c r="E475" s="4"/>
      <c r="F475" s="4"/>
      <c r="G475" s="3" t="str">
        <f t="shared" si="7"/>
        <v/>
      </c>
      <c r="H475" s="4"/>
      <c r="I475" s="4"/>
      <c r="J475" s="4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4"/>
      <c r="B476" s="28"/>
      <c r="C476" s="4"/>
      <c r="D476" s="4"/>
      <c r="E476" s="4"/>
      <c r="F476" s="4"/>
      <c r="G476" s="3" t="str">
        <f t="shared" si="7"/>
        <v/>
      </c>
      <c r="H476" s="4"/>
      <c r="I476" s="4"/>
      <c r="J476" s="4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4"/>
      <c r="B477" s="28"/>
      <c r="C477" s="4"/>
      <c r="D477" s="4"/>
      <c r="E477" s="4"/>
      <c r="F477" s="4"/>
      <c r="G477" s="3" t="str">
        <f t="shared" si="7"/>
        <v/>
      </c>
      <c r="H477" s="4"/>
      <c r="I477" s="4"/>
      <c r="J477" s="4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4"/>
      <c r="B478" s="28"/>
      <c r="C478" s="4"/>
      <c r="D478" s="4"/>
      <c r="E478" s="4"/>
      <c r="F478" s="4"/>
      <c r="G478" s="3" t="str">
        <f t="shared" si="7"/>
        <v/>
      </c>
      <c r="H478" s="4"/>
      <c r="I478" s="4"/>
      <c r="J478" s="4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4"/>
      <c r="B479" s="28"/>
      <c r="C479" s="4"/>
      <c r="D479" s="4"/>
      <c r="E479" s="4"/>
      <c r="F479" s="4"/>
      <c r="G479" s="3" t="str">
        <f t="shared" si="7"/>
        <v/>
      </c>
      <c r="H479" s="4"/>
      <c r="I479" s="4"/>
      <c r="J479" s="4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4"/>
      <c r="B480" s="28"/>
      <c r="C480" s="4"/>
      <c r="D480" s="4"/>
      <c r="E480" s="4"/>
      <c r="F480" s="4"/>
      <c r="G480" s="3" t="str">
        <f t="shared" si="7"/>
        <v/>
      </c>
      <c r="H480" s="4"/>
      <c r="I480" s="4"/>
      <c r="J480" s="4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4"/>
      <c r="B481" s="28"/>
      <c r="C481" s="4"/>
      <c r="D481" s="4"/>
      <c r="E481" s="4"/>
      <c r="F481" s="4"/>
      <c r="G481" s="3" t="str">
        <f t="shared" si="7"/>
        <v/>
      </c>
      <c r="H481" s="4"/>
      <c r="I481" s="4"/>
      <c r="J481" s="4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4"/>
      <c r="B482" s="28"/>
      <c r="C482" s="4"/>
      <c r="D482" s="4"/>
      <c r="E482" s="4"/>
      <c r="F482" s="4"/>
      <c r="G482" s="3" t="str">
        <f t="shared" si="7"/>
        <v/>
      </c>
      <c r="H482" s="4"/>
      <c r="I482" s="4"/>
      <c r="J482" s="4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4"/>
      <c r="B483" s="28"/>
      <c r="C483" s="4"/>
      <c r="D483" s="4"/>
      <c r="E483" s="4"/>
      <c r="F483" s="4"/>
      <c r="G483" s="3" t="str">
        <f t="shared" si="7"/>
        <v/>
      </c>
      <c r="H483" s="4"/>
      <c r="I483" s="4"/>
      <c r="J483" s="4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4"/>
      <c r="B484" s="28"/>
      <c r="C484" s="4"/>
      <c r="D484" s="4"/>
      <c r="E484" s="4"/>
      <c r="F484" s="4"/>
      <c r="G484" s="3" t="str">
        <f t="shared" si="7"/>
        <v/>
      </c>
      <c r="H484" s="4"/>
      <c r="I484" s="4"/>
      <c r="J484" s="4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4"/>
      <c r="B485" s="28"/>
      <c r="C485" s="4"/>
      <c r="D485" s="4"/>
      <c r="E485" s="4"/>
      <c r="F485" s="4"/>
      <c r="G485" s="3" t="str">
        <f t="shared" si="7"/>
        <v/>
      </c>
      <c r="H485" s="4"/>
      <c r="I485" s="4"/>
      <c r="J485" s="4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4"/>
      <c r="B486" s="28"/>
      <c r="C486" s="4"/>
      <c r="D486" s="4"/>
      <c r="E486" s="4"/>
      <c r="F486" s="4"/>
      <c r="G486" s="3" t="str">
        <f t="shared" si="7"/>
        <v/>
      </c>
      <c r="H486" s="4"/>
      <c r="I486" s="4"/>
      <c r="J486" s="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4"/>
      <c r="B487" s="28"/>
      <c r="C487" s="4"/>
      <c r="D487" s="4"/>
      <c r="E487" s="4"/>
      <c r="F487" s="4"/>
      <c r="G487" s="3" t="str">
        <f t="shared" si="7"/>
        <v/>
      </c>
      <c r="H487" s="4"/>
      <c r="I487" s="4"/>
      <c r="J487" s="4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4"/>
      <c r="B488" s="28"/>
      <c r="C488" s="4"/>
      <c r="D488" s="4"/>
      <c r="E488" s="4"/>
      <c r="F488" s="4"/>
      <c r="G488" s="3" t="str">
        <f t="shared" si="7"/>
        <v/>
      </c>
      <c r="H488" s="4"/>
      <c r="I488" s="4"/>
      <c r="J488" s="4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4"/>
      <c r="B489" s="28"/>
      <c r="C489" s="4"/>
      <c r="D489" s="4"/>
      <c r="E489" s="4"/>
      <c r="F489" s="4"/>
      <c r="G489" s="3" t="str">
        <f t="shared" si="7"/>
        <v/>
      </c>
      <c r="H489" s="4"/>
      <c r="I489" s="4"/>
      <c r="J489" s="4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4"/>
      <c r="B490" s="28"/>
      <c r="C490" s="4"/>
      <c r="D490" s="4"/>
      <c r="E490" s="4"/>
      <c r="F490" s="4"/>
      <c r="G490" s="3" t="str">
        <f t="shared" si="7"/>
        <v/>
      </c>
      <c r="H490" s="4"/>
      <c r="I490" s="4"/>
      <c r="J490" s="4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4"/>
      <c r="B491" s="28"/>
      <c r="C491" s="4"/>
      <c r="D491" s="4"/>
      <c r="E491" s="4"/>
      <c r="F491" s="4"/>
      <c r="G491" s="3" t="str">
        <f t="shared" si="7"/>
        <v/>
      </c>
      <c r="H491" s="4"/>
      <c r="I491" s="4"/>
      <c r="J491" s="4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4"/>
      <c r="B492" s="28"/>
      <c r="C492" s="4"/>
      <c r="D492" s="4"/>
      <c r="E492" s="4"/>
      <c r="F492" s="4"/>
      <c r="G492" s="3" t="str">
        <f t="shared" si="7"/>
        <v/>
      </c>
      <c r="H492" s="4"/>
      <c r="I492" s="4"/>
      <c r="J492" s="4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4"/>
      <c r="B493" s="28"/>
      <c r="C493" s="4"/>
      <c r="D493" s="4"/>
      <c r="E493" s="4"/>
      <c r="F493" s="4"/>
      <c r="G493" s="3" t="str">
        <f t="shared" si="7"/>
        <v/>
      </c>
      <c r="H493" s="4"/>
      <c r="I493" s="4"/>
      <c r="J493" s="4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4"/>
      <c r="B494" s="28"/>
      <c r="C494" s="4"/>
      <c r="D494" s="4"/>
      <c r="E494" s="4"/>
      <c r="F494" s="4"/>
      <c r="G494" s="3" t="str">
        <f t="shared" si="7"/>
        <v/>
      </c>
      <c r="H494" s="4"/>
      <c r="I494" s="4"/>
      <c r="J494" s="4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4"/>
      <c r="B495" s="28"/>
      <c r="C495" s="4"/>
      <c r="D495" s="4"/>
      <c r="E495" s="4"/>
      <c r="F495" s="4"/>
      <c r="G495" s="3" t="str">
        <f t="shared" si="7"/>
        <v/>
      </c>
      <c r="H495" s="4"/>
      <c r="I495" s="4"/>
      <c r="J495" s="4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4"/>
      <c r="B496" s="28"/>
      <c r="C496" s="4"/>
      <c r="D496" s="4"/>
      <c r="E496" s="4"/>
      <c r="F496" s="4"/>
      <c r="G496" s="3" t="str">
        <f t="shared" si="7"/>
        <v/>
      </c>
      <c r="H496" s="4"/>
      <c r="I496" s="4"/>
      <c r="J496" s="4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4"/>
      <c r="B497" s="28"/>
      <c r="C497" s="4"/>
      <c r="D497" s="4"/>
      <c r="E497" s="4"/>
      <c r="F497" s="4"/>
      <c r="G497" s="3" t="str">
        <f t="shared" si="7"/>
        <v/>
      </c>
      <c r="H497" s="4"/>
      <c r="I497" s="4"/>
      <c r="J497" s="4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4"/>
      <c r="B498" s="28"/>
      <c r="C498" s="4"/>
      <c r="D498" s="4"/>
      <c r="E498" s="4"/>
      <c r="F498" s="4"/>
      <c r="G498" s="3" t="str">
        <f t="shared" si="7"/>
        <v/>
      </c>
      <c r="H498" s="4"/>
      <c r="I498" s="4"/>
      <c r="J498" s="4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4"/>
      <c r="B499" s="28"/>
      <c r="C499" s="4"/>
      <c r="D499" s="4"/>
      <c r="E499" s="4"/>
      <c r="F499" s="4"/>
      <c r="G499" s="3" t="str">
        <f t="shared" si="7"/>
        <v/>
      </c>
      <c r="H499" s="4"/>
      <c r="I499" s="4"/>
      <c r="J499" s="4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4"/>
      <c r="B500" s="28"/>
      <c r="C500" s="4"/>
      <c r="D500" s="4"/>
      <c r="E500" s="4"/>
      <c r="F500" s="4"/>
      <c r="G500" s="3" t="str">
        <f t="shared" si="7"/>
        <v/>
      </c>
      <c r="H500" s="4"/>
      <c r="I500" s="4"/>
      <c r="J500" s="4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4"/>
      <c r="B501" s="28"/>
      <c r="C501" s="4"/>
      <c r="D501" s="4"/>
      <c r="E501" s="4"/>
      <c r="F501" s="4"/>
      <c r="G501" s="3" t="str">
        <f t="shared" si="7"/>
        <v/>
      </c>
      <c r="H501" s="4"/>
      <c r="I501" s="4"/>
      <c r="J501" s="4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4"/>
      <c r="B502" s="28"/>
      <c r="C502" s="4"/>
      <c r="D502" s="4"/>
      <c r="E502" s="4"/>
      <c r="F502" s="4"/>
      <c r="G502" s="3" t="str">
        <f t="shared" si="7"/>
        <v/>
      </c>
      <c r="H502" s="4"/>
      <c r="I502" s="4"/>
      <c r="J502" s="4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4"/>
      <c r="B503" s="28"/>
      <c r="C503" s="4"/>
      <c r="D503" s="4"/>
      <c r="E503" s="4"/>
      <c r="F503" s="4"/>
      <c r="G503" s="3" t="str">
        <f t="shared" si="7"/>
        <v/>
      </c>
      <c r="H503" s="4"/>
      <c r="I503" s="4"/>
      <c r="J503" s="4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3"/>
      <c r="B504" s="29"/>
      <c r="C504" s="13"/>
      <c r="D504" s="13"/>
      <c r="E504" s="13"/>
      <c r="F504" s="13"/>
      <c r="G504" s="10" t="str">
        <f t="shared" si="7"/>
        <v/>
      </c>
      <c r="H504" s="13"/>
      <c r="I504" s="13"/>
      <c r="J504" s="1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2">
    <mergeCell ref="A1:J1"/>
    <mergeCell ref="A2:J2"/>
  </mergeCells>
  <phoneticPr fontId="9" type="noConversion"/>
  <hyperlinks>
    <hyperlink ref="D5" r:id="rId1" xr:uid="{29D0ED8F-AB9A-4F5A-B3C8-15EDAB26D22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Lists!$A$5:$A$7</xm:f>
          </x14:formula1>
          <xm:sqref>H5:H504</xm:sqref>
        </x14:dataValidation>
        <x14:dataValidation type="list" xr:uid="{00000000-0002-0000-0100-000001000000}">
          <x14:formula1>
            <xm:f>Lists!$B$5:$B$8</xm:f>
          </x14:formula1>
          <xm:sqref>I5:I504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00"/>
  <sheetViews>
    <sheetView showGridLines="0" workbookViewId="0">
      <pane ySplit="4" topLeftCell="A5" activePane="bottomLeft" state="frozen"/>
      <selection pane="bottomLeft" activeCell="J6" sqref="J6"/>
    </sheetView>
  </sheetViews>
  <sheetFormatPr defaultRowHeight="14.25"/>
  <cols>
    <col min="1" max="1" width="16" customWidth="1"/>
    <col min="2" max="3" width="15" customWidth="1"/>
    <col min="4" max="4" width="14" customWidth="1"/>
    <col min="5" max="5" width="27" customWidth="1"/>
    <col min="6" max="6" width="14" customWidth="1"/>
    <col min="7" max="7" width="15" customWidth="1"/>
    <col min="8" max="8" width="24" customWidth="1"/>
    <col min="9" max="9" width="15" customWidth="1"/>
    <col min="10" max="10" width="16" customWidth="1"/>
    <col min="11" max="11" width="28" customWidth="1"/>
  </cols>
  <sheetData>
    <row r="1" spans="1:26" ht="24.95" customHeight="1">
      <c r="A1" s="42" t="s">
        <v>43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95" customHeight="1">
      <c r="A2" s="44" t="s">
        <v>44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38" t="s">
        <v>45</v>
      </c>
      <c r="B4" s="38" t="s">
        <v>46</v>
      </c>
      <c r="C4" s="38" t="s">
        <v>34</v>
      </c>
      <c r="D4" s="38" t="s">
        <v>47</v>
      </c>
      <c r="E4" s="38" t="s">
        <v>48</v>
      </c>
      <c r="F4" s="38" t="s">
        <v>49</v>
      </c>
      <c r="G4" s="38" t="s">
        <v>50</v>
      </c>
      <c r="H4" s="38" t="s">
        <v>51</v>
      </c>
      <c r="I4" s="38" t="s">
        <v>52</v>
      </c>
      <c r="J4" s="38" t="s">
        <v>53</v>
      </c>
      <c r="K4" s="38" t="s">
        <v>42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>
      <c r="A5" s="4" t="s">
        <v>141</v>
      </c>
      <c r="B5" s="28">
        <v>46322</v>
      </c>
      <c r="C5" s="4" t="s">
        <v>134</v>
      </c>
      <c r="D5" s="4" t="s">
        <v>75</v>
      </c>
      <c r="E5" s="3" t="str">
        <f>IF(D5="","",VLOOKUP(D5,Courses!$A$5:$G$10,2,FALSE))</f>
        <v>Finance Package</v>
      </c>
      <c r="F5" s="32">
        <f>IF(D5="","",VLOOKUP(D5,Courses!$A$5:$G$10,3,FALSE))</f>
        <v>9999</v>
      </c>
      <c r="G5" s="4" t="s">
        <v>120</v>
      </c>
      <c r="H5" s="4" t="s">
        <v>139</v>
      </c>
      <c r="I5" s="4" t="s">
        <v>121</v>
      </c>
      <c r="J5" s="28">
        <v>46322</v>
      </c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/>
      <c r="B6" s="28"/>
      <c r="C6" s="4"/>
      <c r="D6" s="4"/>
      <c r="E6" s="3" t="str">
        <f>IF(D6="","",VLOOKUP(D6,Courses!$A$5:$G$10,2,FALSE))</f>
        <v/>
      </c>
      <c r="F6" s="32" t="str">
        <f>IF(D6="","",VLOOKUP(D6,Courses!$A$5:$G$10,3,FALSE))</f>
        <v/>
      </c>
      <c r="G6" s="4"/>
      <c r="H6" s="4"/>
      <c r="I6" s="4"/>
      <c r="J6" s="28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/>
      <c r="B7" s="28"/>
      <c r="C7" s="4"/>
      <c r="D7" s="4"/>
      <c r="E7" s="3" t="str">
        <f>IF(D7="","",VLOOKUP(D7,Courses!$A$5:$G$10,2,FALSE))</f>
        <v/>
      </c>
      <c r="F7" s="32" t="str">
        <f>IF(D7="","",VLOOKUP(D7,Courses!$A$5:$G$10,3,FALSE))</f>
        <v/>
      </c>
      <c r="G7" s="4"/>
      <c r="H7" s="4"/>
      <c r="I7" s="4"/>
      <c r="J7" s="28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/>
      <c r="B8" s="28"/>
      <c r="C8" s="4"/>
      <c r="D8" s="4"/>
      <c r="E8" s="3" t="str">
        <f>IF(D8="","",VLOOKUP(D8,Courses!$A$5:$G$10,2,FALSE))</f>
        <v/>
      </c>
      <c r="F8" s="32" t="str">
        <f>IF(D8="","",VLOOKUP(D8,Courses!$A$5:$G$10,3,FALSE))</f>
        <v/>
      </c>
      <c r="G8" s="4"/>
      <c r="H8" s="4"/>
      <c r="I8" s="4"/>
      <c r="J8" s="28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28"/>
      <c r="C9" s="4"/>
      <c r="D9" s="4"/>
      <c r="E9" s="3" t="str">
        <f>IF(D9="","",VLOOKUP(D9,Courses!$A$5:$G$10,2,FALSE))</f>
        <v/>
      </c>
      <c r="F9" s="32" t="str">
        <f>IF(D9="","",VLOOKUP(D9,Courses!$A$5:$G$10,3,FALSE))</f>
        <v/>
      </c>
      <c r="G9" s="4"/>
      <c r="H9" s="4"/>
      <c r="I9" s="4"/>
      <c r="J9" s="28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28"/>
      <c r="C10" s="4"/>
      <c r="D10" s="4"/>
      <c r="E10" s="3" t="str">
        <f>IF(D10="","",VLOOKUP(D10,Courses!$A$5:$G$10,2,FALSE))</f>
        <v/>
      </c>
      <c r="F10" s="32" t="str">
        <f>IF(D10="","",VLOOKUP(D10,Courses!$A$5:$G$10,3,FALSE))</f>
        <v/>
      </c>
      <c r="G10" s="4"/>
      <c r="H10" s="4"/>
      <c r="I10" s="4"/>
      <c r="J10" s="28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28"/>
      <c r="C11" s="4"/>
      <c r="D11" s="4"/>
      <c r="E11" s="3" t="str">
        <f>IF(D11="","",VLOOKUP(D11,Courses!$A$5:$G$10,2,FALSE))</f>
        <v/>
      </c>
      <c r="F11" s="32" t="str">
        <f>IF(D11="","",VLOOKUP(D11,Courses!$A$5:$G$10,3,FALSE))</f>
        <v/>
      </c>
      <c r="G11" s="4"/>
      <c r="H11" s="4"/>
      <c r="I11" s="4"/>
      <c r="J11" s="28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28"/>
      <c r="C12" s="4"/>
      <c r="D12" s="4"/>
      <c r="E12" s="3" t="str">
        <f>IF(D12="","",VLOOKUP(D12,Courses!$A$5:$G$10,2,FALSE))</f>
        <v/>
      </c>
      <c r="F12" s="32" t="str">
        <f>IF(D12="","",VLOOKUP(D12,Courses!$A$5:$G$10,3,FALSE))</f>
        <v/>
      </c>
      <c r="G12" s="4"/>
      <c r="H12" s="4"/>
      <c r="I12" s="4"/>
      <c r="J12" s="28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28"/>
      <c r="C13" s="4"/>
      <c r="D13" s="4"/>
      <c r="E13" s="3" t="str">
        <f>IF(D13="","",VLOOKUP(D13,Courses!$A$5:$G$10,2,FALSE))</f>
        <v/>
      </c>
      <c r="F13" s="32" t="str">
        <f>IF(D13="","",VLOOKUP(D13,Courses!$A$5:$G$10,3,FALSE))</f>
        <v/>
      </c>
      <c r="G13" s="4"/>
      <c r="H13" s="4"/>
      <c r="I13" s="4"/>
      <c r="J13" s="28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28"/>
      <c r="C14" s="4"/>
      <c r="D14" s="4"/>
      <c r="E14" s="3" t="str">
        <f>IF(D14="","",VLOOKUP(D14,Courses!$A$5:$G$10,2,FALSE))</f>
        <v/>
      </c>
      <c r="F14" s="32" t="str">
        <f>IF(D14="","",VLOOKUP(D14,Courses!$A$5:$G$10,3,FALSE))</f>
        <v/>
      </c>
      <c r="G14" s="4"/>
      <c r="H14" s="4"/>
      <c r="I14" s="4"/>
      <c r="J14" s="28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28"/>
      <c r="C15" s="4"/>
      <c r="D15" s="4"/>
      <c r="E15" s="3" t="str">
        <f>IF(D15="","",VLOOKUP(D15,Courses!$A$5:$G$10,2,FALSE))</f>
        <v/>
      </c>
      <c r="F15" s="32" t="str">
        <f>IF(D15="","",VLOOKUP(D15,Courses!$A$5:$G$10,3,FALSE))</f>
        <v/>
      </c>
      <c r="G15" s="4"/>
      <c r="H15" s="4"/>
      <c r="I15" s="4"/>
      <c r="J15" s="28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28"/>
      <c r="C16" s="4"/>
      <c r="D16" s="4"/>
      <c r="E16" s="3" t="str">
        <f>IF(D16="","",VLOOKUP(D16,Courses!$A$5:$G$10,2,FALSE))</f>
        <v/>
      </c>
      <c r="F16" s="32" t="str">
        <f>IF(D16="","",VLOOKUP(D16,Courses!$A$5:$G$10,3,FALSE))</f>
        <v/>
      </c>
      <c r="G16" s="4"/>
      <c r="H16" s="4"/>
      <c r="I16" s="4"/>
      <c r="J16" s="28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28"/>
      <c r="C17" s="4"/>
      <c r="D17" s="4"/>
      <c r="E17" s="3" t="str">
        <f>IF(D17="","",VLOOKUP(D17,Courses!$A$5:$G$10,2,FALSE))</f>
        <v/>
      </c>
      <c r="F17" s="32" t="str">
        <f>IF(D17="","",VLOOKUP(D17,Courses!$A$5:$G$10,3,FALSE))</f>
        <v/>
      </c>
      <c r="G17" s="4"/>
      <c r="H17" s="4"/>
      <c r="I17" s="4"/>
      <c r="J17" s="28"/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28"/>
      <c r="C18" s="4"/>
      <c r="D18" s="4"/>
      <c r="E18" s="3" t="str">
        <f>IF(D18="","",VLOOKUP(D18,Courses!$A$5:$G$10,2,FALSE))</f>
        <v/>
      </c>
      <c r="F18" s="32" t="str">
        <f>IF(D18="","",VLOOKUP(D18,Courses!$A$5:$G$10,3,FALSE))</f>
        <v/>
      </c>
      <c r="G18" s="4"/>
      <c r="H18" s="4"/>
      <c r="I18" s="4"/>
      <c r="J18" s="28"/>
      <c r="K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28"/>
      <c r="C19" s="4"/>
      <c r="D19" s="4"/>
      <c r="E19" s="3" t="str">
        <f>IF(D19="","",VLOOKUP(D19,Courses!$A$5:$G$10,2,FALSE))</f>
        <v/>
      </c>
      <c r="F19" s="32" t="str">
        <f>IF(D19="","",VLOOKUP(D19,Courses!$A$5:$G$10,3,FALSE))</f>
        <v/>
      </c>
      <c r="G19" s="4"/>
      <c r="H19" s="4"/>
      <c r="I19" s="4"/>
      <c r="J19" s="28"/>
      <c r="K19" s="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28"/>
      <c r="C20" s="4"/>
      <c r="D20" s="4"/>
      <c r="E20" s="3" t="str">
        <f>IF(D20="","",VLOOKUP(D20,Courses!$A$5:$G$10,2,FALSE))</f>
        <v/>
      </c>
      <c r="F20" s="32" t="str">
        <f>IF(D20="","",VLOOKUP(D20,Courses!$A$5:$G$10,3,FALSE))</f>
        <v/>
      </c>
      <c r="G20" s="4"/>
      <c r="H20" s="4"/>
      <c r="I20" s="4"/>
      <c r="J20" s="28"/>
      <c r="K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28"/>
      <c r="C21" s="4"/>
      <c r="D21" s="4"/>
      <c r="E21" s="3" t="str">
        <f>IF(D21="","",VLOOKUP(D21,Courses!$A$5:$G$10,2,FALSE))</f>
        <v/>
      </c>
      <c r="F21" s="32" t="str">
        <f>IF(D21="","",VLOOKUP(D21,Courses!$A$5:$G$10,3,FALSE))</f>
        <v/>
      </c>
      <c r="G21" s="4"/>
      <c r="H21" s="4"/>
      <c r="I21" s="4"/>
      <c r="J21" s="28"/>
      <c r="K21" s="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28"/>
      <c r="C22" s="4"/>
      <c r="D22" s="4"/>
      <c r="E22" s="3" t="str">
        <f>IF(D22="","",VLOOKUP(D22,Courses!$A$5:$G$10,2,FALSE))</f>
        <v/>
      </c>
      <c r="F22" s="32" t="str">
        <f>IF(D22="","",VLOOKUP(D22,Courses!$A$5:$G$10,3,FALSE))</f>
        <v/>
      </c>
      <c r="G22" s="4"/>
      <c r="H22" s="4"/>
      <c r="I22" s="4"/>
      <c r="J22" s="28"/>
      <c r="K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28"/>
      <c r="C23" s="4"/>
      <c r="D23" s="4"/>
      <c r="E23" s="3" t="str">
        <f>IF(D23="","",VLOOKUP(D23,Courses!$A$5:$G$10,2,FALSE))</f>
        <v/>
      </c>
      <c r="F23" s="32" t="str">
        <f>IF(D23="","",VLOOKUP(D23,Courses!$A$5:$G$10,3,FALSE))</f>
        <v/>
      </c>
      <c r="G23" s="4"/>
      <c r="H23" s="4"/>
      <c r="I23" s="4"/>
      <c r="J23" s="28"/>
      <c r="K23" s="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28"/>
      <c r="C24" s="4"/>
      <c r="D24" s="4"/>
      <c r="E24" s="3" t="str">
        <f>IF(D24="","",VLOOKUP(D24,Courses!$A$5:$G$10,2,FALSE))</f>
        <v/>
      </c>
      <c r="F24" s="32" t="str">
        <f>IF(D24="","",VLOOKUP(D24,Courses!$A$5:$G$10,3,FALSE))</f>
        <v/>
      </c>
      <c r="G24" s="4"/>
      <c r="H24" s="4"/>
      <c r="I24" s="4"/>
      <c r="J24" s="28"/>
      <c r="K24" s="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28"/>
      <c r="C25" s="4"/>
      <c r="D25" s="4"/>
      <c r="E25" s="3" t="str">
        <f>IF(D25="","",VLOOKUP(D25,Courses!$A$5:$G$10,2,FALSE))</f>
        <v/>
      </c>
      <c r="F25" s="32" t="str">
        <f>IF(D25="","",VLOOKUP(D25,Courses!$A$5:$G$10,3,FALSE))</f>
        <v/>
      </c>
      <c r="G25" s="4"/>
      <c r="H25" s="4"/>
      <c r="I25" s="4"/>
      <c r="J25" s="28"/>
      <c r="K25" s="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28"/>
      <c r="C26" s="4"/>
      <c r="D26" s="4"/>
      <c r="E26" s="3" t="str">
        <f>IF(D26="","",VLOOKUP(D26,Courses!$A$5:$G$10,2,FALSE))</f>
        <v/>
      </c>
      <c r="F26" s="32" t="str">
        <f>IF(D26="","",VLOOKUP(D26,Courses!$A$5:$G$10,3,FALSE))</f>
        <v/>
      </c>
      <c r="G26" s="4"/>
      <c r="H26" s="4"/>
      <c r="I26" s="4"/>
      <c r="J26" s="28"/>
      <c r="K26" s="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/>
      <c r="B27" s="28"/>
      <c r="C27" s="4"/>
      <c r="D27" s="4"/>
      <c r="E27" s="3" t="str">
        <f>IF(D27="","",VLOOKUP(D27,Courses!$A$5:$G$10,2,FALSE))</f>
        <v/>
      </c>
      <c r="F27" s="32" t="str">
        <f>IF(D27="","",VLOOKUP(D27,Courses!$A$5:$G$10,3,FALSE))</f>
        <v/>
      </c>
      <c r="G27" s="4"/>
      <c r="H27" s="4"/>
      <c r="I27" s="4"/>
      <c r="J27" s="28"/>
      <c r="K27" s="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/>
      <c r="B28" s="28"/>
      <c r="C28" s="4"/>
      <c r="D28" s="4"/>
      <c r="E28" s="3" t="str">
        <f>IF(D28="","",VLOOKUP(D28,Courses!$A$5:$G$10,2,FALSE))</f>
        <v/>
      </c>
      <c r="F28" s="32" t="str">
        <f>IF(D28="","",VLOOKUP(D28,Courses!$A$5:$G$10,3,FALSE))</f>
        <v/>
      </c>
      <c r="G28" s="4"/>
      <c r="H28" s="4"/>
      <c r="I28" s="4"/>
      <c r="J28" s="28"/>
      <c r="K28" s="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"/>
      <c r="B29" s="28"/>
      <c r="C29" s="4"/>
      <c r="D29" s="4"/>
      <c r="E29" s="3" t="str">
        <f>IF(D29="","",VLOOKUP(D29,Courses!$A$5:$G$10,2,FALSE))</f>
        <v/>
      </c>
      <c r="F29" s="32" t="str">
        <f>IF(D29="","",VLOOKUP(D29,Courses!$A$5:$G$10,3,FALSE))</f>
        <v/>
      </c>
      <c r="G29" s="4"/>
      <c r="H29" s="4"/>
      <c r="I29" s="4"/>
      <c r="J29" s="28"/>
      <c r="K29" s="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"/>
      <c r="B30" s="28"/>
      <c r="C30" s="4"/>
      <c r="D30" s="4"/>
      <c r="E30" s="3" t="str">
        <f>IF(D30="","",VLOOKUP(D30,Courses!$A$5:$G$10,2,FALSE))</f>
        <v/>
      </c>
      <c r="F30" s="32" t="str">
        <f>IF(D30="","",VLOOKUP(D30,Courses!$A$5:$G$10,3,FALSE))</f>
        <v/>
      </c>
      <c r="G30" s="4"/>
      <c r="H30" s="4"/>
      <c r="I30" s="4"/>
      <c r="J30" s="28"/>
      <c r="K30" s="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4"/>
      <c r="B31" s="28"/>
      <c r="C31" s="4"/>
      <c r="D31" s="4"/>
      <c r="E31" s="3" t="str">
        <f>IF(D31="","",VLOOKUP(D31,Courses!$A$5:$G$10,2,FALSE))</f>
        <v/>
      </c>
      <c r="F31" s="32" t="str">
        <f>IF(D31="","",VLOOKUP(D31,Courses!$A$5:$G$10,3,FALSE))</f>
        <v/>
      </c>
      <c r="G31" s="4"/>
      <c r="H31" s="4"/>
      <c r="I31" s="4"/>
      <c r="J31" s="28"/>
      <c r="K31" s="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4"/>
      <c r="B32" s="28"/>
      <c r="C32" s="4"/>
      <c r="D32" s="4"/>
      <c r="E32" s="3" t="str">
        <f>IF(D32="","",VLOOKUP(D32,Courses!$A$5:$G$10,2,FALSE))</f>
        <v/>
      </c>
      <c r="F32" s="32" t="str">
        <f>IF(D32="","",VLOOKUP(D32,Courses!$A$5:$G$10,3,FALSE))</f>
        <v/>
      </c>
      <c r="G32" s="4"/>
      <c r="H32" s="4"/>
      <c r="I32" s="4"/>
      <c r="J32" s="28"/>
      <c r="K32" s="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"/>
      <c r="B33" s="28"/>
      <c r="C33" s="4"/>
      <c r="D33" s="4"/>
      <c r="E33" s="3" t="str">
        <f>IF(D33="","",VLOOKUP(D33,Courses!$A$5:$G$10,2,FALSE))</f>
        <v/>
      </c>
      <c r="F33" s="32" t="str">
        <f>IF(D33="","",VLOOKUP(D33,Courses!$A$5:$G$10,3,FALSE))</f>
        <v/>
      </c>
      <c r="G33" s="4"/>
      <c r="H33" s="4"/>
      <c r="I33" s="4"/>
      <c r="J33" s="28"/>
      <c r="K33" s="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"/>
      <c r="B34" s="28"/>
      <c r="C34" s="4"/>
      <c r="D34" s="4"/>
      <c r="E34" s="3" t="str">
        <f>IF(D34="","",VLOOKUP(D34,Courses!$A$5:$G$10,2,FALSE))</f>
        <v/>
      </c>
      <c r="F34" s="32" t="str">
        <f>IF(D34="","",VLOOKUP(D34,Courses!$A$5:$G$10,3,FALSE))</f>
        <v/>
      </c>
      <c r="G34" s="4"/>
      <c r="H34" s="4"/>
      <c r="I34" s="4"/>
      <c r="J34" s="28"/>
      <c r="K34" s="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4"/>
      <c r="B35" s="28"/>
      <c r="C35" s="4"/>
      <c r="D35" s="4"/>
      <c r="E35" s="3" t="str">
        <f>IF(D35="","",VLOOKUP(D35,Courses!$A$5:$G$10,2,FALSE))</f>
        <v/>
      </c>
      <c r="F35" s="32" t="str">
        <f>IF(D35="","",VLOOKUP(D35,Courses!$A$5:$G$10,3,FALSE))</f>
        <v/>
      </c>
      <c r="G35" s="4"/>
      <c r="H35" s="4"/>
      <c r="I35" s="4"/>
      <c r="J35" s="28"/>
      <c r="K35" s="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"/>
      <c r="B36" s="28"/>
      <c r="C36" s="4"/>
      <c r="D36" s="4"/>
      <c r="E36" s="3" t="str">
        <f>IF(D36="","",VLOOKUP(D36,Courses!$A$5:$G$10,2,FALSE))</f>
        <v/>
      </c>
      <c r="F36" s="32" t="str">
        <f>IF(D36="","",VLOOKUP(D36,Courses!$A$5:$G$10,3,FALSE))</f>
        <v/>
      </c>
      <c r="G36" s="4"/>
      <c r="H36" s="4"/>
      <c r="I36" s="4"/>
      <c r="J36" s="28"/>
      <c r="K36" s="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4"/>
      <c r="B37" s="28"/>
      <c r="C37" s="4"/>
      <c r="D37" s="4"/>
      <c r="E37" s="3" t="str">
        <f>IF(D37="","",VLOOKUP(D37,Courses!$A$5:$G$10,2,FALSE))</f>
        <v/>
      </c>
      <c r="F37" s="32" t="str">
        <f>IF(D37="","",VLOOKUP(D37,Courses!$A$5:$G$10,3,FALSE))</f>
        <v/>
      </c>
      <c r="G37" s="4"/>
      <c r="H37" s="4"/>
      <c r="I37" s="4"/>
      <c r="J37" s="28"/>
      <c r="K37" s="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"/>
      <c r="B38" s="28"/>
      <c r="C38" s="4"/>
      <c r="D38" s="4"/>
      <c r="E38" s="3" t="str">
        <f>IF(D38="","",VLOOKUP(D38,Courses!$A$5:$G$10,2,FALSE))</f>
        <v/>
      </c>
      <c r="F38" s="32" t="str">
        <f>IF(D38="","",VLOOKUP(D38,Courses!$A$5:$G$10,3,FALSE))</f>
        <v/>
      </c>
      <c r="G38" s="4"/>
      <c r="H38" s="4"/>
      <c r="I38" s="4"/>
      <c r="J38" s="28"/>
      <c r="K38" s="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4"/>
      <c r="B39" s="28"/>
      <c r="C39" s="4"/>
      <c r="D39" s="4"/>
      <c r="E39" s="3" t="str">
        <f>IF(D39="","",VLOOKUP(D39,Courses!$A$5:$G$10,2,FALSE))</f>
        <v/>
      </c>
      <c r="F39" s="32" t="str">
        <f>IF(D39="","",VLOOKUP(D39,Courses!$A$5:$G$10,3,FALSE))</f>
        <v/>
      </c>
      <c r="G39" s="4"/>
      <c r="H39" s="4"/>
      <c r="I39" s="4"/>
      <c r="J39" s="28"/>
      <c r="K39" s="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4"/>
      <c r="B40" s="28"/>
      <c r="C40" s="4"/>
      <c r="D40" s="4"/>
      <c r="E40" s="3" t="str">
        <f>IF(D40="","",VLOOKUP(D40,Courses!$A$5:$G$10,2,FALSE))</f>
        <v/>
      </c>
      <c r="F40" s="32" t="str">
        <f>IF(D40="","",VLOOKUP(D40,Courses!$A$5:$G$10,3,FALSE))</f>
        <v/>
      </c>
      <c r="G40" s="4"/>
      <c r="H40" s="4"/>
      <c r="I40" s="4"/>
      <c r="J40" s="28"/>
      <c r="K40" s="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"/>
      <c r="B41" s="28"/>
      <c r="C41" s="4"/>
      <c r="D41" s="4"/>
      <c r="E41" s="3" t="str">
        <f>IF(D41="","",VLOOKUP(D41,Courses!$A$5:$G$10,2,FALSE))</f>
        <v/>
      </c>
      <c r="F41" s="32" t="str">
        <f>IF(D41="","",VLOOKUP(D41,Courses!$A$5:$G$10,3,FALSE))</f>
        <v/>
      </c>
      <c r="G41" s="4"/>
      <c r="H41" s="4"/>
      <c r="I41" s="4"/>
      <c r="J41" s="28"/>
      <c r="K41" s="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4"/>
      <c r="B42" s="28"/>
      <c r="C42" s="4"/>
      <c r="D42" s="4"/>
      <c r="E42" s="3" t="str">
        <f>IF(D42="","",VLOOKUP(D42,Courses!$A$5:$G$10,2,FALSE))</f>
        <v/>
      </c>
      <c r="F42" s="32" t="str">
        <f>IF(D42="","",VLOOKUP(D42,Courses!$A$5:$G$10,3,FALSE))</f>
        <v/>
      </c>
      <c r="G42" s="4"/>
      <c r="H42" s="4"/>
      <c r="I42" s="4"/>
      <c r="J42" s="28"/>
      <c r="K42" s="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"/>
      <c r="B43" s="28"/>
      <c r="C43" s="4"/>
      <c r="D43" s="4"/>
      <c r="E43" s="3" t="str">
        <f>IF(D43="","",VLOOKUP(D43,Courses!$A$5:$G$10,2,FALSE))</f>
        <v/>
      </c>
      <c r="F43" s="32" t="str">
        <f>IF(D43="","",VLOOKUP(D43,Courses!$A$5:$G$10,3,FALSE))</f>
        <v/>
      </c>
      <c r="G43" s="4"/>
      <c r="H43" s="4"/>
      <c r="I43" s="4"/>
      <c r="J43" s="28"/>
      <c r="K43" s="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4"/>
      <c r="B44" s="28"/>
      <c r="C44" s="4"/>
      <c r="D44" s="4"/>
      <c r="E44" s="3" t="str">
        <f>IF(D44="","",VLOOKUP(D44,Courses!$A$5:$G$10,2,FALSE))</f>
        <v/>
      </c>
      <c r="F44" s="32" t="str">
        <f>IF(D44="","",VLOOKUP(D44,Courses!$A$5:$G$10,3,FALSE))</f>
        <v/>
      </c>
      <c r="G44" s="4"/>
      <c r="H44" s="4"/>
      <c r="I44" s="4"/>
      <c r="J44" s="28"/>
      <c r="K44" s="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"/>
      <c r="B45" s="28"/>
      <c r="C45" s="4"/>
      <c r="D45" s="4"/>
      <c r="E45" s="3" t="str">
        <f>IF(D45="","",VLOOKUP(D45,Courses!$A$5:$G$10,2,FALSE))</f>
        <v/>
      </c>
      <c r="F45" s="32" t="str">
        <f>IF(D45="","",VLOOKUP(D45,Courses!$A$5:$G$10,3,FALSE))</f>
        <v/>
      </c>
      <c r="G45" s="4"/>
      <c r="H45" s="4"/>
      <c r="I45" s="4"/>
      <c r="J45" s="28"/>
      <c r="K45" s="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4"/>
      <c r="B46" s="28"/>
      <c r="C46" s="4"/>
      <c r="D46" s="4"/>
      <c r="E46" s="3" t="str">
        <f>IF(D46="","",VLOOKUP(D46,Courses!$A$5:$G$10,2,FALSE))</f>
        <v/>
      </c>
      <c r="F46" s="32" t="str">
        <f>IF(D46="","",VLOOKUP(D46,Courses!$A$5:$G$10,3,FALSE))</f>
        <v/>
      </c>
      <c r="G46" s="4"/>
      <c r="H46" s="4"/>
      <c r="I46" s="4"/>
      <c r="J46" s="28"/>
      <c r="K46" s="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4"/>
      <c r="B47" s="28"/>
      <c r="C47" s="4"/>
      <c r="D47" s="4"/>
      <c r="E47" s="3" t="str">
        <f>IF(D47="","",VLOOKUP(D47,Courses!$A$5:$G$10,2,FALSE))</f>
        <v/>
      </c>
      <c r="F47" s="32" t="str">
        <f>IF(D47="","",VLOOKUP(D47,Courses!$A$5:$G$10,3,FALSE))</f>
        <v/>
      </c>
      <c r="G47" s="4"/>
      <c r="H47" s="4"/>
      <c r="I47" s="4"/>
      <c r="J47" s="28"/>
      <c r="K47" s="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4"/>
      <c r="B48" s="28"/>
      <c r="C48" s="4"/>
      <c r="D48" s="4"/>
      <c r="E48" s="3" t="str">
        <f>IF(D48="","",VLOOKUP(D48,Courses!$A$5:$G$10,2,FALSE))</f>
        <v/>
      </c>
      <c r="F48" s="32" t="str">
        <f>IF(D48="","",VLOOKUP(D48,Courses!$A$5:$G$10,3,FALSE))</f>
        <v/>
      </c>
      <c r="G48" s="4"/>
      <c r="H48" s="4"/>
      <c r="I48" s="4"/>
      <c r="J48" s="28"/>
      <c r="K48" s="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4"/>
      <c r="B49" s="28"/>
      <c r="C49" s="4"/>
      <c r="D49" s="4"/>
      <c r="E49" s="3" t="str">
        <f>IF(D49="","",VLOOKUP(D49,Courses!$A$5:$G$10,2,FALSE))</f>
        <v/>
      </c>
      <c r="F49" s="32" t="str">
        <f>IF(D49="","",VLOOKUP(D49,Courses!$A$5:$G$10,3,FALSE))</f>
        <v/>
      </c>
      <c r="G49" s="4"/>
      <c r="H49" s="4"/>
      <c r="I49" s="4"/>
      <c r="J49" s="28"/>
      <c r="K49" s="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4"/>
      <c r="B50" s="28"/>
      <c r="C50" s="4"/>
      <c r="D50" s="4"/>
      <c r="E50" s="3" t="str">
        <f>IF(D50="","",VLOOKUP(D50,Courses!$A$5:$G$10,2,FALSE))</f>
        <v/>
      </c>
      <c r="F50" s="32" t="str">
        <f>IF(D50="","",VLOOKUP(D50,Courses!$A$5:$G$10,3,FALSE))</f>
        <v/>
      </c>
      <c r="G50" s="4"/>
      <c r="H50" s="4"/>
      <c r="I50" s="4"/>
      <c r="J50" s="28"/>
      <c r="K50" s="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4"/>
      <c r="B51" s="28"/>
      <c r="C51" s="4"/>
      <c r="D51" s="4"/>
      <c r="E51" s="3" t="str">
        <f>IF(D51="","",VLOOKUP(D51,Courses!$A$5:$G$10,2,FALSE))</f>
        <v/>
      </c>
      <c r="F51" s="32" t="str">
        <f>IF(D51="","",VLOOKUP(D51,Courses!$A$5:$G$10,3,FALSE))</f>
        <v/>
      </c>
      <c r="G51" s="4"/>
      <c r="H51" s="4"/>
      <c r="I51" s="4"/>
      <c r="J51" s="28"/>
      <c r="K51" s="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4"/>
      <c r="B52" s="28"/>
      <c r="C52" s="4"/>
      <c r="D52" s="4"/>
      <c r="E52" s="3" t="str">
        <f>IF(D52="","",VLOOKUP(D52,Courses!$A$5:$G$10,2,FALSE))</f>
        <v/>
      </c>
      <c r="F52" s="32" t="str">
        <f>IF(D52="","",VLOOKUP(D52,Courses!$A$5:$G$10,3,FALSE))</f>
        <v/>
      </c>
      <c r="G52" s="4"/>
      <c r="H52" s="4"/>
      <c r="I52" s="4"/>
      <c r="J52" s="28"/>
      <c r="K52" s="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4"/>
      <c r="B53" s="28"/>
      <c r="C53" s="4"/>
      <c r="D53" s="4"/>
      <c r="E53" s="3" t="str">
        <f>IF(D53="","",VLOOKUP(D53,Courses!$A$5:$G$10,2,FALSE))</f>
        <v/>
      </c>
      <c r="F53" s="32" t="str">
        <f>IF(D53="","",VLOOKUP(D53,Courses!$A$5:$G$10,3,FALSE))</f>
        <v/>
      </c>
      <c r="G53" s="4"/>
      <c r="H53" s="4"/>
      <c r="I53" s="4"/>
      <c r="J53" s="28"/>
      <c r="K53" s="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4"/>
      <c r="B54" s="28"/>
      <c r="C54" s="4"/>
      <c r="D54" s="4"/>
      <c r="E54" s="3" t="str">
        <f>IF(D54="","",VLOOKUP(D54,Courses!$A$5:$G$10,2,FALSE))</f>
        <v/>
      </c>
      <c r="F54" s="32" t="str">
        <f>IF(D54="","",VLOOKUP(D54,Courses!$A$5:$G$10,3,FALSE))</f>
        <v/>
      </c>
      <c r="G54" s="4"/>
      <c r="H54" s="4"/>
      <c r="I54" s="4"/>
      <c r="J54" s="28"/>
      <c r="K54" s="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4"/>
      <c r="B55" s="28"/>
      <c r="C55" s="4"/>
      <c r="D55" s="4"/>
      <c r="E55" s="3" t="str">
        <f>IF(D55="","",VLOOKUP(D55,Courses!$A$5:$G$10,2,FALSE))</f>
        <v/>
      </c>
      <c r="F55" s="32" t="str">
        <f>IF(D55="","",VLOOKUP(D55,Courses!$A$5:$G$10,3,FALSE))</f>
        <v/>
      </c>
      <c r="G55" s="4"/>
      <c r="H55" s="4"/>
      <c r="I55" s="4"/>
      <c r="J55" s="28"/>
      <c r="K55" s="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4"/>
      <c r="B56" s="28"/>
      <c r="C56" s="4"/>
      <c r="D56" s="4"/>
      <c r="E56" s="3" t="str">
        <f>IF(D56="","",VLOOKUP(D56,Courses!$A$5:$G$10,2,FALSE))</f>
        <v/>
      </c>
      <c r="F56" s="32" t="str">
        <f>IF(D56="","",VLOOKUP(D56,Courses!$A$5:$G$10,3,FALSE))</f>
        <v/>
      </c>
      <c r="G56" s="4"/>
      <c r="H56" s="4"/>
      <c r="I56" s="4"/>
      <c r="J56" s="28"/>
      <c r="K56" s="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4"/>
      <c r="B57" s="28"/>
      <c r="C57" s="4"/>
      <c r="D57" s="4"/>
      <c r="E57" s="3" t="str">
        <f>IF(D57="","",VLOOKUP(D57,Courses!$A$5:$G$10,2,FALSE))</f>
        <v/>
      </c>
      <c r="F57" s="32" t="str">
        <f>IF(D57="","",VLOOKUP(D57,Courses!$A$5:$G$10,3,FALSE))</f>
        <v/>
      </c>
      <c r="G57" s="4"/>
      <c r="H57" s="4"/>
      <c r="I57" s="4"/>
      <c r="J57" s="28"/>
      <c r="K57" s="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4"/>
      <c r="B58" s="28"/>
      <c r="C58" s="4"/>
      <c r="D58" s="4"/>
      <c r="E58" s="3" t="str">
        <f>IF(D58="","",VLOOKUP(D58,Courses!$A$5:$G$10,2,FALSE))</f>
        <v/>
      </c>
      <c r="F58" s="32" t="str">
        <f>IF(D58="","",VLOOKUP(D58,Courses!$A$5:$G$10,3,FALSE))</f>
        <v/>
      </c>
      <c r="G58" s="4"/>
      <c r="H58" s="4"/>
      <c r="I58" s="4"/>
      <c r="J58" s="28"/>
      <c r="K58" s="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4"/>
      <c r="B59" s="28"/>
      <c r="C59" s="4"/>
      <c r="D59" s="4"/>
      <c r="E59" s="3" t="str">
        <f>IF(D59="","",VLOOKUP(D59,Courses!$A$5:$G$10,2,FALSE))</f>
        <v/>
      </c>
      <c r="F59" s="32" t="str">
        <f>IF(D59="","",VLOOKUP(D59,Courses!$A$5:$G$10,3,FALSE))</f>
        <v/>
      </c>
      <c r="G59" s="4"/>
      <c r="H59" s="4"/>
      <c r="I59" s="4"/>
      <c r="J59" s="28"/>
      <c r="K59" s="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4"/>
      <c r="B60" s="28"/>
      <c r="C60" s="4"/>
      <c r="D60" s="4"/>
      <c r="E60" s="3" t="str">
        <f>IF(D60="","",VLOOKUP(D60,Courses!$A$5:$G$10,2,FALSE))</f>
        <v/>
      </c>
      <c r="F60" s="32" t="str">
        <f>IF(D60="","",VLOOKUP(D60,Courses!$A$5:$G$10,3,FALSE))</f>
        <v/>
      </c>
      <c r="G60" s="4"/>
      <c r="H60" s="4"/>
      <c r="I60" s="4"/>
      <c r="J60" s="28"/>
      <c r="K60" s="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4"/>
      <c r="B61" s="28"/>
      <c r="C61" s="4"/>
      <c r="D61" s="4"/>
      <c r="E61" s="3" t="str">
        <f>IF(D61="","",VLOOKUP(D61,Courses!$A$5:$G$10,2,FALSE))</f>
        <v/>
      </c>
      <c r="F61" s="32" t="str">
        <f>IF(D61="","",VLOOKUP(D61,Courses!$A$5:$G$10,3,FALSE))</f>
        <v/>
      </c>
      <c r="G61" s="4"/>
      <c r="H61" s="4"/>
      <c r="I61" s="4"/>
      <c r="J61" s="28"/>
      <c r="K61" s="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4"/>
      <c r="B62" s="28"/>
      <c r="C62" s="4"/>
      <c r="D62" s="4"/>
      <c r="E62" s="3" t="str">
        <f>IF(D62="","",VLOOKUP(D62,Courses!$A$5:$G$10,2,FALSE))</f>
        <v/>
      </c>
      <c r="F62" s="32" t="str">
        <f>IF(D62="","",VLOOKUP(D62,Courses!$A$5:$G$10,3,FALSE))</f>
        <v/>
      </c>
      <c r="G62" s="4"/>
      <c r="H62" s="4"/>
      <c r="I62" s="4"/>
      <c r="J62" s="28"/>
      <c r="K62" s="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4"/>
      <c r="B63" s="28"/>
      <c r="C63" s="4"/>
      <c r="D63" s="4"/>
      <c r="E63" s="3" t="str">
        <f>IF(D63="","",VLOOKUP(D63,Courses!$A$5:$G$10,2,FALSE))</f>
        <v/>
      </c>
      <c r="F63" s="32" t="str">
        <f>IF(D63="","",VLOOKUP(D63,Courses!$A$5:$G$10,3,FALSE))</f>
        <v/>
      </c>
      <c r="G63" s="4"/>
      <c r="H63" s="4"/>
      <c r="I63" s="4"/>
      <c r="J63" s="28"/>
      <c r="K63" s="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4"/>
      <c r="B64" s="28"/>
      <c r="C64" s="4"/>
      <c r="D64" s="4"/>
      <c r="E64" s="3" t="str">
        <f>IF(D64="","",VLOOKUP(D64,Courses!$A$5:$G$10,2,FALSE))</f>
        <v/>
      </c>
      <c r="F64" s="32" t="str">
        <f>IF(D64="","",VLOOKUP(D64,Courses!$A$5:$G$10,3,FALSE))</f>
        <v/>
      </c>
      <c r="G64" s="4"/>
      <c r="H64" s="4"/>
      <c r="I64" s="4"/>
      <c r="J64" s="28"/>
      <c r="K64" s="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4"/>
      <c r="B65" s="28"/>
      <c r="C65" s="4"/>
      <c r="D65" s="4"/>
      <c r="E65" s="3" t="str">
        <f>IF(D65="","",VLOOKUP(D65,Courses!$A$5:$G$10,2,FALSE))</f>
        <v/>
      </c>
      <c r="F65" s="32" t="str">
        <f>IF(D65="","",VLOOKUP(D65,Courses!$A$5:$G$10,3,FALSE))</f>
        <v/>
      </c>
      <c r="G65" s="4"/>
      <c r="H65" s="4"/>
      <c r="I65" s="4"/>
      <c r="J65" s="28"/>
      <c r="K65" s="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4"/>
      <c r="B66" s="28"/>
      <c r="C66" s="4"/>
      <c r="D66" s="4"/>
      <c r="E66" s="3" t="str">
        <f>IF(D66="","",VLOOKUP(D66,Courses!$A$5:$G$10,2,FALSE))</f>
        <v/>
      </c>
      <c r="F66" s="32" t="str">
        <f>IF(D66="","",VLOOKUP(D66,Courses!$A$5:$G$10,3,FALSE))</f>
        <v/>
      </c>
      <c r="G66" s="4"/>
      <c r="H66" s="4"/>
      <c r="I66" s="4"/>
      <c r="J66" s="28"/>
      <c r="K66" s="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4"/>
      <c r="B67" s="28"/>
      <c r="C67" s="4"/>
      <c r="D67" s="4"/>
      <c r="E67" s="3" t="str">
        <f>IF(D67="","",VLOOKUP(D67,Courses!$A$5:$G$10,2,FALSE))</f>
        <v/>
      </c>
      <c r="F67" s="32" t="str">
        <f>IF(D67="","",VLOOKUP(D67,Courses!$A$5:$G$10,3,FALSE))</f>
        <v/>
      </c>
      <c r="G67" s="4"/>
      <c r="H67" s="4"/>
      <c r="I67" s="4"/>
      <c r="J67" s="28"/>
      <c r="K67" s="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4"/>
      <c r="B68" s="28"/>
      <c r="C68" s="4"/>
      <c r="D68" s="4"/>
      <c r="E68" s="3" t="str">
        <f>IF(D68="","",VLOOKUP(D68,Courses!$A$5:$G$10,2,FALSE))</f>
        <v/>
      </c>
      <c r="F68" s="32" t="str">
        <f>IF(D68="","",VLOOKUP(D68,Courses!$A$5:$G$10,3,FALSE))</f>
        <v/>
      </c>
      <c r="G68" s="4"/>
      <c r="H68" s="4"/>
      <c r="I68" s="4"/>
      <c r="J68" s="28"/>
      <c r="K68" s="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4"/>
      <c r="B69" s="28"/>
      <c r="C69" s="4"/>
      <c r="D69" s="4"/>
      <c r="E69" s="3" t="str">
        <f>IF(D69="","",VLOOKUP(D69,Courses!$A$5:$G$10,2,FALSE))</f>
        <v/>
      </c>
      <c r="F69" s="32" t="str">
        <f>IF(D69="","",VLOOKUP(D69,Courses!$A$5:$G$10,3,FALSE))</f>
        <v/>
      </c>
      <c r="G69" s="4"/>
      <c r="H69" s="4"/>
      <c r="I69" s="4"/>
      <c r="J69" s="28"/>
      <c r="K69" s="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4"/>
      <c r="B70" s="28"/>
      <c r="C70" s="4"/>
      <c r="D70" s="4"/>
      <c r="E70" s="3" t="str">
        <f>IF(D70="","",VLOOKUP(D70,Courses!$A$5:$G$10,2,FALSE))</f>
        <v/>
      </c>
      <c r="F70" s="32" t="str">
        <f>IF(D70="","",VLOOKUP(D70,Courses!$A$5:$G$10,3,FALSE))</f>
        <v/>
      </c>
      <c r="G70" s="4"/>
      <c r="H70" s="4"/>
      <c r="I70" s="4"/>
      <c r="J70" s="28"/>
      <c r="K70" s="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4"/>
      <c r="B71" s="28"/>
      <c r="C71" s="4"/>
      <c r="D71" s="4"/>
      <c r="E71" s="3" t="str">
        <f>IF(D71="","",VLOOKUP(D71,Courses!$A$5:$G$10,2,FALSE))</f>
        <v/>
      </c>
      <c r="F71" s="32" t="str">
        <f>IF(D71="","",VLOOKUP(D71,Courses!$A$5:$G$10,3,FALSE))</f>
        <v/>
      </c>
      <c r="G71" s="4"/>
      <c r="H71" s="4"/>
      <c r="I71" s="4"/>
      <c r="J71" s="28"/>
      <c r="K71" s="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4"/>
      <c r="B72" s="28"/>
      <c r="C72" s="4"/>
      <c r="D72" s="4"/>
      <c r="E72" s="3" t="str">
        <f>IF(D72="","",VLOOKUP(D72,Courses!$A$5:$G$10,2,FALSE))</f>
        <v/>
      </c>
      <c r="F72" s="32" t="str">
        <f>IF(D72="","",VLOOKUP(D72,Courses!$A$5:$G$10,3,FALSE))</f>
        <v/>
      </c>
      <c r="G72" s="4"/>
      <c r="H72" s="4"/>
      <c r="I72" s="4"/>
      <c r="J72" s="28"/>
      <c r="K72" s="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4"/>
      <c r="B73" s="28"/>
      <c r="C73" s="4"/>
      <c r="D73" s="4"/>
      <c r="E73" s="3" t="str">
        <f>IF(D73="","",VLOOKUP(D73,Courses!$A$5:$G$10,2,FALSE))</f>
        <v/>
      </c>
      <c r="F73" s="32" t="str">
        <f>IF(D73="","",VLOOKUP(D73,Courses!$A$5:$G$10,3,FALSE))</f>
        <v/>
      </c>
      <c r="G73" s="4"/>
      <c r="H73" s="4"/>
      <c r="I73" s="4"/>
      <c r="J73" s="28"/>
      <c r="K73" s="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4"/>
      <c r="B74" s="28"/>
      <c r="C74" s="4"/>
      <c r="D74" s="4"/>
      <c r="E74" s="3" t="str">
        <f>IF(D74="","",VLOOKUP(D74,Courses!$A$5:$G$10,2,FALSE))</f>
        <v/>
      </c>
      <c r="F74" s="32" t="str">
        <f>IF(D74="","",VLOOKUP(D74,Courses!$A$5:$G$10,3,FALSE))</f>
        <v/>
      </c>
      <c r="G74" s="4"/>
      <c r="H74" s="4"/>
      <c r="I74" s="4"/>
      <c r="J74" s="28"/>
      <c r="K74" s="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4"/>
      <c r="B75" s="28"/>
      <c r="C75" s="4"/>
      <c r="D75" s="4"/>
      <c r="E75" s="3" t="str">
        <f>IF(D75="","",VLOOKUP(D75,Courses!$A$5:$G$10,2,FALSE))</f>
        <v/>
      </c>
      <c r="F75" s="32" t="str">
        <f>IF(D75="","",VLOOKUP(D75,Courses!$A$5:$G$10,3,FALSE))</f>
        <v/>
      </c>
      <c r="G75" s="4"/>
      <c r="H75" s="4"/>
      <c r="I75" s="4"/>
      <c r="J75" s="28"/>
      <c r="K75" s="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4"/>
      <c r="B76" s="28"/>
      <c r="C76" s="4"/>
      <c r="D76" s="4"/>
      <c r="E76" s="3" t="str">
        <f>IF(D76="","",VLOOKUP(D76,Courses!$A$5:$G$10,2,FALSE))</f>
        <v/>
      </c>
      <c r="F76" s="32" t="str">
        <f>IF(D76="","",VLOOKUP(D76,Courses!$A$5:$G$10,3,FALSE))</f>
        <v/>
      </c>
      <c r="G76" s="4"/>
      <c r="H76" s="4"/>
      <c r="I76" s="4"/>
      <c r="J76" s="28"/>
      <c r="K76" s="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4"/>
      <c r="B77" s="28"/>
      <c r="C77" s="4"/>
      <c r="D77" s="4"/>
      <c r="E77" s="3" t="str">
        <f>IF(D77="","",VLOOKUP(D77,Courses!$A$5:$G$10,2,FALSE))</f>
        <v/>
      </c>
      <c r="F77" s="32" t="str">
        <f>IF(D77="","",VLOOKUP(D77,Courses!$A$5:$G$10,3,FALSE))</f>
        <v/>
      </c>
      <c r="G77" s="4"/>
      <c r="H77" s="4"/>
      <c r="I77" s="4"/>
      <c r="J77" s="28"/>
      <c r="K77" s="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4"/>
      <c r="B78" s="28"/>
      <c r="C78" s="4"/>
      <c r="D78" s="4"/>
      <c r="E78" s="3" t="str">
        <f>IF(D78="","",VLOOKUP(D78,Courses!$A$5:$G$10,2,FALSE))</f>
        <v/>
      </c>
      <c r="F78" s="32" t="str">
        <f>IF(D78="","",VLOOKUP(D78,Courses!$A$5:$G$10,3,FALSE))</f>
        <v/>
      </c>
      <c r="G78" s="4"/>
      <c r="H78" s="4"/>
      <c r="I78" s="4"/>
      <c r="J78" s="28"/>
      <c r="K78" s="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4"/>
      <c r="B79" s="28"/>
      <c r="C79" s="4"/>
      <c r="D79" s="4"/>
      <c r="E79" s="3" t="str">
        <f>IF(D79="","",VLOOKUP(D79,Courses!$A$5:$G$10,2,FALSE))</f>
        <v/>
      </c>
      <c r="F79" s="32" t="str">
        <f>IF(D79="","",VLOOKUP(D79,Courses!$A$5:$G$10,3,FALSE))</f>
        <v/>
      </c>
      <c r="G79" s="4"/>
      <c r="H79" s="4"/>
      <c r="I79" s="4"/>
      <c r="J79" s="28"/>
      <c r="K79" s="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4"/>
      <c r="B80" s="28"/>
      <c r="C80" s="4"/>
      <c r="D80" s="4"/>
      <c r="E80" s="3" t="str">
        <f>IF(D80="","",VLOOKUP(D80,Courses!$A$5:$G$10,2,FALSE))</f>
        <v/>
      </c>
      <c r="F80" s="32" t="str">
        <f>IF(D80="","",VLOOKUP(D80,Courses!$A$5:$G$10,3,FALSE))</f>
        <v/>
      </c>
      <c r="G80" s="4"/>
      <c r="H80" s="4"/>
      <c r="I80" s="4"/>
      <c r="J80" s="28"/>
      <c r="K80" s="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4"/>
      <c r="B81" s="28"/>
      <c r="C81" s="4"/>
      <c r="D81" s="4"/>
      <c r="E81" s="3" t="str">
        <f>IF(D81="","",VLOOKUP(D81,Courses!$A$5:$G$10,2,FALSE))</f>
        <v/>
      </c>
      <c r="F81" s="32" t="str">
        <f>IF(D81="","",VLOOKUP(D81,Courses!$A$5:$G$10,3,FALSE))</f>
        <v/>
      </c>
      <c r="G81" s="4"/>
      <c r="H81" s="4"/>
      <c r="I81" s="4"/>
      <c r="J81" s="28"/>
      <c r="K81" s="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4"/>
      <c r="B82" s="28"/>
      <c r="C82" s="4"/>
      <c r="D82" s="4"/>
      <c r="E82" s="3" t="str">
        <f>IF(D82="","",VLOOKUP(D82,Courses!$A$5:$G$10,2,FALSE))</f>
        <v/>
      </c>
      <c r="F82" s="32" t="str">
        <f>IF(D82="","",VLOOKUP(D82,Courses!$A$5:$G$10,3,FALSE))</f>
        <v/>
      </c>
      <c r="G82" s="4"/>
      <c r="H82" s="4"/>
      <c r="I82" s="4"/>
      <c r="J82" s="28"/>
      <c r="K82" s="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4"/>
      <c r="B83" s="28"/>
      <c r="C83" s="4"/>
      <c r="D83" s="4"/>
      <c r="E83" s="3" t="str">
        <f>IF(D83="","",VLOOKUP(D83,Courses!$A$5:$G$10,2,FALSE))</f>
        <v/>
      </c>
      <c r="F83" s="32" t="str">
        <f>IF(D83="","",VLOOKUP(D83,Courses!$A$5:$G$10,3,FALSE))</f>
        <v/>
      </c>
      <c r="G83" s="4"/>
      <c r="H83" s="4"/>
      <c r="I83" s="4"/>
      <c r="J83" s="28"/>
      <c r="K83" s="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4"/>
      <c r="B84" s="28"/>
      <c r="C84" s="4"/>
      <c r="D84" s="4"/>
      <c r="E84" s="3" t="str">
        <f>IF(D84="","",VLOOKUP(D84,Courses!$A$5:$G$10,2,FALSE))</f>
        <v/>
      </c>
      <c r="F84" s="32" t="str">
        <f>IF(D84="","",VLOOKUP(D84,Courses!$A$5:$G$10,3,FALSE))</f>
        <v/>
      </c>
      <c r="G84" s="4"/>
      <c r="H84" s="4"/>
      <c r="I84" s="4"/>
      <c r="J84" s="28"/>
      <c r="K84" s="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4"/>
      <c r="B85" s="28"/>
      <c r="C85" s="4"/>
      <c r="D85" s="4"/>
      <c r="E85" s="3" t="str">
        <f>IF(D85="","",VLOOKUP(D85,Courses!$A$5:$G$10,2,FALSE))</f>
        <v/>
      </c>
      <c r="F85" s="32" t="str">
        <f>IF(D85="","",VLOOKUP(D85,Courses!$A$5:$G$10,3,FALSE))</f>
        <v/>
      </c>
      <c r="G85" s="4"/>
      <c r="H85" s="4"/>
      <c r="I85" s="4"/>
      <c r="J85" s="28"/>
      <c r="K85" s="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4"/>
      <c r="B86" s="28"/>
      <c r="C86" s="4"/>
      <c r="D86" s="4"/>
      <c r="E86" s="3" t="str">
        <f>IF(D86="","",VLOOKUP(D86,Courses!$A$5:$G$10,2,FALSE))</f>
        <v/>
      </c>
      <c r="F86" s="32" t="str">
        <f>IF(D86="","",VLOOKUP(D86,Courses!$A$5:$G$10,3,FALSE))</f>
        <v/>
      </c>
      <c r="G86" s="4"/>
      <c r="H86" s="4"/>
      <c r="I86" s="4"/>
      <c r="J86" s="28"/>
      <c r="K86" s="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4"/>
      <c r="B87" s="28"/>
      <c r="C87" s="4"/>
      <c r="D87" s="4"/>
      <c r="E87" s="3" t="str">
        <f>IF(D87="","",VLOOKUP(D87,Courses!$A$5:$G$10,2,FALSE))</f>
        <v/>
      </c>
      <c r="F87" s="32" t="str">
        <f>IF(D87="","",VLOOKUP(D87,Courses!$A$5:$G$10,3,FALSE))</f>
        <v/>
      </c>
      <c r="G87" s="4"/>
      <c r="H87" s="4"/>
      <c r="I87" s="4"/>
      <c r="J87" s="28"/>
      <c r="K87" s="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4"/>
      <c r="B88" s="28"/>
      <c r="C88" s="4"/>
      <c r="D88" s="4"/>
      <c r="E88" s="3" t="str">
        <f>IF(D88="","",VLOOKUP(D88,Courses!$A$5:$G$10,2,FALSE))</f>
        <v/>
      </c>
      <c r="F88" s="32" t="str">
        <f>IF(D88="","",VLOOKUP(D88,Courses!$A$5:$G$10,3,FALSE))</f>
        <v/>
      </c>
      <c r="G88" s="4"/>
      <c r="H88" s="4"/>
      <c r="I88" s="4"/>
      <c r="J88" s="28"/>
      <c r="K88" s="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4"/>
      <c r="B89" s="28"/>
      <c r="C89" s="4"/>
      <c r="D89" s="4"/>
      <c r="E89" s="3" t="str">
        <f>IF(D89="","",VLOOKUP(D89,Courses!$A$5:$G$10,2,FALSE))</f>
        <v/>
      </c>
      <c r="F89" s="32" t="str">
        <f>IF(D89="","",VLOOKUP(D89,Courses!$A$5:$G$10,3,FALSE))</f>
        <v/>
      </c>
      <c r="G89" s="4"/>
      <c r="H89" s="4"/>
      <c r="I89" s="4"/>
      <c r="J89" s="28"/>
      <c r="K89" s="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4"/>
      <c r="B90" s="28"/>
      <c r="C90" s="4"/>
      <c r="D90" s="4"/>
      <c r="E90" s="3" t="str">
        <f>IF(D90="","",VLOOKUP(D90,Courses!$A$5:$G$10,2,FALSE))</f>
        <v/>
      </c>
      <c r="F90" s="32" t="str">
        <f>IF(D90="","",VLOOKUP(D90,Courses!$A$5:$G$10,3,FALSE))</f>
        <v/>
      </c>
      <c r="G90" s="4"/>
      <c r="H90" s="4"/>
      <c r="I90" s="4"/>
      <c r="J90" s="28"/>
      <c r="K90" s="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4"/>
      <c r="B91" s="28"/>
      <c r="C91" s="4"/>
      <c r="D91" s="4"/>
      <c r="E91" s="3" t="str">
        <f>IF(D91="","",VLOOKUP(D91,Courses!$A$5:$G$10,2,FALSE))</f>
        <v/>
      </c>
      <c r="F91" s="32" t="str">
        <f>IF(D91="","",VLOOKUP(D91,Courses!$A$5:$G$10,3,FALSE))</f>
        <v/>
      </c>
      <c r="G91" s="4"/>
      <c r="H91" s="4"/>
      <c r="I91" s="4"/>
      <c r="J91" s="28"/>
      <c r="K91" s="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4"/>
      <c r="B92" s="28"/>
      <c r="C92" s="4"/>
      <c r="D92" s="4"/>
      <c r="E92" s="3" t="str">
        <f>IF(D92="","",VLOOKUP(D92,Courses!$A$5:$G$10,2,FALSE))</f>
        <v/>
      </c>
      <c r="F92" s="32" t="str">
        <f>IF(D92="","",VLOOKUP(D92,Courses!$A$5:$G$10,3,FALSE))</f>
        <v/>
      </c>
      <c r="G92" s="4"/>
      <c r="H92" s="4"/>
      <c r="I92" s="4"/>
      <c r="J92" s="28"/>
      <c r="K92" s="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4"/>
      <c r="B93" s="28"/>
      <c r="C93" s="4"/>
      <c r="D93" s="4"/>
      <c r="E93" s="3" t="str">
        <f>IF(D93="","",VLOOKUP(D93,Courses!$A$5:$G$10,2,FALSE))</f>
        <v/>
      </c>
      <c r="F93" s="32" t="str">
        <f>IF(D93="","",VLOOKUP(D93,Courses!$A$5:$G$10,3,FALSE))</f>
        <v/>
      </c>
      <c r="G93" s="4"/>
      <c r="H93" s="4"/>
      <c r="I93" s="4"/>
      <c r="J93" s="28"/>
      <c r="K93" s="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4"/>
      <c r="B94" s="28"/>
      <c r="C94" s="4"/>
      <c r="D94" s="4"/>
      <c r="E94" s="3" t="str">
        <f>IF(D94="","",VLOOKUP(D94,Courses!$A$5:$G$10,2,FALSE))</f>
        <v/>
      </c>
      <c r="F94" s="32" t="str">
        <f>IF(D94="","",VLOOKUP(D94,Courses!$A$5:$G$10,3,FALSE))</f>
        <v/>
      </c>
      <c r="G94" s="4"/>
      <c r="H94" s="4"/>
      <c r="I94" s="4"/>
      <c r="J94" s="28"/>
      <c r="K94" s="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4"/>
      <c r="B95" s="28"/>
      <c r="C95" s="4"/>
      <c r="D95" s="4"/>
      <c r="E95" s="3" t="str">
        <f>IF(D95="","",VLOOKUP(D95,Courses!$A$5:$G$10,2,FALSE))</f>
        <v/>
      </c>
      <c r="F95" s="32" t="str">
        <f>IF(D95="","",VLOOKUP(D95,Courses!$A$5:$G$10,3,FALSE))</f>
        <v/>
      </c>
      <c r="G95" s="4"/>
      <c r="H95" s="4"/>
      <c r="I95" s="4"/>
      <c r="J95" s="28"/>
      <c r="K95" s="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4"/>
      <c r="B96" s="28"/>
      <c r="C96" s="4"/>
      <c r="D96" s="4"/>
      <c r="E96" s="3" t="str">
        <f>IF(D96="","",VLOOKUP(D96,Courses!$A$5:$G$10,2,FALSE))</f>
        <v/>
      </c>
      <c r="F96" s="32" t="str">
        <f>IF(D96="","",VLOOKUP(D96,Courses!$A$5:$G$10,3,FALSE))</f>
        <v/>
      </c>
      <c r="G96" s="4"/>
      <c r="H96" s="4"/>
      <c r="I96" s="4"/>
      <c r="J96" s="28"/>
      <c r="K96" s="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4"/>
      <c r="B97" s="28"/>
      <c r="C97" s="4"/>
      <c r="D97" s="4"/>
      <c r="E97" s="3" t="str">
        <f>IF(D97="","",VLOOKUP(D97,Courses!$A$5:$G$10,2,FALSE))</f>
        <v/>
      </c>
      <c r="F97" s="32" t="str">
        <f>IF(D97="","",VLOOKUP(D97,Courses!$A$5:$G$10,3,FALSE))</f>
        <v/>
      </c>
      <c r="G97" s="4"/>
      <c r="H97" s="4"/>
      <c r="I97" s="4"/>
      <c r="J97" s="28"/>
      <c r="K97" s="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4"/>
      <c r="B98" s="28"/>
      <c r="C98" s="4"/>
      <c r="D98" s="4"/>
      <c r="E98" s="3" t="str">
        <f>IF(D98="","",VLOOKUP(D98,Courses!$A$5:$G$10,2,FALSE))</f>
        <v/>
      </c>
      <c r="F98" s="32" t="str">
        <f>IF(D98="","",VLOOKUP(D98,Courses!$A$5:$G$10,3,FALSE))</f>
        <v/>
      </c>
      <c r="G98" s="4"/>
      <c r="H98" s="4"/>
      <c r="I98" s="4"/>
      <c r="J98" s="28"/>
      <c r="K98" s="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4"/>
      <c r="B99" s="28"/>
      <c r="C99" s="4"/>
      <c r="D99" s="4"/>
      <c r="E99" s="3" t="str">
        <f>IF(D99="","",VLOOKUP(D99,Courses!$A$5:$G$10,2,FALSE))</f>
        <v/>
      </c>
      <c r="F99" s="32" t="str">
        <f>IF(D99="","",VLOOKUP(D99,Courses!$A$5:$G$10,3,FALSE))</f>
        <v/>
      </c>
      <c r="G99" s="4"/>
      <c r="H99" s="4"/>
      <c r="I99" s="4"/>
      <c r="J99" s="28"/>
      <c r="K99" s="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4"/>
      <c r="B100" s="28"/>
      <c r="C100" s="4"/>
      <c r="D100" s="4"/>
      <c r="E100" s="3" t="str">
        <f>IF(D100="","",VLOOKUP(D100,Courses!$A$5:$G$10,2,FALSE))</f>
        <v/>
      </c>
      <c r="F100" s="32" t="str">
        <f>IF(D100="","",VLOOKUP(D100,Courses!$A$5:$G$10,3,FALSE))</f>
        <v/>
      </c>
      <c r="G100" s="4"/>
      <c r="H100" s="4"/>
      <c r="I100" s="4"/>
      <c r="J100" s="28"/>
      <c r="K100" s="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4"/>
      <c r="B101" s="28"/>
      <c r="C101" s="4"/>
      <c r="D101" s="4"/>
      <c r="E101" s="3" t="str">
        <f>IF(D101="","",VLOOKUP(D101,Courses!$A$5:$G$10,2,FALSE))</f>
        <v/>
      </c>
      <c r="F101" s="32" t="str">
        <f>IF(D101="","",VLOOKUP(D101,Courses!$A$5:$G$10,3,FALSE))</f>
        <v/>
      </c>
      <c r="G101" s="4"/>
      <c r="H101" s="4"/>
      <c r="I101" s="4"/>
      <c r="J101" s="28"/>
      <c r="K101" s="4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4"/>
      <c r="B102" s="28"/>
      <c r="C102" s="4"/>
      <c r="D102" s="4"/>
      <c r="E102" s="3" t="str">
        <f>IF(D102="","",VLOOKUP(D102,Courses!$A$5:$G$10,2,FALSE))</f>
        <v/>
      </c>
      <c r="F102" s="32" t="str">
        <f>IF(D102="","",VLOOKUP(D102,Courses!$A$5:$G$10,3,FALSE))</f>
        <v/>
      </c>
      <c r="G102" s="4"/>
      <c r="H102" s="4"/>
      <c r="I102" s="4"/>
      <c r="J102" s="28"/>
      <c r="K102" s="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4"/>
      <c r="B103" s="28"/>
      <c r="C103" s="4"/>
      <c r="D103" s="4"/>
      <c r="E103" s="3" t="str">
        <f>IF(D103="","",VLOOKUP(D103,Courses!$A$5:$G$10,2,FALSE))</f>
        <v/>
      </c>
      <c r="F103" s="32" t="str">
        <f>IF(D103="","",VLOOKUP(D103,Courses!$A$5:$G$10,3,FALSE))</f>
        <v/>
      </c>
      <c r="G103" s="4"/>
      <c r="H103" s="4"/>
      <c r="I103" s="4"/>
      <c r="J103" s="28"/>
      <c r="K103" s="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4"/>
      <c r="B104" s="28"/>
      <c r="C104" s="4"/>
      <c r="D104" s="4"/>
      <c r="E104" s="3" t="str">
        <f>IF(D104="","",VLOOKUP(D104,Courses!$A$5:$G$10,2,FALSE))</f>
        <v/>
      </c>
      <c r="F104" s="32" t="str">
        <f>IF(D104="","",VLOOKUP(D104,Courses!$A$5:$G$10,3,FALSE))</f>
        <v/>
      </c>
      <c r="G104" s="4"/>
      <c r="H104" s="4"/>
      <c r="I104" s="4"/>
      <c r="J104" s="28"/>
      <c r="K104" s="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4"/>
      <c r="B105" s="28"/>
      <c r="C105" s="4"/>
      <c r="D105" s="4"/>
      <c r="E105" s="3" t="str">
        <f>IF(D105="","",VLOOKUP(D105,Courses!$A$5:$G$10,2,FALSE))</f>
        <v/>
      </c>
      <c r="F105" s="32" t="str">
        <f>IF(D105="","",VLOOKUP(D105,Courses!$A$5:$G$10,3,FALSE))</f>
        <v/>
      </c>
      <c r="G105" s="4"/>
      <c r="H105" s="4"/>
      <c r="I105" s="4"/>
      <c r="J105" s="28"/>
      <c r="K105" s="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4"/>
      <c r="B106" s="28"/>
      <c r="C106" s="4"/>
      <c r="D106" s="4"/>
      <c r="E106" s="3" t="str">
        <f>IF(D106="","",VLOOKUP(D106,Courses!$A$5:$G$10,2,FALSE))</f>
        <v/>
      </c>
      <c r="F106" s="32" t="str">
        <f>IF(D106="","",VLOOKUP(D106,Courses!$A$5:$G$10,3,FALSE))</f>
        <v/>
      </c>
      <c r="G106" s="4"/>
      <c r="H106" s="4"/>
      <c r="I106" s="4"/>
      <c r="J106" s="28"/>
      <c r="K106" s="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4"/>
      <c r="B107" s="28"/>
      <c r="C107" s="4"/>
      <c r="D107" s="4"/>
      <c r="E107" s="3" t="str">
        <f>IF(D107="","",VLOOKUP(D107,Courses!$A$5:$G$10,2,FALSE))</f>
        <v/>
      </c>
      <c r="F107" s="32" t="str">
        <f>IF(D107="","",VLOOKUP(D107,Courses!$A$5:$G$10,3,FALSE))</f>
        <v/>
      </c>
      <c r="G107" s="4"/>
      <c r="H107" s="4"/>
      <c r="I107" s="4"/>
      <c r="J107" s="28"/>
      <c r="K107" s="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4"/>
      <c r="B108" s="28"/>
      <c r="C108" s="4"/>
      <c r="D108" s="4"/>
      <c r="E108" s="3" t="str">
        <f>IF(D108="","",VLOOKUP(D108,Courses!$A$5:$G$10,2,FALSE))</f>
        <v/>
      </c>
      <c r="F108" s="32" t="str">
        <f>IF(D108="","",VLOOKUP(D108,Courses!$A$5:$G$10,3,FALSE))</f>
        <v/>
      </c>
      <c r="G108" s="4"/>
      <c r="H108" s="4"/>
      <c r="I108" s="4"/>
      <c r="J108" s="28"/>
      <c r="K108" s="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4"/>
      <c r="B109" s="28"/>
      <c r="C109" s="4"/>
      <c r="D109" s="4"/>
      <c r="E109" s="3" t="str">
        <f>IF(D109="","",VLOOKUP(D109,Courses!$A$5:$G$10,2,FALSE))</f>
        <v/>
      </c>
      <c r="F109" s="32" t="str">
        <f>IF(D109="","",VLOOKUP(D109,Courses!$A$5:$G$10,3,FALSE))</f>
        <v/>
      </c>
      <c r="G109" s="4"/>
      <c r="H109" s="4"/>
      <c r="I109" s="4"/>
      <c r="J109" s="28"/>
      <c r="K109" s="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4"/>
      <c r="B110" s="28"/>
      <c r="C110" s="4"/>
      <c r="D110" s="4"/>
      <c r="E110" s="3" t="str">
        <f>IF(D110="","",VLOOKUP(D110,Courses!$A$5:$G$10,2,FALSE))</f>
        <v/>
      </c>
      <c r="F110" s="32" t="str">
        <f>IF(D110="","",VLOOKUP(D110,Courses!$A$5:$G$10,3,FALSE))</f>
        <v/>
      </c>
      <c r="G110" s="4"/>
      <c r="H110" s="4"/>
      <c r="I110" s="4"/>
      <c r="J110" s="28"/>
      <c r="K110" s="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4"/>
      <c r="B111" s="28"/>
      <c r="C111" s="4"/>
      <c r="D111" s="4"/>
      <c r="E111" s="3" t="str">
        <f>IF(D111="","",VLOOKUP(D111,Courses!$A$5:$G$10,2,FALSE))</f>
        <v/>
      </c>
      <c r="F111" s="32" t="str">
        <f>IF(D111="","",VLOOKUP(D111,Courses!$A$5:$G$10,3,FALSE))</f>
        <v/>
      </c>
      <c r="G111" s="4"/>
      <c r="H111" s="4"/>
      <c r="I111" s="4"/>
      <c r="J111" s="28"/>
      <c r="K111" s="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4"/>
      <c r="B112" s="28"/>
      <c r="C112" s="4"/>
      <c r="D112" s="4"/>
      <c r="E112" s="3" t="str">
        <f>IF(D112="","",VLOOKUP(D112,Courses!$A$5:$G$10,2,FALSE))</f>
        <v/>
      </c>
      <c r="F112" s="32" t="str">
        <f>IF(D112="","",VLOOKUP(D112,Courses!$A$5:$G$10,3,FALSE))</f>
        <v/>
      </c>
      <c r="G112" s="4"/>
      <c r="H112" s="4"/>
      <c r="I112" s="4"/>
      <c r="J112" s="28"/>
      <c r="K112" s="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4"/>
      <c r="B113" s="28"/>
      <c r="C113" s="4"/>
      <c r="D113" s="4"/>
      <c r="E113" s="3" t="str">
        <f>IF(D113="","",VLOOKUP(D113,Courses!$A$5:$G$10,2,FALSE))</f>
        <v/>
      </c>
      <c r="F113" s="32" t="str">
        <f>IF(D113="","",VLOOKUP(D113,Courses!$A$5:$G$10,3,FALSE))</f>
        <v/>
      </c>
      <c r="G113" s="4"/>
      <c r="H113" s="4"/>
      <c r="I113" s="4"/>
      <c r="J113" s="28"/>
      <c r="K113" s="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4"/>
      <c r="B114" s="28"/>
      <c r="C114" s="4"/>
      <c r="D114" s="4"/>
      <c r="E114" s="3" t="str">
        <f>IF(D114="","",VLOOKUP(D114,Courses!$A$5:$G$10,2,FALSE))</f>
        <v/>
      </c>
      <c r="F114" s="32" t="str">
        <f>IF(D114="","",VLOOKUP(D114,Courses!$A$5:$G$10,3,FALSE))</f>
        <v/>
      </c>
      <c r="G114" s="4"/>
      <c r="H114" s="4"/>
      <c r="I114" s="4"/>
      <c r="J114" s="28"/>
      <c r="K114" s="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4"/>
      <c r="B115" s="28"/>
      <c r="C115" s="4"/>
      <c r="D115" s="4"/>
      <c r="E115" s="3" t="str">
        <f>IF(D115="","",VLOOKUP(D115,Courses!$A$5:$G$10,2,FALSE))</f>
        <v/>
      </c>
      <c r="F115" s="32" t="str">
        <f>IF(D115="","",VLOOKUP(D115,Courses!$A$5:$G$10,3,FALSE))</f>
        <v/>
      </c>
      <c r="G115" s="4"/>
      <c r="H115" s="4"/>
      <c r="I115" s="4"/>
      <c r="J115" s="28"/>
      <c r="K115" s="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4"/>
      <c r="B116" s="28"/>
      <c r="C116" s="4"/>
      <c r="D116" s="4"/>
      <c r="E116" s="3" t="str">
        <f>IF(D116="","",VLOOKUP(D116,Courses!$A$5:$G$10,2,FALSE))</f>
        <v/>
      </c>
      <c r="F116" s="32" t="str">
        <f>IF(D116="","",VLOOKUP(D116,Courses!$A$5:$G$10,3,FALSE))</f>
        <v/>
      </c>
      <c r="G116" s="4"/>
      <c r="H116" s="4"/>
      <c r="I116" s="4"/>
      <c r="J116" s="28"/>
      <c r="K116" s="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4"/>
      <c r="B117" s="28"/>
      <c r="C117" s="4"/>
      <c r="D117" s="4"/>
      <c r="E117" s="3" t="str">
        <f>IF(D117="","",VLOOKUP(D117,Courses!$A$5:$G$10,2,FALSE))</f>
        <v/>
      </c>
      <c r="F117" s="32" t="str">
        <f>IF(D117="","",VLOOKUP(D117,Courses!$A$5:$G$10,3,FALSE))</f>
        <v/>
      </c>
      <c r="G117" s="4"/>
      <c r="H117" s="4"/>
      <c r="I117" s="4"/>
      <c r="J117" s="28"/>
      <c r="K117" s="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4"/>
      <c r="B118" s="28"/>
      <c r="C118" s="4"/>
      <c r="D118" s="4"/>
      <c r="E118" s="3" t="str">
        <f>IF(D118="","",VLOOKUP(D118,Courses!$A$5:$G$10,2,FALSE))</f>
        <v/>
      </c>
      <c r="F118" s="32" t="str">
        <f>IF(D118="","",VLOOKUP(D118,Courses!$A$5:$G$10,3,FALSE))</f>
        <v/>
      </c>
      <c r="G118" s="4"/>
      <c r="H118" s="4"/>
      <c r="I118" s="4"/>
      <c r="J118" s="28"/>
      <c r="K118" s="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4"/>
      <c r="B119" s="28"/>
      <c r="C119" s="4"/>
      <c r="D119" s="4"/>
      <c r="E119" s="3" t="str">
        <f>IF(D119="","",VLOOKUP(D119,Courses!$A$5:$G$10,2,FALSE))</f>
        <v/>
      </c>
      <c r="F119" s="32" t="str">
        <f>IF(D119="","",VLOOKUP(D119,Courses!$A$5:$G$10,3,FALSE))</f>
        <v/>
      </c>
      <c r="G119" s="4"/>
      <c r="H119" s="4"/>
      <c r="I119" s="4"/>
      <c r="J119" s="28"/>
      <c r="K119" s="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4"/>
      <c r="B120" s="28"/>
      <c r="C120" s="4"/>
      <c r="D120" s="4"/>
      <c r="E120" s="3" t="str">
        <f>IF(D120="","",VLOOKUP(D120,Courses!$A$5:$G$10,2,FALSE))</f>
        <v/>
      </c>
      <c r="F120" s="32" t="str">
        <f>IF(D120="","",VLOOKUP(D120,Courses!$A$5:$G$10,3,FALSE))</f>
        <v/>
      </c>
      <c r="G120" s="4"/>
      <c r="H120" s="4"/>
      <c r="I120" s="4"/>
      <c r="J120" s="28"/>
      <c r="K120" s="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4"/>
      <c r="B121" s="28"/>
      <c r="C121" s="4"/>
      <c r="D121" s="4"/>
      <c r="E121" s="3" t="str">
        <f>IF(D121="","",VLOOKUP(D121,Courses!$A$5:$G$10,2,FALSE))</f>
        <v/>
      </c>
      <c r="F121" s="32" t="str">
        <f>IF(D121="","",VLOOKUP(D121,Courses!$A$5:$G$10,3,FALSE))</f>
        <v/>
      </c>
      <c r="G121" s="4"/>
      <c r="H121" s="4"/>
      <c r="I121" s="4"/>
      <c r="J121" s="28"/>
      <c r="K121" s="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4"/>
      <c r="B122" s="28"/>
      <c r="C122" s="4"/>
      <c r="D122" s="4"/>
      <c r="E122" s="3" t="str">
        <f>IF(D122="","",VLOOKUP(D122,Courses!$A$5:$G$10,2,FALSE))</f>
        <v/>
      </c>
      <c r="F122" s="32" t="str">
        <f>IF(D122="","",VLOOKUP(D122,Courses!$A$5:$G$10,3,FALSE))</f>
        <v/>
      </c>
      <c r="G122" s="4"/>
      <c r="H122" s="4"/>
      <c r="I122" s="4"/>
      <c r="J122" s="28"/>
      <c r="K122" s="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4"/>
      <c r="B123" s="28"/>
      <c r="C123" s="4"/>
      <c r="D123" s="4"/>
      <c r="E123" s="3" t="str">
        <f>IF(D123="","",VLOOKUP(D123,Courses!$A$5:$G$10,2,FALSE))</f>
        <v/>
      </c>
      <c r="F123" s="32" t="str">
        <f>IF(D123="","",VLOOKUP(D123,Courses!$A$5:$G$10,3,FALSE))</f>
        <v/>
      </c>
      <c r="G123" s="4"/>
      <c r="H123" s="4"/>
      <c r="I123" s="4"/>
      <c r="J123" s="28"/>
      <c r="K123" s="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4"/>
      <c r="B124" s="28"/>
      <c r="C124" s="4"/>
      <c r="D124" s="4"/>
      <c r="E124" s="3" t="str">
        <f>IF(D124="","",VLOOKUP(D124,Courses!$A$5:$G$10,2,FALSE))</f>
        <v/>
      </c>
      <c r="F124" s="32" t="str">
        <f>IF(D124="","",VLOOKUP(D124,Courses!$A$5:$G$10,3,FALSE))</f>
        <v/>
      </c>
      <c r="G124" s="4"/>
      <c r="H124" s="4"/>
      <c r="I124" s="4"/>
      <c r="J124" s="28"/>
      <c r="K124" s="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4"/>
      <c r="B125" s="28"/>
      <c r="C125" s="4"/>
      <c r="D125" s="4"/>
      <c r="E125" s="3" t="str">
        <f>IF(D125="","",VLOOKUP(D125,Courses!$A$5:$G$10,2,FALSE))</f>
        <v/>
      </c>
      <c r="F125" s="32" t="str">
        <f>IF(D125="","",VLOOKUP(D125,Courses!$A$5:$G$10,3,FALSE))</f>
        <v/>
      </c>
      <c r="G125" s="4"/>
      <c r="H125" s="4"/>
      <c r="I125" s="4"/>
      <c r="J125" s="28"/>
      <c r="K125" s="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4"/>
      <c r="B126" s="28"/>
      <c r="C126" s="4"/>
      <c r="D126" s="4"/>
      <c r="E126" s="3" t="str">
        <f>IF(D126="","",VLOOKUP(D126,Courses!$A$5:$G$10,2,FALSE))</f>
        <v/>
      </c>
      <c r="F126" s="32" t="str">
        <f>IF(D126="","",VLOOKUP(D126,Courses!$A$5:$G$10,3,FALSE))</f>
        <v/>
      </c>
      <c r="G126" s="4"/>
      <c r="H126" s="4"/>
      <c r="I126" s="4"/>
      <c r="J126" s="28"/>
      <c r="K126" s="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4"/>
      <c r="B127" s="28"/>
      <c r="C127" s="4"/>
      <c r="D127" s="4"/>
      <c r="E127" s="3" t="str">
        <f>IF(D127="","",VLOOKUP(D127,Courses!$A$5:$G$10,2,FALSE))</f>
        <v/>
      </c>
      <c r="F127" s="32" t="str">
        <f>IF(D127="","",VLOOKUP(D127,Courses!$A$5:$G$10,3,FALSE))</f>
        <v/>
      </c>
      <c r="G127" s="4"/>
      <c r="H127" s="4"/>
      <c r="I127" s="4"/>
      <c r="J127" s="28"/>
      <c r="K127" s="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4"/>
      <c r="B128" s="28"/>
      <c r="C128" s="4"/>
      <c r="D128" s="4"/>
      <c r="E128" s="3" t="str">
        <f>IF(D128="","",VLOOKUP(D128,Courses!$A$5:$G$10,2,FALSE))</f>
        <v/>
      </c>
      <c r="F128" s="32" t="str">
        <f>IF(D128="","",VLOOKUP(D128,Courses!$A$5:$G$10,3,FALSE))</f>
        <v/>
      </c>
      <c r="G128" s="4"/>
      <c r="H128" s="4"/>
      <c r="I128" s="4"/>
      <c r="J128" s="28"/>
      <c r="K128" s="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4"/>
      <c r="B129" s="28"/>
      <c r="C129" s="4"/>
      <c r="D129" s="4"/>
      <c r="E129" s="3" t="str">
        <f>IF(D129="","",VLOOKUP(D129,Courses!$A$5:$G$10,2,FALSE))</f>
        <v/>
      </c>
      <c r="F129" s="32" t="str">
        <f>IF(D129="","",VLOOKUP(D129,Courses!$A$5:$G$10,3,FALSE))</f>
        <v/>
      </c>
      <c r="G129" s="4"/>
      <c r="H129" s="4"/>
      <c r="I129" s="4"/>
      <c r="J129" s="28"/>
      <c r="K129" s="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4"/>
      <c r="B130" s="28"/>
      <c r="C130" s="4"/>
      <c r="D130" s="4"/>
      <c r="E130" s="3" t="str">
        <f>IF(D130="","",VLOOKUP(D130,Courses!$A$5:$G$10,2,FALSE))</f>
        <v/>
      </c>
      <c r="F130" s="32" t="str">
        <f>IF(D130="","",VLOOKUP(D130,Courses!$A$5:$G$10,3,FALSE))</f>
        <v/>
      </c>
      <c r="G130" s="4"/>
      <c r="H130" s="4"/>
      <c r="I130" s="4"/>
      <c r="J130" s="28"/>
      <c r="K130" s="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4"/>
      <c r="B131" s="28"/>
      <c r="C131" s="4"/>
      <c r="D131" s="4"/>
      <c r="E131" s="3" t="str">
        <f>IF(D131="","",VLOOKUP(D131,Courses!$A$5:$G$10,2,FALSE))</f>
        <v/>
      </c>
      <c r="F131" s="32" t="str">
        <f>IF(D131="","",VLOOKUP(D131,Courses!$A$5:$G$10,3,FALSE))</f>
        <v/>
      </c>
      <c r="G131" s="4"/>
      <c r="H131" s="4"/>
      <c r="I131" s="4"/>
      <c r="J131" s="28"/>
      <c r="K131" s="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4"/>
      <c r="B132" s="28"/>
      <c r="C132" s="4"/>
      <c r="D132" s="4"/>
      <c r="E132" s="3" t="str">
        <f>IF(D132="","",VLOOKUP(D132,Courses!$A$5:$G$10,2,FALSE))</f>
        <v/>
      </c>
      <c r="F132" s="32" t="str">
        <f>IF(D132="","",VLOOKUP(D132,Courses!$A$5:$G$10,3,FALSE))</f>
        <v/>
      </c>
      <c r="G132" s="4"/>
      <c r="H132" s="4"/>
      <c r="I132" s="4"/>
      <c r="J132" s="28"/>
      <c r="K132" s="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4"/>
      <c r="B133" s="28"/>
      <c r="C133" s="4"/>
      <c r="D133" s="4"/>
      <c r="E133" s="3" t="str">
        <f>IF(D133="","",VLOOKUP(D133,Courses!$A$5:$G$10,2,FALSE))</f>
        <v/>
      </c>
      <c r="F133" s="32" t="str">
        <f>IF(D133="","",VLOOKUP(D133,Courses!$A$5:$G$10,3,FALSE))</f>
        <v/>
      </c>
      <c r="G133" s="4"/>
      <c r="H133" s="4"/>
      <c r="I133" s="4"/>
      <c r="J133" s="28"/>
      <c r="K133" s="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4"/>
      <c r="B134" s="28"/>
      <c r="C134" s="4"/>
      <c r="D134" s="4"/>
      <c r="E134" s="3" t="str">
        <f>IF(D134="","",VLOOKUP(D134,Courses!$A$5:$G$10,2,FALSE))</f>
        <v/>
      </c>
      <c r="F134" s="32" t="str">
        <f>IF(D134="","",VLOOKUP(D134,Courses!$A$5:$G$10,3,FALSE))</f>
        <v/>
      </c>
      <c r="G134" s="4"/>
      <c r="H134" s="4"/>
      <c r="I134" s="4"/>
      <c r="J134" s="28"/>
      <c r="K134" s="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4"/>
      <c r="B135" s="28"/>
      <c r="C135" s="4"/>
      <c r="D135" s="4"/>
      <c r="E135" s="3" t="str">
        <f>IF(D135="","",VLOOKUP(D135,Courses!$A$5:$G$10,2,FALSE))</f>
        <v/>
      </c>
      <c r="F135" s="32" t="str">
        <f>IF(D135="","",VLOOKUP(D135,Courses!$A$5:$G$10,3,FALSE))</f>
        <v/>
      </c>
      <c r="G135" s="4"/>
      <c r="H135" s="4"/>
      <c r="I135" s="4"/>
      <c r="J135" s="28"/>
      <c r="K135" s="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4"/>
      <c r="B136" s="28"/>
      <c r="C136" s="4"/>
      <c r="D136" s="4"/>
      <c r="E136" s="3" t="str">
        <f>IF(D136="","",VLOOKUP(D136,Courses!$A$5:$G$10,2,FALSE))</f>
        <v/>
      </c>
      <c r="F136" s="32" t="str">
        <f>IF(D136="","",VLOOKUP(D136,Courses!$A$5:$G$10,3,FALSE))</f>
        <v/>
      </c>
      <c r="G136" s="4"/>
      <c r="H136" s="4"/>
      <c r="I136" s="4"/>
      <c r="J136" s="28"/>
      <c r="K136" s="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4"/>
      <c r="B137" s="28"/>
      <c r="C137" s="4"/>
      <c r="D137" s="4"/>
      <c r="E137" s="3" t="str">
        <f>IF(D137="","",VLOOKUP(D137,Courses!$A$5:$G$10,2,FALSE))</f>
        <v/>
      </c>
      <c r="F137" s="32" t="str">
        <f>IF(D137="","",VLOOKUP(D137,Courses!$A$5:$G$10,3,FALSE))</f>
        <v/>
      </c>
      <c r="G137" s="4"/>
      <c r="H137" s="4"/>
      <c r="I137" s="4"/>
      <c r="J137" s="28"/>
      <c r="K137" s="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4"/>
      <c r="B138" s="28"/>
      <c r="C138" s="4"/>
      <c r="D138" s="4"/>
      <c r="E138" s="3" t="str">
        <f>IF(D138="","",VLOOKUP(D138,Courses!$A$5:$G$10,2,FALSE))</f>
        <v/>
      </c>
      <c r="F138" s="32" t="str">
        <f>IF(D138="","",VLOOKUP(D138,Courses!$A$5:$G$10,3,FALSE))</f>
        <v/>
      </c>
      <c r="G138" s="4"/>
      <c r="H138" s="4"/>
      <c r="I138" s="4"/>
      <c r="J138" s="28"/>
      <c r="K138" s="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4"/>
      <c r="B139" s="28"/>
      <c r="C139" s="4"/>
      <c r="D139" s="4"/>
      <c r="E139" s="3" t="str">
        <f>IF(D139="","",VLOOKUP(D139,Courses!$A$5:$G$10,2,FALSE))</f>
        <v/>
      </c>
      <c r="F139" s="32" t="str">
        <f>IF(D139="","",VLOOKUP(D139,Courses!$A$5:$G$10,3,FALSE))</f>
        <v/>
      </c>
      <c r="G139" s="4"/>
      <c r="H139" s="4"/>
      <c r="I139" s="4"/>
      <c r="J139" s="28"/>
      <c r="K139" s="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4"/>
      <c r="B140" s="28"/>
      <c r="C140" s="4"/>
      <c r="D140" s="4"/>
      <c r="E140" s="3" t="str">
        <f>IF(D140="","",VLOOKUP(D140,Courses!$A$5:$G$10,2,FALSE))</f>
        <v/>
      </c>
      <c r="F140" s="32" t="str">
        <f>IF(D140="","",VLOOKUP(D140,Courses!$A$5:$G$10,3,FALSE))</f>
        <v/>
      </c>
      <c r="G140" s="4"/>
      <c r="H140" s="4"/>
      <c r="I140" s="4"/>
      <c r="J140" s="28"/>
      <c r="K140" s="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4"/>
      <c r="B141" s="28"/>
      <c r="C141" s="4"/>
      <c r="D141" s="4"/>
      <c r="E141" s="3" t="str">
        <f>IF(D141="","",VLOOKUP(D141,Courses!$A$5:$G$10,2,FALSE))</f>
        <v/>
      </c>
      <c r="F141" s="32" t="str">
        <f>IF(D141="","",VLOOKUP(D141,Courses!$A$5:$G$10,3,FALSE))</f>
        <v/>
      </c>
      <c r="G141" s="4"/>
      <c r="H141" s="4"/>
      <c r="I141" s="4"/>
      <c r="J141" s="28"/>
      <c r="K141" s="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4"/>
      <c r="B142" s="28"/>
      <c r="C142" s="4"/>
      <c r="D142" s="4"/>
      <c r="E142" s="3" t="str">
        <f>IF(D142="","",VLOOKUP(D142,Courses!$A$5:$G$10,2,FALSE))</f>
        <v/>
      </c>
      <c r="F142" s="32" t="str">
        <f>IF(D142="","",VLOOKUP(D142,Courses!$A$5:$G$10,3,FALSE))</f>
        <v/>
      </c>
      <c r="G142" s="4"/>
      <c r="H142" s="4"/>
      <c r="I142" s="4"/>
      <c r="J142" s="28"/>
      <c r="K142" s="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4"/>
      <c r="B143" s="28"/>
      <c r="C143" s="4"/>
      <c r="D143" s="4"/>
      <c r="E143" s="3" t="str">
        <f>IF(D143="","",VLOOKUP(D143,Courses!$A$5:$G$10,2,FALSE))</f>
        <v/>
      </c>
      <c r="F143" s="32" t="str">
        <f>IF(D143="","",VLOOKUP(D143,Courses!$A$5:$G$10,3,FALSE))</f>
        <v/>
      </c>
      <c r="G143" s="4"/>
      <c r="H143" s="4"/>
      <c r="I143" s="4"/>
      <c r="J143" s="28"/>
      <c r="K143" s="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4"/>
      <c r="B144" s="28"/>
      <c r="C144" s="4"/>
      <c r="D144" s="4"/>
      <c r="E144" s="3" t="str">
        <f>IF(D144="","",VLOOKUP(D144,Courses!$A$5:$G$10,2,FALSE))</f>
        <v/>
      </c>
      <c r="F144" s="32" t="str">
        <f>IF(D144="","",VLOOKUP(D144,Courses!$A$5:$G$10,3,FALSE))</f>
        <v/>
      </c>
      <c r="G144" s="4"/>
      <c r="H144" s="4"/>
      <c r="I144" s="4"/>
      <c r="J144" s="28"/>
      <c r="K144" s="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4"/>
      <c r="B145" s="28"/>
      <c r="C145" s="4"/>
      <c r="D145" s="4"/>
      <c r="E145" s="3" t="str">
        <f>IF(D145="","",VLOOKUP(D145,Courses!$A$5:$G$10,2,FALSE))</f>
        <v/>
      </c>
      <c r="F145" s="32" t="str">
        <f>IF(D145="","",VLOOKUP(D145,Courses!$A$5:$G$10,3,FALSE))</f>
        <v/>
      </c>
      <c r="G145" s="4"/>
      <c r="H145" s="4"/>
      <c r="I145" s="4"/>
      <c r="J145" s="28"/>
      <c r="K145" s="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4"/>
      <c r="B146" s="28"/>
      <c r="C146" s="4"/>
      <c r="D146" s="4"/>
      <c r="E146" s="3" t="str">
        <f>IF(D146="","",VLOOKUP(D146,Courses!$A$5:$G$10,2,FALSE))</f>
        <v/>
      </c>
      <c r="F146" s="32" t="str">
        <f>IF(D146="","",VLOOKUP(D146,Courses!$A$5:$G$10,3,FALSE))</f>
        <v/>
      </c>
      <c r="G146" s="4"/>
      <c r="H146" s="4"/>
      <c r="I146" s="4"/>
      <c r="J146" s="28"/>
      <c r="K146" s="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4"/>
      <c r="B147" s="28"/>
      <c r="C147" s="4"/>
      <c r="D147" s="4"/>
      <c r="E147" s="3" t="str">
        <f>IF(D147="","",VLOOKUP(D147,Courses!$A$5:$G$10,2,FALSE))</f>
        <v/>
      </c>
      <c r="F147" s="32" t="str">
        <f>IF(D147="","",VLOOKUP(D147,Courses!$A$5:$G$10,3,FALSE))</f>
        <v/>
      </c>
      <c r="G147" s="4"/>
      <c r="H147" s="4"/>
      <c r="I147" s="4"/>
      <c r="J147" s="28"/>
      <c r="K147" s="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4"/>
      <c r="B148" s="28"/>
      <c r="C148" s="4"/>
      <c r="D148" s="4"/>
      <c r="E148" s="3" t="str">
        <f>IF(D148="","",VLOOKUP(D148,Courses!$A$5:$G$10,2,FALSE))</f>
        <v/>
      </c>
      <c r="F148" s="32" t="str">
        <f>IF(D148="","",VLOOKUP(D148,Courses!$A$5:$G$10,3,FALSE))</f>
        <v/>
      </c>
      <c r="G148" s="4"/>
      <c r="H148" s="4"/>
      <c r="I148" s="4"/>
      <c r="J148" s="28"/>
      <c r="K148" s="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4"/>
      <c r="B149" s="28"/>
      <c r="C149" s="4"/>
      <c r="D149" s="4"/>
      <c r="E149" s="3" t="str">
        <f>IF(D149="","",VLOOKUP(D149,Courses!$A$5:$G$10,2,FALSE))</f>
        <v/>
      </c>
      <c r="F149" s="32" t="str">
        <f>IF(D149="","",VLOOKUP(D149,Courses!$A$5:$G$10,3,FALSE))</f>
        <v/>
      </c>
      <c r="G149" s="4"/>
      <c r="H149" s="4"/>
      <c r="I149" s="4"/>
      <c r="J149" s="28"/>
      <c r="K149" s="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4"/>
      <c r="B150" s="28"/>
      <c r="C150" s="4"/>
      <c r="D150" s="4"/>
      <c r="E150" s="3" t="str">
        <f>IF(D150="","",VLOOKUP(D150,Courses!$A$5:$G$10,2,FALSE))</f>
        <v/>
      </c>
      <c r="F150" s="32" t="str">
        <f>IF(D150="","",VLOOKUP(D150,Courses!$A$5:$G$10,3,FALSE))</f>
        <v/>
      </c>
      <c r="G150" s="4"/>
      <c r="H150" s="4"/>
      <c r="I150" s="4"/>
      <c r="J150" s="28"/>
      <c r="K150" s="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4"/>
      <c r="B151" s="28"/>
      <c r="C151" s="4"/>
      <c r="D151" s="4"/>
      <c r="E151" s="3" t="str">
        <f>IF(D151="","",VLOOKUP(D151,Courses!$A$5:$G$10,2,FALSE))</f>
        <v/>
      </c>
      <c r="F151" s="32" t="str">
        <f>IF(D151="","",VLOOKUP(D151,Courses!$A$5:$G$10,3,FALSE))</f>
        <v/>
      </c>
      <c r="G151" s="4"/>
      <c r="H151" s="4"/>
      <c r="I151" s="4"/>
      <c r="J151" s="28"/>
      <c r="K151" s="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4"/>
      <c r="B152" s="28"/>
      <c r="C152" s="4"/>
      <c r="D152" s="4"/>
      <c r="E152" s="3" t="str">
        <f>IF(D152="","",VLOOKUP(D152,Courses!$A$5:$G$10,2,FALSE))</f>
        <v/>
      </c>
      <c r="F152" s="32" t="str">
        <f>IF(D152="","",VLOOKUP(D152,Courses!$A$5:$G$10,3,FALSE))</f>
        <v/>
      </c>
      <c r="G152" s="4"/>
      <c r="H152" s="4"/>
      <c r="I152" s="4"/>
      <c r="J152" s="28"/>
      <c r="K152" s="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4"/>
      <c r="B153" s="28"/>
      <c r="C153" s="4"/>
      <c r="D153" s="4"/>
      <c r="E153" s="3" t="str">
        <f>IF(D153="","",VLOOKUP(D153,Courses!$A$5:$G$10,2,FALSE))</f>
        <v/>
      </c>
      <c r="F153" s="32" t="str">
        <f>IF(D153="","",VLOOKUP(D153,Courses!$A$5:$G$10,3,FALSE))</f>
        <v/>
      </c>
      <c r="G153" s="4"/>
      <c r="H153" s="4"/>
      <c r="I153" s="4"/>
      <c r="J153" s="28"/>
      <c r="K153" s="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4"/>
      <c r="B154" s="28"/>
      <c r="C154" s="4"/>
      <c r="D154" s="4"/>
      <c r="E154" s="3" t="str">
        <f>IF(D154="","",VLOOKUP(D154,Courses!$A$5:$G$10,2,FALSE))</f>
        <v/>
      </c>
      <c r="F154" s="32" t="str">
        <f>IF(D154="","",VLOOKUP(D154,Courses!$A$5:$G$10,3,FALSE))</f>
        <v/>
      </c>
      <c r="G154" s="4"/>
      <c r="H154" s="4"/>
      <c r="I154" s="4"/>
      <c r="J154" s="28"/>
      <c r="K154" s="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4"/>
      <c r="B155" s="28"/>
      <c r="C155" s="4"/>
      <c r="D155" s="4"/>
      <c r="E155" s="3" t="str">
        <f>IF(D155="","",VLOOKUP(D155,Courses!$A$5:$G$10,2,FALSE))</f>
        <v/>
      </c>
      <c r="F155" s="32" t="str">
        <f>IF(D155="","",VLOOKUP(D155,Courses!$A$5:$G$10,3,FALSE))</f>
        <v/>
      </c>
      <c r="G155" s="4"/>
      <c r="H155" s="4"/>
      <c r="I155" s="4"/>
      <c r="J155" s="28"/>
      <c r="K155" s="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4"/>
      <c r="B156" s="28"/>
      <c r="C156" s="4"/>
      <c r="D156" s="4"/>
      <c r="E156" s="3" t="str">
        <f>IF(D156="","",VLOOKUP(D156,Courses!$A$5:$G$10,2,FALSE))</f>
        <v/>
      </c>
      <c r="F156" s="32" t="str">
        <f>IF(D156="","",VLOOKUP(D156,Courses!$A$5:$G$10,3,FALSE))</f>
        <v/>
      </c>
      <c r="G156" s="4"/>
      <c r="H156" s="4"/>
      <c r="I156" s="4"/>
      <c r="J156" s="28"/>
      <c r="K156" s="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4"/>
      <c r="B157" s="28"/>
      <c r="C157" s="4"/>
      <c r="D157" s="4"/>
      <c r="E157" s="3" t="str">
        <f>IF(D157="","",VLOOKUP(D157,Courses!$A$5:$G$10,2,FALSE))</f>
        <v/>
      </c>
      <c r="F157" s="32" t="str">
        <f>IF(D157="","",VLOOKUP(D157,Courses!$A$5:$G$10,3,FALSE))</f>
        <v/>
      </c>
      <c r="G157" s="4"/>
      <c r="H157" s="4"/>
      <c r="I157" s="4"/>
      <c r="J157" s="28"/>
      <c r="K157" s="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4"/>
      <c r="B158" s="28"/>
      <c r="C158" s="4"/>
      <c r="D158" s="4"/>
      <c r="E158" s="3" t="str">
        <f>IF(D158="","",VLOOKUP(D158,Courses!$A$5:$G$10,2,FALSE))</f>
        <v/>
      </c>
      <c r="F158" s="32" t="str">
        <f>IF(D158="","",VLOOKUP(D158,Courses!$A$5:$G$10,3,FALSE))</f>
        <v/>
      </c>
      <c r="G158" s="4"/>
      <c r="H158" s="4"/>
      <c r="I158" s="4"/>
      <c r="J158" s="28"/>
      <c r="K158" s="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4"/>
      <c r="B159" s="28"/>
      <c r="C159" s="4"/>
      <c r="D159" s="4"/>
      <c r="E159" s="3" t="str">
        <f>IF(D159="","",VLOOKUP(D159,Courses!$A$5:$G$10,2,FALSE))</f>
        <v/>
      </c>
      <c r="F159" s="32" t="str">
        <f>IF(D159="","",VLOOKUP(D159,Courses!$A$5:$G$10,3,FALSE))</f>
        <v/>
      </c>
      <c r="G159" s="4"/>
      <c r="H159" s="4"/>
      <c r="I159" s="4"/>
      <c r="J159" s="28"/>
      <c r="K159" s="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4"/>
      <c r="B160" s="28"/>
      <c r="C160" s="4"/>
      <c r="D160" s="4"/>
      <c r="E160" s="3" t="str">
        <f>IF(D160="","",VLOOKUP(D160,Courses!$A$5:$G$10,2,FALSE))</f>
        <v/>
      </c>
      <c r="F160" s="32" t="str">
        <f>IF(D160="","",VLOOKUP(D160,Courses!$A$5:$G$10,3,FALSE))</f>
        <v/>
      </c>
      <c r="G160" s="4"/>
      <c r="H160" s="4"/>
      <c r="I160" s="4"/>
      <c r="J160" s="28"/>
      <c r="K160" s="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4"/>
      <c r="B161" s="28"/>
      <c r="C161" s="4"/>
      <c r="D161" s="4"/>
      <c r="E161" s="3" t="str">
        <f>IF(D161="","",VLOOKUP(D161,Courses!$A$5:$G$10,2,FALSE))</f>
        <v/>
      </c>
      <c r="F161" s="32" t="str">
        <f>IF(D161="","",VLOOKUP(D161,Courses!$A$5:$G$10,3,FALSE))</f>
        <v/>
      </c>
      <c r="G161" s="4"/>
      <c r="H161" s="4"/>
      <c r="I161" s="4"/>
      <c r="J161" s="28"/>
      <c r="K161" s="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4"/>
      <c r="B162" s="28"/>
      <c r="C162" s="4"/>
      <c r="D162" s="4"/>
      <c r="E162" s="3" t="str">
        <f>IF(D162="","",VLOOKUP(D162,Courses!$A$5:$G$10,2,FALSE))</f>
        <v/>
      </c>
      <c r="F162" s="32" t="str">
        <f>IF(D162="","",VLOOKUP(D162,Courses!$A$5:$G$10,3,FALSE))</f>
        <v/>
      </c>
      <c r="G162" s="4"/>
      <c r="H162" s="4"/>
      <c r="I162" s="4"/>
      <c r="J162" s="28"/>
      <c r="K162" s="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4"/>
      <c r="B163" s="28"/>
      <c r="C163" s="4"/>
      <c r="D163" s="4"/>
      <c r="E163" s="3" t="str">
        <f>IF(D163="","",VLOOKUP(D163,Courses!$A$5:$G$10,2,FALSE))</f>
        <v/>
      </c>
      <c r="F163" s="32" t="str">
        <f>IF(D163="","",VLOOKUP(D163,Courses!$A$5:$G$10,3,FALSE))</f>
        <v/>
      </c>
      <c r="G163" s="4"/>
      <c r="H163" s="4"/>
      <c r="I163" s="4"/>
      <c r="J163" s="28"/>
      <c r="K163" s="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4"/>
      <c r="B164" s="28"/>
      <c r="C164" s="4"/>
      <c r="D164" s="4"/>
      <c r="E164" s="3" t="str">
        <f>IF(D164="","",VLOOKUP(D164,Courses!$A$5:$G$10,2,FALSE))</f>
        <v/>
      </c>
      <c r="F164" s="32" t="str">
        <f>IF(D164="","",VLOOKUP(D164,Courses!$A$5:$G$10,3,FALSE))</f>
        <v/>
      </c>
      <c r="G164" s="4"/>
      <c r="H164" s="4"/>
      <c r="I164" s="4"/>
      <c r="J164" s="28"/>
      <c r="K164" s="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4"/>
      <c r="B165" s="28"/>
      <c r="C165" s="4"/>
      <c r="D165" s="4"/>
      <c r="E165" s="3" t="str">
        <f>IF(D165="","",VLOOKUP(D165,Courses!$A$5:$G$10,2,FALSE))</f>
        <v/>
      </c>
      <c r="F165" s="32" t="str">
        <f>IF(D165="","",VLOOKUP(D165,Courses!$A$5:$G$10,3,FALSE))</f>
        <v/>
      </c>
      <c r="G165" s="4"/>
      <c r="H165" s="4"/>
      <c r="I165" s="4"/>
      <c r="J165" s="28"/>
      <c r="K165" s="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4"/>
      <c r="B166" s="28"/>
      <c r="C166" s="4"/>
      <c r="D166" s="4"/>
      <c r="E166" s="3" t="str">
        <f>IF(D166="","",VLOOKUP(D166,Courses!$A$5:$G$10,2,FALSE))</f>
        <v/>
      </c>
      <c r="F166" s="32" t="str">
        <f>IF(D166="","",VLOOKUP(D166,Courses!$A$5:$G$10,3,FALSE))</f>
        <v/>
      </c>
      <c r="G166" s="4"/>
      <c r="H166" s="4"/>
      <c r="I166" s="4"/>
      <c r="J166" s="28"/>
      <c r="K166" s="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4"/>
      <c r="B167" s="28"/>
      <c r="C167" s="4"/>
      <c r="D167" s="4"/>
      <c r="E167" s="3" t="str">
        <f>IF(D167="","",VLOOKUP(D167,Courses!$A$5:$G$10,2,FALSE))</f>
        <v/>
      </c>
      <c r="F167" s="32" t="str">
        <f>IF(D167="","",VLOOKUP(D167,Courses!$A$5:$G$10,3,FALSE))</f>
        <v/>
      </c>
      <c r="G167" s="4"/>
      <c r="H167" s="4"/>
      <c r="I167" s="4"/>
      <c r="J167" s="28"/>
      <c r="K167" s="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4"/>
      <c r="B168" s="28"/>
      <c r="C168" s="4"/>
      <c r="D168" s="4"/>
      <c r="E168" s="3" t="str">
        <f>IF(D168="","",VLOOKUP(D168,Courses!$A$5:$G$10,2,FALSE))</f>
        <v/>
      </c>
      <c r="F168" s="32" t="str">
        <f>IF(D168="","",VLOOKUP(D168,Courses!$A$5:$G$10,3,FALSE))</f>
        <v/>
      </c>
      <c r="G168" s="4"/>
      <c r="H168" s="4"/>
      <c r="I168" s="4"/>
      <c r="J168" s="28"/>
      <c r="K168" s="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4"/>
      <c r="B169" s="28"/>
      <c r="C169" s="4"/>
      <c r="D169" s="4"/>
      <c r="E169" s="3" t="str">
        <f>IF(D169="","",VLOOKUP(D169,Courses!$A$5:$G$10,2,FALSE))</f>
        <v/>
      </c>
      <c r="F169" s="32" t="str">
        <f>IF(D169="","",VLOOKUP(D169,Courses!$A$5:$G$10,3,FALSE))</f>
        <v/>
      </c>
      <c r="G169" s="4"/>
      <c r="H169" s="4"/>
      <c r="I169" s="4"/>
      <c r="J169" s="28"/>
      <c r="K169" s="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4"/>
      <c r="B170" s="28"/>
      <c r="C170" s="4"/>
      <c r="D170" s="4"/>
      <c r="E170" s="3" t="str">
        <f>IF(D170="","",VLOOKUP(D170,Courses!$A$5:$G$10,2,FALSE))</f>
        <v/>
      </c>
      <c r="F170" s="32" t="str">
        <f>IF(D170="","",VLOOKUP(D170,Courses!$A$5:$G$10,3,FALSE))</f>
        <v/>
      </c>
      <c r="G170" s="4"/>
      <c r="H170" s="4"/>
      <c r="I170" s="4"/>
      <c r="J170" s="28"/>
      <c r="K170" s="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4"/>
      <c r="B171" s="28"/>
      <c r="C171" s="4"/>
      <c r="D171" s="4"/>
      <c r="E171" s="3" t="str">
        <f>IF(D171="","",VLOOKUP(D171,Courses!$A$5:$G$10,2,FALSE))</f>
        <v/>
      </c>
      <c r="F171" s="32" t="str">
        <f>IF(D171="","",VLOOKUP(D171,Courses!$A$5:$G$10,3,FALSE))</f>
        <v/>
      </c>
      <c r="G171" s="4"/>
      <c r="H171" s="4"/>
      <c r="I171" s="4"/>
      <c r="J171" s="28"/>
      <c r="K171" s="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4"/>
      <c r="B172" s="28"/>
      <c r="C172" s="4"/>
      <c r="D172" s="4"/>
      <c r="E172" s="3" t="str">
        <f>IF(D172="","",VLOOKUP(D172,Courses!$A$5:$G$10,2,FALSE))</f>
        <v/>
      </c>
      <c r="F172" s="32" t="str">
        <f>IF(D172="","",VLOOKUP(D172,Courses!$A$5:$G$10,3,FALSE))</f>
        <v/>
      </c>
      <c r="G172" s="4"/>
      <c r="H172" s="4"/>
      <c r="I172" s="4"/>
      <c r="J172" s="28"/>
      <c r="K172" s="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4"/>
      <c r="B173" s="28"/>
      <c r="C173" s="4"/>
      <c r="D173" s="4"/>
      <c r="E173" s="3" t="str">
        <f>IF(D173="","",VLOOKUP(D173,Courses!$A$5:$G$10,2,FALSE))</f>
        <v/>
      </c>
      <c r="F173" s="32" t="str">
        <f>IF(D173="","",VLOOKUP(D173,Courses!$A$5:$G$10,3,FALSE))</f>
        <v/>
      </c>
      <c r="G173" s="4"/>
      <c r="H173" s="4"/>
      <c r="I173" s="4"/>
      <c r="J173" s="28"/>
      <c r="K173" s="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4"/>
      <c r="B174" s="28"/>
      <c r="C174" s="4"/>
      <c r="D174" s="4"/>
      <c r="E174" s="3" t="str">
        <f>IF(D174="","",VLOOKUP(D174,Courses!$A$5:$G$10,2,FALSE))</f>
        <v/>
      </c>
      <c r="F174" s="32" t="str">
        <f>IF(D174="","",VLOOKUP(D174,Courses!$A$5:$G$10,3,FALSE))</f>
        <v/>
      </c>
      <c r="G174" s="4"/>
      <c r="H174" s="4"/>
      <c r="I174" s="4"/>
      <c r="J174" s="28"/>
      <c r="K174" s="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4"/>
      <c r="B175" s="28"/>
      <c r="C175" s="4"/>
      <c r="D175" s="4"/>
      <c r="E175" s="3" t="str">
        <f>IF(D175="","",VLOOKUP(D175,Courses!$A$5:$G$10,2,FALSE))</f>
        <v/>
      </c>
      <c r="F175" s="32" t="str">
        <f>IF(D175="","",VLOOKUP(D175,Courses!$A$5:$G$10,3,FALSE))</f>
        <v/>
      </c>
      <c r="G175" s="4"/>
      <c r="H175" s="4"/>
      <c r="I175" s="4"/>
      <c r="J175" s="28"/>
      <c r="K175" s="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4"/>
      <c r="B176" s="28"/>
      <c r="C176" s="4"/>
      <c r="D176" s="4"/>
      <c r="E176" s="3" t="str">
        <f>IF(D176="","",VLOOKUP(D176,Courses!$A$5:$G$10,2,FALSE))</f>
        <v/>
      </c>
      <c r="F176" s="32" t="str">
        <f>IF(D176="","",VLOOKUP(D176,Courses!$A$5:$G$10,3,FALSE))</f>
        <v/>
      </c>
      <c r="G176" s="4"/>
      <c r="H176" s="4"/>
      <c r="I176" s="4"/>
      <c r="J176" s="28"/>
      <c r="K176" s="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4"/>
      <c r="B177" s="28"/>
      <c r="C177" s="4"/>
      <c r="D177" s="4"/>
      <c r="E177" s="3" t="str">
        <f>IF(D177="","",VLOOKUP(D177,Courses!$A$5:$G$10,2,FALSE))</f>
        <v/>
      </c>
      <c r="F177" s="32" t="str">
        <f>IF(D177="","",VLOOKUP(D177,Courses!$A$5:$G$10,3,FALSE))</f>
        <v/>
      </c>
      <c r="G177" s="4"/>
      <c r="H177" s="4"/>
      <c r="I177" s="4"/>
      <c r="J177" s="28"/>
      <c r="K177" s="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4"/>
      <c r="B178" s="28"/>
      <c r="C178" s="4"/>
      <c r="D178" s="4"/>
      <c r="E178" s="3" t="str">
        <f>IF(D178="","",VLOOKUP(D178,Courses!$A$5:$G$10,2,FALSE))</f>
        <v/>
      </c>
      <c r="F178" s="32" t="str">
        <f>IF(D178="","",VLOOKUP(D178,Courses!$A$5:$G$10,3,FALSE))</f>
        <v/>
      </c>
      <c r="G178" s="4"/>
      <c r="H178" s="4"/>
      <c r="I178" s="4"/>
      <c r="J178" s="28"/>
      <c r="K178" s="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4"/>
      <c r="B179" s="28"/>
      <c r="C179" s="4"/>
      <c r="D179" s="4"/>
      <c r="E179" s="3" t="str">
        <f>IF(D179="","",VLOOKUP(D179,Courses!$A$5:$G$10,2,FALSE))</f>
        <v/>
      </c>
      <c r="F179" s="32" t="str">
        <f>IF(D179="","",VLOOKUP(D179,Courses!$A$5:$G$10,3,FALSE))</f>
        <v/>
      </c>
      <c r="G179" s="4"/>
      <c r="H179" s="4"/>
      <c r="I179" s="4"/>
      <c r="J179" s="28"/>
      <c r="K179" s="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4"/>
      <c r="B180" s="28"/>
      <c r="C180" s="4"/>
      <c r="D180" s="4"/>
      <c r="E180" s="3" t="str">
        <f>IF(D180="","",VLOOKUP(D180,Courses!$A$5:$G$10,2,FALSE))</f>
        <v/>
      </c>
      <c r="F180" s="32" t="str">
        <f>IF(D180="","",VLOOKUP(D180,Courses!$A$5:$G$10,3,FALSE))</f>
        <v/>
      </c>
      <c r="G180" s="4"/>
      <c r="H180" s="4"/>
      <c r="I180" s="4"/>
      <c r="J180" s="28"/>
      <c r="K180" s="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4"/>
      <c r="B181" s="28"/>
      <c r="C181" s="4"/>
      <c r="D181" s="4"/>
      <c r="E181" s="3" t="str">
        <f>IF(D181="","",VLOOKUP(D181,Courses!$A$5:$G$10,2,FALSE))</f>
        <v/>
      </c>
      <c r="F181" s="32" t="str">
        <f>IF(D181="","",VLOOKUP(D181,Courses!$A$5:$G$10,3,FALSE))</f>
        <v/>
      </c>
      <c r="G181" s="4"/>
      <c r="H181" s="4"/>
      <c r="I181" s="4"/>
      <c r="J181" s="28"/>
      <c r="K181" s="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4"/>
      <c r="B182" s="28"/>
      <c r="C182" s="4"/>
      <c r="D182" s="4"/>
      <c r="E182" s="3" t="str">
        <f>IF(D182="","",VLOOKUP(D182,Courses!$A$5:$G$10,2,FALSE))</f>
        <v/>
      </c>
      <c r="F182" s="32" t="str">
        <f>IF(D182="","",VLOOKUP(D182,Courses!$A$5:$G$10,3,FALSE))</f>
        <v/>
      </c>
      <c r="G182" s="4"/>
      <c r="H182" s="4"/>
      <c r="I182" s="4"/>
      <c r="J182" s="28"/>
      <c r="K182" s="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4"/>
      <c r="B183" s="28"/>
      <c r="C183" s="4"/>
      <c r="D183" s="4"/>
      <c r="E183" s="3" t="str">
        <f>IF(D183="","",VLOOKUP(D183,Courses!$A$5:$G$10,2,FALSE))</f>
        <v/>
      </c>
      <c r="F183" s="32" t="str">
        <f>IF(D183="","",VLOOKUP(D183,Courses!$A$5:$G$10,3,FALSE))</f>
        <v/>
      </c>
      <c r="G183" s="4"/>
      <c r="H183" s="4"/>
      <c r="I183" s="4"/>
      <c r="J183" s="28"/>
      <c r="K183" s="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4"/>
      <c r="B184" s="28"/>
      <c r="C184" s="4"/>
      <c r="D184" s="4"/>
      <c r="E184" s="3" t="str">
        <f>IF(D184="","",VLOOKUP(D184,Courses!$A$5:$G$10,2,FALSE))</f>
        <v/>
      </c>
      <c r="F184" s="32" t="str">
        <f>IF(D184="","",VLOOKUP(D184,Courses!$A$5:$G$10,3,FALSE))</f>
        <v/>
      </c>
      <c r="G184" s="4"/>
      <c r="H184" s="4"/>
      <c r="I184" s="4"/>
      <c r="J184" s="28"/>
      <c r="K184" s="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4"/>
      <c r="B185" s="28"/>
      <c r="C185" s="4"/>
      <c r="D185" s="4"/>
      <c r="E185" s="3" t="str">
        <f>IF(D185="","",VLOOKUP(D185,Courses!$A$5:$G$10,2,FALSE))</f>
        <v/>
      </c>
      <c r="F185" s="32" t="str">
        <f>IF(D185="","",VLOOKUP(D185,Courses!$A$5:$G$10,3,FALSE))</f>
        <v/>
      </c>
      <c r="G185" s="4"/>
      <c r="H185" s="4"/>
      <c r="I185" s="4"/>
      <c r="J185" s="28"/>
      <c r="K185" s="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4"/>
      <c r="B186" s="28"/>
      <c r="C186" s="4"/>
      <c r="D186" s="4"/>
      <c r="E186" s="3" t="str">
        <f>IF(D186="","",VLOOKUP(D186,Courses!$A$5:$G$10,2,FALSE))</f>
        <v/>
      </c>
      <c r="F186" s="32" t="str">
        <f>IF(D186="","",VLOOKUP(D186,Courses!$A$5:$G$10,3,FALSE))</f>
        <v/>
      </c>
      <c r="G186" s="4"/>
      <c r="H186" s="4"/>
      <c r="I186" s="4"/>
      <c r="J186" s="28"/>
      <c r="K186" s="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4"/>
      <c r="B187" s="28"/>
      <c r="C187" s="4"/>
      <c r="D187" s="4"/>
      <c r="E187" s="3" t="str">
        <f>IF(D187="","",VLOOKUP(D187,Courses!$A$5:$G$10,2,FALSE))</f>
        <v/>
      </c>
      <c r="F187" s="32" t="str">
        <f>IF(D187="","",VLOOKUP(D187,Courses!$A$5:$G$10,3,FALSE))</f>
        <v/>
      </c>
      <c r="G187" s="4"/>
      <c r="H187" s="4"/>
      <c r="I187" s="4"/>
      <c r="J187" s="28"/>
      <c r="K187" s="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4"/>
      <c r="B188" s="28"/>
      <c r="C188" s="4"/>
      <c r="D188" s="4"/>
      <c r="E188" s="3" t="str">
        <f>IF(D188="","",VLOOKUP(D188,Courses!$A$5:$G$10,2,FALSE))</f>
        <v/>
      </c>
      <c r="F188" s="32" t="str">
        <f>IF(D188="","",VLOOKUP(D188,Courses!$A$5:$G$10,3,FALSE))</f>
        <v/>
      </c>
      <c r="G188" s="4"/>
      <c r="H188" s="4"/>
      <c r="I188" s="4"/>
      <c r="J188" s="28"/>
      <c r="K188" s="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4"/>
      <c r="B189" s="28"/>
      <c r="C189" s="4"/>
      <c r="D189" s="4"/>
      <c r="E189" s="3" t="str">
        <f>IF(D189="","",VLOOKUP(D189,Courses!$A$5:$G$10,2,FALSE))</f>
        <v/>
      </c>
      <c r="F189" s="32" t="str">
        <f>IF(D189="","",VLOOKUP(D189,Courses!$A$5:$G$10,3,FALSE))</f>
        <v/>
      </c>
      <c r="G189" s="4"/>
      <c r="H189" s="4"/>
      <c r="I189" s="4"/>
      <c r="J189" s="28"/>
      <c r="K189" s="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4"/>
      <c r="B190" s="28"/>
      <c r="C190" s="4"/>
      <c r="D190" s="4"/>
      <c r="E190" s="3" t="str">
        <f>IF(D190="","",VLOOKUP(D190,Courses!$A$5:$G$10,2,FALSE))</f>
        <v/>
      </c>
      <c r="F190" s="32" t="str">
        <f>IF(D190="","",VLOOKUP(D190,Courses!$A$5:$G$10,3,FALSE))</f>
        <v/>
      </c>
      <c r="G190" s="4"/>
      <c r="H190" s="4"/>
      <c r="I190" s="4"/>
      <c r="J190" s="28"/>
      <c r="K190" s="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4"/>
      <c r="B191" s="28"/>
      <c r="C191" s="4"/>
      <c r="D191" s="4"/>
      <c r="E191" s="3" t="str">
        <f>IF(D191="","",VLOOKUP(D191,Courses!$A$5:$G$10,2,FALSE))</f>
        <v/>
      </c>
      <c r="F191" s="32" t="str">
        <f>IF(D191="","",VLOOKUP(D191,Courses!$A$5:$G$10,3,FALSE))</f>
        <v/>
      </c>
      <c r="G191" s="4"/>
      <c r="H191" s="4"/>
      <c r="I191" s="4"/>
      <c r="J191" s="28"/>
      <c r="K191" s="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4"/>
      <c r="B192" s="28"/>
      <c r="C192" s="4"/>
      <c r="D192" s="4"/>
      <c r="E192" s="3" t="str">
        <f>IF(D192="","",VLOOKUP(D192,Courses!$A$5:$G$10,2,FALSE))</f>
        <v/>
      </c>
      <c r="F192" s="32" t="str">
        <f>IF(D192="","",VLOOKUP(D192,Courses!$A$5:$G$10,3,FALSE))</f>
        <v/>
      </c>
      <c r="G192" s="4"/>
      <c r="H192" s="4"/>
      <c r="I192" s="4"/>
      <c r="J192" s="28"/>
      <c r="K192" s="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4"/>
      <c r="B193" s="28"/>
      <c r="C193" s="4"/>
      <c r="D193" s="4"/>
      <c r="E193" s="3" t="str">
        <f>IF(D193="","",VLOOKUP(D193,Courses!$A$5:$G$10,2,FALSE))</f>
        <v/>
      </c>
      <c r="F193" s="32" t="str">
        <f>IF(D193="","",VLOOKUP(D193,Courses!$A$5:$G$10,3,FALSE))</f>
        <v/>
      </c>
      <c r="G193" s="4"/>
      <c r="H193" s="4"/>
      <c r="I193" s="4"/>
      <c r="J193" s="28"/>
      <c r="K193" s="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4"/>
      <c r="B194" s="28"/>
      <c r="C194" s="4"/>
      <c r="D194" s="4"/>
      <c r="E194" s="3" t="str">
        <f>IF(D194="","",VLOOKUP(D194,Courses!$A$5:$G$10,2,FALSE))</f>
        <v/>
      </c>
      <c r="F194" s="32" t="str">
        <f>IF(D194="","",VLOOKUP(D194,Courses!$A$5:$G$10,3,FALSE))</f>
        <v/>
      </c>
      <c r="G194" s="4"/>
      <c r="H194" s="4"/>
      <c r="I194" s="4"/>
      <c r="J194" s="28"/>
      <c r="K194" s="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4"/>
      <c r="B195" s="28"/>
      <c r="C195" s="4"/>
      <c r="D195" s="4"/>
      <c r="E195" s="3" t="str">
        <f>IF(D195="","",VLOOKUP(D195,Courses!$A$5:$G$10,2,FALSE))</f>
        <v/>
      </c>
      <c r="F195" s="32" t="str">
        <f>IF(D195="","",VLOOKUP(D195,Courses!$A$5:$G$10,3,FALSE))</f>
        <v/>
      </c>
      <c r="G195" s="4"/>
      <c r="H195" s="4"/>
      <c r="I195" s="4"/>
      <c r="J195" s="28"/>
      <c r="K195" s="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4"/>
      <c r="B196" s="28"/>
      <c r="C196" s="4"/>
      <c r="D196" s="4"/>
      <c r="E196" s="3" t="str">
        <f>IF(D196="","",VLOOKUP(D196,Courses!$A$5:$G$10,2,FALSE))</f>
        <v/>
      </c>
      <c r="F196" s="32" t="str">
        <f>IF(D196="","",VLOOKUP(D196,Courses!$A$5:$G$10,3,FALSE))</f>
        <v/>
      </c>
      <c r="G196" s="4"/>
      <c r="H196" s="4"/>
      <c r="I196" s="4"/>
      <c r="J196" s="28"/>
      <c r="K196" s="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4"/>
      <c r="B197" s="28"/>
      <c r="C197" s="4"/>
      <c r="D197" s="4"/>
      <c r="E197" s="3" t="str">
        <f>IF(D197="","",VLOOKUP(D197,Courses!$A$5:$G$10,2,FALSE))</f>
        <v/>
      </c>
      <c r="F197" s="32" t="str">
        <f>IF(D197="","",VLOOKUP(D197,Courses!$A$5:$G$10,3,FALSE))</f>
        <v/>
      </c>
      <c r="G197" s="4"/>
      <c r="H197" s="4"/>
      <c r="I197" s="4"/>
      <c r="J197" s="28"/>
      <c r="K197" s="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4"/>
      <c r="B198" s="28"/>
      <c r="C198" s="4"/>
      <c r="D198" s="4"/>
      <c r="E198" s="3" t="str">
        <f>IF(D198="","",VLOOKUP(D198,Courses!$A$5:$G$10,2,FALSE))</f>
        <v/>
      </c>
      <c r="F198" s="32" t="str">
        <f>IF(D198="","",VLOOKUP(D198,Courses!$A$5:$G$10,3,FALSE))</f>
        <v/>
      </c>
      <c r="G198" s="4"/>
      <c r="H198" s="4"/>
      <c r="I198" s="4"/>
      <c r="J198" s="28"/>
      <c r="K198" s="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4"/>
      <c r="B199" s="28"/>
      <c r="C199" s="4"/>
      <c r="D199" s="4"/>
      <c r="E199" s="3" t="str">
        <f>IF(D199="","",VLOOKUP(D199,Courses!$A$5:$G$10,2,FALSE))</f>
        <v/>
      </c>
      <c r="F199" s="32" t="str">
        <f>IF(D199="","",VLOOKUP(D199,Courses!$A$5:$G$10,3,FALSE))</f>
        <v/>
      </c>
      <c r="G199" s="4"/>
      <c r="H199" s="4"/>
      <c r="I199" s="4"/>
      <c r="J199" s="28"/>
      <c r="K199" s="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4"/>
      <c r="B200" s="28"/>
      <c r="C200" s="4"/>
      <c r="D200" s="4"/>
      <c r="E200" s="3" t="str">
        <f>IF(D200="","",VLOOKUP(D200,Courses!$A$5:$G$10,2,FALSE))</f>
        <v/>
      </c>
      <c r="F200" s="32" t="str">
        <f>IF(D200="","",VLOOKUP(D200,Courses!$A$5:$G$10,3,FALSE))</f>
        <v/>
      </c>
      <c r="G200" s="4"/>
      <c r="H200" s="4"/>
      <c r="I200" s="4"/>
      <c r="J200" s="28"/>
      <c r="K200" s="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4"/>
      <c r="B201" s="28"/>
      <c r="C201" s="4"/>
      <c r="D201" s="4"/>
      <c r="E201" s="3" t="str">
        <f>IF(D201="","",VLOOKUP(D201,Courses!$A$5:$G$10,2,FALSE))</f>
        <v/>
      </c>
      <c r="F201" s="32" t="str">
        <f>IF(D201="","",VLOOKUP(D201,Courses!$A$5:$G$10,3,FALSE))</f>
        <v/>
      </c>
      <c r="G201" s="4"/>
      <c r="H201" s="4"/>
      <c r="I201" s="4"/>
      <c r="J201" s="28"/>
      <c r="K201" s="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4"/>
      <c r="B202" s="28"/>
      <c r="C202" s="4"/>
      <c r="D202" s="4"/>
      <c r="E202" s="3" t="str">
        <f>IF(D202="","",VLOOKUP(D202,Courses!$A$5:$G$10,2,FALSE))</f>
        <v/>
      </c>
      <c r="F202" s="32" t="str">
        <f>IF(D202="","",VLOOKUP(D202,Courses!$A$5:$G$10,3,FALSE))</f>
        <v/>
      </c>
      <c r="G202" s="4"/>
      <c r="H202" s="4"/>
      <c r="I202" s="4"/>
      <c r="J202" s="28"/>
      <c r="K202" s="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4"/>
      <c r="B203" s="28"/>
      <c r="C203" s="4"/>
      <c r="D203" s="4"/>
      <c r="E203" s="3" t="str">
        <f>IF(D203="","",VLOOKUP(D203,Courses!$A$5:$G$10,2,FALSE))</f>
        <v/>
      </c>
      <c r="F203" s="32" t="str">
        <f>IF(D203="","",VLOOKUP(D203,Courses!$A$5:$G$10,3,FALSE))</f>
        <v/>
      </c>
      <c r="G203" s="4"/>
      <c r="H203" s="4"/>
      <c r="I203" s="4"/>
      <c r="J203" s="28"/>
      <c r="K203" s="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4"/>
      <c r="B204" s="28"/>
      <c r="C204" s="4"/>
      <c r="D204" s="4"/>
      <c r="E204" s="3" t="str">
        <f>IF(D204="","",VLOOKUP(D204,Courses!$A$5:$G$10,2,FALSE))</f>
        <v/>
      </c>
      <c r="F204" s="32" t="str">
        <f>IF(D204="","",VLOOKUP(D204,Courses!$A$5:$G$10,3,FALSE))</f>
        <v/>
      </c>
      <c r="G204" s="4"/>
      <c r="H204" s="4"/>
      <c r="I204" s="4"/>
      <c r="J204" s="28"/>
      <c r="K204" s="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4"/>
      <c r="B205" s="28"/>
      <c r="C205" s="4"/>
      <c r="D205" s="4"/>
      <c r="E205" s="3" t="str">
        <f>IF(D205="","",VLOOKUP(D205,Courses!$A$5:$G$10,2,FALSE))</f>
        <v/>
      </c>
      <c r="F205" s="32" t="str">
        <f>IF(D205="","",VLOOKUP(D205,Courses!$A$5:$G$10,3,FALSE))</f>
        <v/>
      </c>
      <c r="G205" s="4"/>
      <c r="H205" s="4"/>
      <c r="I205" s="4"/>
      <c r="J205" s="28"/>
      <c r="K205" s="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4"/>
      <c r="B206" s="28"/>
      <c r="C206" s="4"/>
      <c r="D206" s="4"/>
      <c r="E206" s="3" t="str">
        <f>IF(D206="","",VLOOKUP(D206,Courses!$A$5:$G$10,2,FALSE))</f>
        <v/>
      </c>
      <c r="F206" s="32" t="str">
        <f>IF(D206="","",VLOOKUP(D206,Courses!$A$5:$G$10,3,FALSE))</f>
        <v/>
      </c>
      <c r="G206" s="4"/>
      <c r="H206" s="4"/>
      <c r="I206" s="4"/>
      <c r="J206" s="28"/>
      <c r="K206" s="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4"/>
      <c r="B207" s="28"/>
      <c r="C207" s="4"/>
      <c r="D207" s="4"/>
      <c r="E207" s="3" t="str">
        <f>IF(D207="","",VLOOKUP(D207,Courses!$A$5:$G$10,2,FALSE))</f>
        <v/>
      </c>
      <c r="F207" s="32" t="str">
        <f>IF(D207="","",VLOOKUP(D207,Courses!$A$5:$G$10,3,FALSE))</f>
        <v/>
      </c>
      <c r="G207" s="4"/>
      <c r="H207" s="4"/>
      <c r="I207" s="4"/>
      <c r="J207" s="28"/>
      <c r="K207" s="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4"/>
      <c r="B208" s="28"/>
      <c r="C208" s="4"/>
      <c r="D208" s="4"/>
      <c r="E208" s="3" t="str">
        <f>IF(D208="","",VLOOKUP(D208,Courses!$A$5:$G$10,2,FALSE))</f>
        <v/>
      </c>
      <c r="F208" s="32" t="str">
        <f>IF(D208="","",VLOOKUP(D208,Courses!$A$5:$G$10,3,FALSE))</f>
        <v/>
      </c>
      <c r="G208" s="4"/>
      <c r="H208" s="4"/>
      <c r="I208" s="4"/>
      <c r="J208" s="28"/>
      <c r="K208" s="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4"/>
      <c r="B209" s="28"/>
      <c r="C209" s="4"/>
      <c r="D209" s="4"/>
      <c r="E209" s="3" t="str">
        <f>IF(D209="","",VLOOKUP(D209,Courses!$A$5:$G$10,2,FALSE))</f>
        <v/>
      </c>
      <c r="F209" s="32" t="str">
        <f>IF(D209="","",VLOOKUP(D209,Courses!$A$5:$G$10,3,FALSE))</f>
        <v/>
      </c>
      <c r="G209" s="4"/>
      <c r="H209" s="4"/>
      <c r="I209" s="4"/>
      <c r="J209" s="28"/>
      <c r="K209" s="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4"/>
      <c r="B210" s="28"/>
      <c r="C210" s="4"/>
      <c r="D210" s="4"/>
      <c r="E210" s="3" t="str">
        <f>IF(D210="","",VLOOKUP(D210,Courses!$A$5:$G$10,2,FALSE))</f>
        <v/>
      </c>
      <c r="F210" s="32" t="str">
        <f>IF(D210="","",VLOOKUP(D210,Courses!$A$5:$G$10,3,FALSE))</f>
        <v/>
      </c>
      <c r="G210" s="4"/>
      <c r="H210" s="4"/>
      <c r="I210" s="4"/>
      <c r="J210" s="28"/>
      <c r="K210" s="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4"/>
      <c r="B211" s="28"/>
      <c r="C211" s="4"/>
      <c r="D211" s="4"/>
      <c r="E211" s="3" t="str">
        <f>IF(D211="","",VLOOKUP(D211,Courses!$A$5:$G$10,2,FALSE))</f>
        <v/>
      </c>
      <c r="F211" s="32" t="str">
        <f>IF(D211="","",VLOOKUP(D211,Courses!$A$5:$G$10,3,FALSE))</f>
        <v/>
      </c>
      <c r="G211" s="4"/>
      <c r="H211" s="4"/>
      <c r="I211" s="4"/>
      <c r="J211" s="28"/>
      <c r="K211" s="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4"/>
      <c r="B212" s="28"/>
      <c r="C212" s="4"/>
      <c r="D212" s="4"/>
      <c r="E212" s="3" t="str">
        <f>IF(D212="","",VLOOKUP(D212,Courses!$A$5:$G$10,2,FALSE))</f>
        <v/>
      </c>
      <c r="F212" s="32" t="str">
        <f>IF(D212="","",VLOOKUP(D212,Courses!$A$5:$G$10,3,FALSE))</f>
        <v/>
      </c>
      <c r="G212" s="4"/>
      <c r="H212" s="4"/>
      <c r="I212" s="4"/>
      <c r="J212" s="28"/>
      <c r="K212" s="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4"/>
      <c r="B213" s="28"/>
      <c r="C213" s="4"/>
      <c r="D213" s="4"/>
      <c r="E213" s="3" t="str">
        <f>IF(D213="","",VLOOKUP(D213,Courses!$A$5:$G$10,2,FALSE))</f>
        <v/>
      </c>
      <c r="F213" s="32" t="str">
        <f>IF(D213="","",VLOOKUP(D213,Courses!$A$5:$G$10,3,FALSE))</f>
        <v/>
      </c>
      <c r="G213" s="4"/>
      <c r="H213" s="4"/>
      <c r="I213" s="4"/>
      <c r="J213" s="28"/>
      <c r="K213" s="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4"/>
      <c r="B214" s="28"/>
      <c r="C214" s="4"/>
      <c r="D214" s="4"/>
      <c r="E214" s="3" t="str">
        <f>IF(D214="","",VLOOKUP(D214,Courses!$A$5:$G$10,2,FALSE))</f>
        <v/>
      </c>
      <c r="F214" s="32" t="str">
        <f>IF(D214="","",VLOOKUP(D214,Courses!$A$5:$G$10,3,FALSE))</f>
        <v/>
      </c>
      <c r="G214" s="4"/>
      <c r="H214" s="4"/>
      <c r="I214" s="4"/>
      <c r="J214" s="28"/>
      <c r="K214" s="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4"/>
      <c r="B215" s="28"/>
      <c r="C215" s="4"/>
      <c r="D215" s="4"/>
      <c r="E215" s="3" t="str">
        <f>IF(D215="","",VLOOKUP(D215,Courses!$A$5:$G$10,2,FALSE))</f>
        <v/>
      </c>
      <c r="F215" s="32" t="str">
        <f>IF(D215="","",VLOOKUP(D215,Courses!$A$5:$G$10,3,FALSE))</f>
        <v/>
      </c>
      <c r="G215" s="4"/>
      <c r="H215" s="4"/>
      <c r="I215" s="4"/>
      <c r="J215" s="28"/>
      <c r="K215" s="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4"/>
      <c r="B216" s="28"/>
      <c r="C216" s="4"/>
      <c r="D216" s="4"/>
      <c r="E216" s="3" t="str">
        <f>IF(D216="","",VLOOKUP(D216,Courses!$A$5:$G$10,2,FALSE))</f>
        <v/>
      </c>
      <c r="F216" s="32" t="str">
        <f>IF(D216="","",VLOOKUP(D216,Courses!$A$5:$G$10,3,FALSE))</f>
        <v/>
      </c>
      <c r="G216" s="4"/>
      <c r="H216" s="4"/>
      <c r="I216" s="4"/>
      <c r="J216" s="28"/>
      <c r="K216" s="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4"/>
      <c r="B217" s="28"/>
      <c r="C217" s="4"/>
      <c r="D217" s="4"/>
      <c r="E217" s="3" t="str">
        <f>IF(D217="","",VLOOKUP(D217,Courses!$A$5:$G$10,2,FALSE))</f>
        <v/>
      </c>
      <c r="F217" s="32" t="str">
        <f>IF(D217="","",VLOOKUP(D217,Courses!$A$5:$G$10,3,FALSE))</f>
        <v/>
      </c>
      <c r="G217" s="4"/>
      <c r="H217" s="4"/>
      <c r="I217" s="4"/>
      <c r="J217" s="28"/>
      <c r="K217" s="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4"/>
      <c r="B218" s="28"/>
      <c r="C218" s="4"/>
      <c r="D218" s="4"/>
      <c r="E218" s="3" t="str">
        <f>IF(D218="","",VLOOKUP(D218,Courses!$A$5:$G$10,2,FALSE))</f>
        <v/>
      </c>
      <c r="F218" s="32" t="str">
        <f>IF(D218="","",VLOOKUP(D218,Courses!$A$5:$G$10,3,FALSE))</f>
        <v/>
      </c>
      <c r="G218" s="4"/>
      <c r="H218" s="4"/>
      <c r="I218" s="4"/>
      <c r="J218" s="28"/>
      <c r="K218" s="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4"/>
      <c r="B219" s="28"/>
      <c r="C219" s="4"/>
      <c r="D219" s="4"/>
      <c r="E219" s="3" t="str">
        <f>IF(D219="","",VLOOKUP(D219,Courses!$A$5:$G$10,2,FALSE))</f>
        <v/>
      </c>
      <c r="F219" s="32" t="str">
        <f>IF(D219="","",VLOOKUP(D219,Courses!$A$5:$G$10,3,FALSE))</f>
        <v/>
      </c>
      <c r="G219" s="4"/>
      <c r="H219" s="4"/>
      <c r="I219" s="4"/>
      <c r="J219" s="28"/>
      <c r="K219" s="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4"/>
      <c r="B220" s="28"/>
      <c r="C220" s="4"/>
      <c r="D220" s="4"/>
      <c r="E220" s="3" t="str">
        <f>IF(D220="","",VLOOKUP(D220,Courses!$A$5:$G$10,2,FALSE))</f>
        <v/>
      </c>
      <c r="F220" s="32" t="str">
        <f>IF(D220="","",VLOOKUP(D220,Courses!$A$5:$G$10,3,FALSE))</f>
        <v/>
      </c>
      <c r="G220" s="4"/>
      <c r="H220" s="4"/>
      <c r="I220" s="4"/>
      <c r="J220" s="28"/>
      <c r="K220" s="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4"/>
      <c r="B221" s="28"/>
      <c r="C221" s="4"/>
      <c r="D221" s="4"/>
      <c r="E221" s="3" t="str">
        <f>IF(D221="","",VLOOKUP(D221,Courses!$A$5:$G$10,2,FALSE))</f>
        <v/>
      </c>
      <c r="F221" s="32" t="str">
        <f>IF(D221="","",VLOOKUP(D221,Courses!$A$5:$G$10,3,FALSE))</f>
        <v/>
      </c>
      <c r="G221" s="4"/>
      <c r="H221" s="4"/>
      <c r="I221" s="4"/>
      <c r="J221" s="28"/>
      <c r="K221" s="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4"/>
      <c r="B222" s="28"/>
      <c r="C222" s="4"/>
      <c r="D222" s="4"/>
      <c r="E222" s="3" t="str">
        <f>IF(D222="","",VLOOKUP(D222,Courses!$A$5:$G$10,2,FALSE))</f>
        <v/>
      </c>
      <c r="F222" s="32" t="str">
        <f>IF(D222="","",VLOOKUP(D222,Courses!$A$5:$G$10,3,FALSE))</f>
        <v/>
      </c>
      <c r="G222" s="4"/>
      <c r="H222" s="4"/>
      <c r="I222" s="4"/>
      <c r="J222" s="28"/>
      <c r="K222" s="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4"/>
      <c r="B223" s="28"/>
      <c r="C223" s="4"/>
      <c r="D223" s="4"/>
      <c r="E223" s="3" t="str">
        <f>IF(D223="","",VLOOKUP(D223,Courses!$A$5:$G$10,2,FALSE))</f>
        <v/>
      </c>
      <c r="F223" s="32" t="str">
        <f>IF(D223="","",VLOOKUP(D223,Courses!$A$5:$G$10,3,FALSE))</f>
        <v/>
      </c>
      <c r="G223" s="4"/>
      <c r="H223" s="4"/>
      <c r="I223" s="4"/>
      <c r="J223" s="28"/>
      <c r="K223" s="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4"/>
      <c r="B224" s="28"/>
      <c r="C224" s="4"/>
      <c r="D224" s="4"/>
      <c r="E224" s="3" t="str">
        <f>IF(D224="","",VLOOKUP(D224,Courses!$A$5:$G$10,2,FALSE))</f>
        <v/>
      </c>
      <c r="F224" s="32" t="str">
        <f>IF(D224="","",VLOOKUP(D224,Courses!$A$5:$G$10,3,FALSE))</f>
        <v/>
      </c>
      <c r="G224" s="4"/>
      <c r="H224" s="4"/>
      <c r="I224" s="4"/>
      <c r="J224" s="28"/>
      <c r="K224" s="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4"/>
      <c r="B225" s="28"/>
      <c r="C225" s="4"/>
      <c r="D225" s="4"/>
      <c r="E225" s="3" t="str">
        <f>IF(D225="","",VLOOKUP(D225,Courses!$A$5:$G$10,2,FALSE))</f>
        <v/>
      </c>
      <c r="F225" s="32" t="str">
        <f>IF(D225="","",VLOOKUP(D225,Courses!$A$5:$G$10,3,FALSE))</f>
        <v/>
      </c>
      <c r="G225" s="4"/>
      <c r="H225" s="4"/>
      <c r="I225" s="4"/>
      <c r="J225" s="28"/>
      <c r="K225" s="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4"/>
      <c r="B226" s="28"/>
      <c r="C226" s="4"/>
      <c r="D226" s="4"/>
      <c r="E226" s="3" t="str">
        <f>IF(D226="","",VLOOKUP(D226,Courses!$A$5:$G$10,2,FALSE))</f>
        <v/>
      </c>
      <c r="F226" s="32" t="str">
        <f>IF(D226="","",VLOOKUP(D226,Courses!$A$5:$G$10,3,FALSE))</f>
        <v/>
      </c>
      <c r="G226" s="4"/>
      <c r="H226" s="4"/>
      <c r="I226" s="4"/>
      <c r="J226" s="28"/>
      <c r="K226" s="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4"/>
      <c r="B227" s="28"/>
      <c r="C227" s="4"/>
      <c r="D227" s="4"/>
      <c r="E227" s="3" t="str">
        <f>IF(D227="","",VLOOKUP(D227,Courses!$A$5:$G$10,2,FALSE))</f>
        <v/>
      </c>
      <c r="F227" s="32" t="str">
        <f>IF(D227="","",VLOOKUP(D227,Courses!$A$5:$G$10,3,FALSE))</f>
        <v/>
      </c>
      <c r="G227" s="4"/>
      <c r="H227" s="4"/>
      <c r="I227" s="4"/>
      <c r="J227" s="28"/>
      <c r="K227" s="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4"/>
      <c r="B228" s="28"/>
      <c r="C228" s="4"/>
      <c r="D228" s="4"/>
      <c r="E228" s="3" t="str">
        <f>IF(D228="","",VLOOKUP(D228,Courses!$A$5:$G$10,2,FALSE))</f>
        <v/>
      </c>
      <c r="F228" s="32" t="str">
        <f>IF(D228="","",VLOOKUP(D228,Courses!$A$5:$G$10,3,FALSE))</f>
        <v/>
      </c>
      <c r="G228" s="4"/>
      <c r="H228" s="4"/>
      <c r="I228" s="4"/>
      <c r="J228" s="28"/>
      <c r="K228" s="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4"/>
      <c r="B229" s="28"/>
      <c r="C229" s="4"/>
      <c r="D229" s="4"/>
      <c r="E229" s="3" t="str">
        <f>IF(D229="","",VLOOKUP(D229,Courses!$A$5:$G$10,2,FALSE))</f>
        <v/>
      </c>
      <c r="F229" s="32" t="str">
        <f>IF(D229="","",VLOOKUP(D229,Courses!$A$5:$G$10,3,FALSE))</f>
        <v/>
      </c>
      <c r="G229" s="4"/>
      <c r="H229" s="4"/>
      <c r="I229" s="4"/>
      <c r="J229" s="28"/>
      <c r="K229" s="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4"/>
      <c r="B230" s="28"/>
      <c r="C230" s="4"/>
      <c r="D230" s="4"/>
      <c r="E230" s="3" t="str">
        <f>IF(D230="","",VLOOKUP(D230,Courses!$A$5:$G$10,2,FALSE))</f>
        <v/>
      </c>
      <c r="F230" s="32" t="str">
        <f>IF(D230="","",VLOOKUP(D230,Courses!$A$5:$G$10,3,FALSE))</f>
        <v/>
      </c>
      <c r="G230" s="4"/>
      <c r="H230" s="4"/>
      <c r="I230" s="4"/>
      <c r="J230" s="28"/>
      <c r="K230" s="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4"/>
      <c r="B231" s="28"/>
      <c r="C231" s="4"/>
      <c r="D231" s="4"/>
      <c r="E231" s="3" t="str">
        <f>IF(D231="","",VLOOKUP(D231,Courses!$A$5:$G$10,2,FALSE))</f>
        <v/>
      </c>
      <c r="F231" s="32" t="str">
        <f>IF(D231="","",VLOOKUP(D231,Courses!$A$5:$G$10,3,FALSE))</f>
        <v/>
      </c>
      <c r="G231" s="4"/>
      <c r="H231" s="4"/>
      <c r="I231" s="4"/>
      <c r="J231" s="28"/>
      <c r="K231" s="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4"/>
      <c r="B232" s="28"/>
      <c r="C232" s="4"/>
      <c r="D232" s="4"/>
      <c r="E232" s="3" t="str">
        <f>IF(D232="","",VLOOKUP(D232,Courses!$A$5:$G$10,2,FALSE))</f>
        <v/>
      </c>
      <c r="F232" s="32" t="str">
        <f>IF(D232="","",VLOOKUP(D232,Courses!$A$5:$G$10,3,FALSE))</f>
        <v/>
      </c>
      <c r="G232" s="4"/>
      <c r="H232" s="4"/>
      <c r="I232" s="4"/>
      <c r="J232" s="28"/>
      <c r="K232" s="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4"/>
      <c r="B233" s="28"/>
      <c r="C233" s="4"/>
      <c r="D233" s="4"/>
      <c r="E233" s="3" t="str">
        <f>IF(D233="","",VLOOKUP(D233,Courses!$A$5:$G$10,2,FALSE))</f>
        <v/>
      </c>
      <c r="F233" s="32" t="str">
        <f>IF(D233="","",VLOOKUP(D233,Courses!$A$5:$G$10,3,FALSE))</f>
        <v/>
      </c>
      <c r="G233" s="4"/>
      <c r="H233" s="4"/>
      <c r="I233" s="4"/>
      <c r="J233" s="28"/>
      <c r="K233" s="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4"/>
      <c r="B234" s="28"/>
      <c r="C234" s="4"/>
      <c r="D234" s="4"/>
      <c r="E234" s="3" t="str">
        <f>IF(D234="","",VLOOKUP(D234,Courses!$A$5:$G$10,2,FALSE))</f>
        <v/>
      </c>
      <c r="F234" s="32" t="str">
        <f>IF(D234="","",VLOOKUP(D234,Courses!$A$5:$G$10,3,FALSE))</f>
        <v/>
      </c>
      <c r="G234" s="4"/>
      <c r="H234" s="4"/>
      <c r="I234" s="4"/>
      <c r="J234" s="28"/>
      <c r="K234" s="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4"/>
      <c r="B235" s="28"/>
      <c r="C235" s="4"/>
      <c r="D235" s="4"/>
      <c r="E235" s="3" t="str">
        <f>IF(D235="","",VLOOKUP(D235,Courses!$A$5:$G$10,2,FALSE))</f>
        <v/>
      </c>
      <c r="F235" s="32" t="str">
        <f>IF(D235="","",VLOOKUP(D235,Courses!$A$5:$G$10,3,FALSE))</f>
        <v/>
      </c>
      <c r="G235" s="4"/>
      <c r="H235" s="4"/>
      <c r="I235" s="4"/>
      <c r="J235" s="28"/>
      <c r="K235" s="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4"/>
      <c r="B236" s="28"/>
      <c r="C236" s="4"/>
      <c r="D236" s="4"/>
      <c r="E236" s="3" t="str">
        <f>IF(D236="","",VLOOKUP(D236,Courses!$A$5:$G$10,2,FALSE))</f>
        <v/>
      </c>
      <c r="F236" s="32" t="str">
        <f>IF(D236="","",VLOOKUP(D236,Courses!$A$5:$G$10,3,FALSE))</f>
        <v/>
      </c>
      <c r="G236" s="4"/>
      <c r="H236" s="4"/>
      <c r="I236" s="4"/>
      <c r="J236" s="28"/>
      <c r="K236" s="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4"/>
      <c r="B237" s="28"/>
      <c r="C237" s="4"/>
      <c r="D237" s="4"/>
      <c r="E237" s="3" t="str">
        <f>IF(D237="","",VLOOKUP(D237,Courses!$A$5:$G$10,2,FALSE))</f>
        <v/>
      </c>
      <c r="F237" s="32" t="str">
        <f>IF(D237="","",VLOOKUP(D237,Courses!$A$5:$G$10,3,FALSE))</f>
        <v/>
      </c>
      <c r="G237" s="4"/>
      <c r="H237" s="4"/>
      <c r="I237" s="4"/>
      <c r="J237" s="28"/>
      <c r="K237" s="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4"/>
      <c r="B238" s="28"/>
      <c r="C238" s="4"/>
      <c r="D238" s="4"/>
      <c r="E238" s="3" t="str">
        <f>IF(D238="","",VLOOKUP(D238,Courses!$A$5:$G$10,2,FALSE))</f>
        <v/>
      </c>
      <c r="F238" s="32" t="str">
        <f>IF(D238="","",VLOOKUP(D238,Courses!$A$5:$G$10,3,FALSE))</f>
        <v/>
      </c>
      <c r="G238" s="4"/>
      <c r="H238" s="4"/>
      <c r="I238" s="4"/>
      <c r="J238" s="28"/>
      <c r="K238" s="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4"/>
      <c r="B239" s="28"/>
      <c r="C239" s="4"/>
      <c r="D239" s="4"/>
      <c r="E239" s="3" t="str">
        <f>IF(D239="","",VLOOKUP(D239,Courses!$A$5:$G$10,2,FALSE))</f>
        <v/>
      </c>
      <c r="F239" s="32" t="str">
        <f>IF(D239="","",VLOOKUP(D239,Courses!$A$5:$G$10,3,FALSE))</f>
        <v/>
      </c>
      <c r="G239" s="4"/>
      <c r="H239" s="4"/>
      <c r="I239" s="4"/>
      <c r="J239" s="28"/>
      <c r="K239" s="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4"/>
      <c r="B240" s="28"/>
      <c r="C240" s="4"/>
      <c r="D240" s="4"/>
      <c r="E240" s="3" t="str">
        <f>IF(D240="","",VLOOKUP(D240,Courses!$A$5:$G$10,2,FALSE))</f>
        <v/>
      </c>
      <c r="F240" s="32" t="str">
        <f>IF(D240="","",VLOOKUP(D240,Courses!$A$5:$G$10,3,FALSE))</f>
        <v/>
      </c>
      <c r="G240" s="4"/>
      <c r="H240" s="4"/>
      <c r="I240" s="4"/>
      <c r="J240" s="28"/>
      <c r="K240" s="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4"/>
      <c r="B241" s="28"/>
      <c r="C241" s="4"/>
      <c r="D241" s="4"/>
      <c r="E241" s="3" t="str">
        <f>IF(D241="","",VLOOKUP(D241,Courses!$A$5:$G$10,2,FALSE))</f>
        <v/>
      </c>
      <c r="F241" s="32" t="str">
        <f>IF(D241="","",VLOOKUP(D241,Courses!$A$5:$G$10,3,FALSE))</f>
        <v/>
      </c>
      <c r="G241" s="4"/>
      <c r="H241" s="4"/>
      <c r="I241" s="4"/>
      <c r="J241" s="28"/>
      <c r="K241" s="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4"/>
      <c r="B242" s="28"/>
      <c r="C242" s="4"/>
      <c r="D242" s="4"/>
      <c r="E242" s="3" t="str">
        <f>IF(D242="","",VLOOKUP(D242,Courses!$A$5:$G$10,2,FALSE))</f>
        <v/>
      </c>
      <c r="F242" s="32" t="str">
        <f>IF(D242="","",VLOOKUP(D242,Courses!$A$5:$G$10,3,FALSE))</f>
        <v/>
      </c>
      <c r="G242" s="4"/>
      <c r="H242" s="4"/>
      <c r="I242" s="4"/>
      <c r="J242" s="28"/>
      <c r="K242" s="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4"/>
      <c r="B243" s="28"/>
      <c r="C243" s="4"/>
      <c r="D243" s="4"/>
      <c r="E243" s="3" t="str">
        <f>IF(D243="","",VLOOKUP(D243,Courses!$A$5:$G$10,2,FALSE))</f>
        <v/>
      </c>
      <c r="F243" s="32" t="str">
        <f>IF(D243="","",VLOOKUP(D243,Courses!$A$5:$G$10,3,FALSE))</f>
        <v/>
      </c>
      <c r="G243" s="4"/>
      <c r="H243" s="4"/>
      <c r="I243" s="4"/>
      <c r="J243" s="28"/>
      <c r="K243" s="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4"/>
      <c r="B244" s="28"/>
      <c r="C244" s="4"/>
      <c r="D244" s="4"/>
      <c r="E244" s="3" t="str">
        <f>IF(D244="","",VLOOKUP(D244,Courses!$A$5:$G$10,2,FALSE))</f>
        <v/>
      </c>
      <c r="F244" s="32" t="str">
        <f>IF(D244="","",VLOOKUP(D244,Courses!$A$5:$G$10,3,FALSE))</f>
        <v/>
      </c>
      <c r="G244" s="4"/>
      <c r="H244" s="4"/>
      <c r="I244" s="4"/>
      <c r="J244" s="28"/>
      <c r="K244" s="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4"/>
      <c r="B245" s="28"/>
      <c r="C245" s="4"/>
      <c r="D245" s="4"/>
      <c r="E245" s="3" t="str">
        <f>IF(D245="","",VLOOKUP(D245,Courses!$A$5:$G$10,2,FALSE))</f>
        <v/>
      </c>
      <c r="F245" s="32" t="str">
        <f>IF(D245="","",VLOOKUP(D245,Courses!$A$5:$G$10,3,FALSE))</f>
        <v/>
      </c>
      <c r="G245" s="4"/>
      <c r="H245" s="4"/>
      <c r="I245" s="4"/>
      <c r="J245" s="28"/>
      <c r="K245" s="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4"/>
      <c r="B246" s="28"/>
      <c r="C246" s="4"/>
      <c r="D246" s="4"/>
      <c r="E246" s="3" t="str">
        <f>IF(D246="","",VLOOKUP(D246,Courses!$A$5:$G$10,2,FALSE))</f>
        <v/>
      </c>
      <c r="F246" s="32" t="str">
        <f>IF(D246="","",VLOOKUP(D246,Courses!$A$5:$G$10,3,FALSE))</f>
        <v/>
      </c>
      <c r="G246" s="4"/>
      <c r="H246" s="4"/>
      <c r="I246" s="4"/>
      <c r="J246" s="28"/>
      <c r="K246" s="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4"/>
      <c r="B247" s="28"/>
      <c r="C247" s="4"/>
      <c r="D247" s="4"/>
      <c r="E247" s="3" t="str">
        <f>IF(D247="","",VLOOKUP(D247,Courses!$A$5:$G$10,2,FALSE))</f>
        <v/>
      </c>
      <c r="F247" s="32" t="str">
        <f>IF(D247="","",VLOOKUP(D247,Courses!$A$5:$G$10,3,FALSE))</f>
        <v/>
      </c>
      <c r="G247" s="4"/>
      <c r="H247" s="4"/>
      <c r="I247" s="4"/>
      <c r="J247" s="28"/>
      <c r="K247" s="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4"/>
      <c r="B248" s="28"/>
      <c r="C248" s="4"/>
      <c r="D248" s="4"/>
      <c r="E248" s="3" t="str">
        <f>IF(D248="","",VLOOKUP(D248,Courses!$A$5:$G$10,2,FALSE))</f>
        <v/>
      </c>
      <c r="F248" s="32" t="str">
        <f>IF(D248="","",VLOOKUP(D248,Courses!$A$5:$G$10,3,FALSE))</f>
        <v/>
      </c>
      <c r="G248" s="4"/>
      <c r="H248" s="4"/>
      <c r="I248" s="4"/>
      <c r="J248" s="28"/>
      <c r="K248" s="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4"/>
      <c r="B249" s="28"/>
      <c r="C249" s="4"/>
      <c r="D249" s="4"/>
      <c r="E249" s="3" t="str">
        <f>IF(D249="","",VLOOKUP(D249,Courses!$A$5:$G$10,2,FALSE))</f>
        <v/>
      </c>
      <c r="F249" s="32" t="str">
        <f>IF(D249="","",VLOOKUP(D249,Courses!$A$5:$G$10,3,FALSE))</f>
        <v/>
      </c>
      <c r="G249" s="4"/>
      <c r="H249" s="4"/>
      <c r="I249" s="4"/>
      <c r="J249" s="28"/>
      <c r="K249" s="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4"/>
      <c r="B250" s="28"/>
      <c r="C250" s="4"/>
      <c r="D250" s="4"/>
      <c r="E250" s="3" t="str">
        <f>IF(D250="","",VLOOKUP(D250,Courses!$A$5:$G$10,2,FALSE))</f>
        <v/>
      </c>
      <c r="F250" s="32" t="str">
        <f>IF(D250="","",VLOOKUP(D250,Courses!$A$5:$G$10,3,FALSE))</f>
        <v/>
      </c>
      <c r="G250" s="4"/>
      <c r="H250" s="4"/>
      <c r="I250" s="4"/>
      <c r="J250" s="28"/>
      <c r="K250" s="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4"/>
      <c r="B251" s="28"/>
      <c r="C251" s="4"/>
      <c r="D251" s="4"/>
      <c r="E251" s="3" t="str">
        <f>IF(D251="","",VLOOKUP(D251,Courses!$A$5:$G$10,2,FALSE))</f>
        <v/>
      </c>
      <c r="F251" s="32" t="str">
        <f>IF(D251="","",VLOOKUP(D251,Courses!$A$5:$G$10,3,FALSE))</f>
        <v/>
      </c>
      <c r="G251" s="4"/>
      <c r="H251" s="4"/>
      <c r="I251" s="4"/>
      <c r="J251" s="28"/>
      <c r="K251" s="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4"/>
      <c r="B252" s="28"/>
      <c r="C252" s="4"/>
      <c r="D252" s="4"/>
      <c r="E252" s="3" t="str">
        <f>IF(D252="","",VLOOKUP(D252,Courses!$A$5:$G$10,2,FALSE))</f>
        <v/>
      </c>
      <c r="F252" s="32" t="str">
        <f>IF(D252="","",VLOOKUP(D252,Courses!$A$5:$G$10,3,FALSE))</f>
        <v/>
      </c>
      <c r="G252" s="4"/>
      <c r="H252" s="4"/>
      <c r="I252" s="4"/>
      <c r="J252" s="28"/>
      <c r="K252" s="4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4"/>
      <c r="B253" s="28"/>
      <c r="C253" s="4"/>
      <c r="D253" s="4"/>
      <c r="E253" s="3" t="str">
        <f>IF(D253="","",VLOOKUP(D253,Courses!$A$5:$G$10,2,FALSE))</f>
        <v/>
      </c>
      <c r="F253" s="32" t="str">
        <f>IF(D253="","",VLOOKUP(D253,Courses!$A$5:$G$10,3,FALSE))</f>
        <v/>
      </c>
      <c r="G253" s="4"/>
      <c r="H253" s="4"/>
      <c r="I253" s="4"/>
      <c r="J253" s="28"/>
      <c r="K253" s="4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4"/>
      <c r="B254" s="28"/>
      <c r="C254" s="4"/>
      <c r="D254" s="4"/>
      <c r="E254" s="3" t="str">
        <f>IF(D254="","",VLOOKUP(D254,Courses!$A$5:$G$10,2,FALSE))</f>
        <v/>
      </c>
      <c r="F254" s="32" t="str">
        <f>IF(D254="","",VLOOKUP(D254,Courses!$A$5:$G$10,3,FALSE))</f>
        <v/>
      </c>
      <c r="G254" s="4"/>
      <c r="H254" s="4"/>
      <c r="I254" s="4"/>
      <c r="J254" s="28"/>
      <c r="K254" s="4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4"/>
      <c r="B255" s="28"/>
      <c r="C255" s="4"/>
      <c r="D255" s="4"/>
      <c r="E255" s="3" t="str">
        <f>IF(D255="","",VLOOKUP(D255,Courses!$A$5:$G$10,2,FALSE))</f>
        <v/>
      </c>
      <c r="F255" s="32" t="str">
        <f>IF(D255="","",VLOOKUP(D255,Courses!$A$5:$G$10,3,FALSE))</f>
        <v/>
      </c>
      <c r="G255" s="4"/>
      <c r="H255" s="4"/>
      <c r="I255" s="4"/>
      <c r="J255" s="28"/>
      <c r="K255" s="4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4"/>
      <c r="B256" s="28"/>
      <c r="C256" s="4"/>
      <c r="D256" s="4"/>
      <c r="E256" s="3" t="str">
        <f>IF(D256="","",VLOOKUP(D256,Courses!$A$5:$G$10,2,FALSE))</f>
        <v/>
      </c>
      <c r="F256" s="32" t="str">
        <f>IF(D256="","",VLOOKUP(D256,Courses!$A$5:$G$10,3,FALSE))</f>
        <v/>
      </c>
      <c r="G256" s="4"/>
      <c r="H256" s="4"/>
      <c r="I256" s="4"/>
      <c r="J256" s="28"/>
      <c r="K256" s="4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4"/>
      <c r="B257" s="28"/>
      <c r="C257" s="4"/>
      <c r="D257" s="4"/>
      <c r="E257" s="3" t="str">
        <f>IF(D257="","",VLOOKUP(D257,Courses!$A$5:$G$10,2,FALSE))</f>
        <v/>
      </c>
      <c r="F257" s="32" t="str">
        <f>IF(D257="","",VLOOKUP(D257,Courses!$A$5:$G$10,3,FALSE))</f>
        <v/>
      </c>
      <c r="G257" s="4"/>
      <c r="H257" s="4"/>
      <c r="I257" s="4"/>
      <c r="J257" s="28"/>
      <c r="K257" s="4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4"/>
      <c r="B258" s="28"/>
      <c r="C258" s="4"/>
      <c r="D258" s="4"/>
      <c r="E258" s="3" t="str">
        <f>IF(D258="","",VLOOKUP(D258,Courses!$A$5:$G$10,2,FALSE))</f>
        <v/>
      </c>
      <c r="F258" s="32" t="str">
        <f>IF(D258="","",VLOOKUP(D258,Courses!$A$5:$G$10,3,FALSE))</f>
        <v/>
      </c>
      <c r="G258" s="4"/>
      <c r="H258" s="4"/>
      <c r="I258" s="4"/>
      <c r="J258" s="28"/>
      <c r="K258" s="4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4"/>
      <c r="B259" s="28"/>
      <c r="C259" s="4"/>
      <c r="D259" s="4"/>
      <c r="E259" s="3" t="str">
        <f>IF(D259="","",VLOOKUP(D259,Courses!$A$5:$G$10,2,FALSE))</f>
        <v/>
      </c>
      <c r="F259" s="32" t="str">
        <f>IF(D259="","",VLOOKUP(D259,Courses!$A$5:$G$10,3,FALSE))</f>
        <v/>
      </c>
      <c r="G259" s="4"/>
      <c r="H259" s="4"/>
      <c r="I259" s="4"/>
      <c r="J259" s="28"/>
      <c r="K259" s="4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4"/>
      <c r="B260" s="28"/>
      <c r="C260" s="4"/>
      <c r="D260" s="4"/>
      <c r="E260" s="3" t="str">
        <f>IF(D260="","",VLOOKUP(D260,Courses!$A$5:$G$10,2,FALSE))</f>
        <v/>
      </c>
      <c r="F260" s="32" t="str">
        <f>IF(D260="","",VLOOKUP(D260,Courses!$A$5:$G$10,3,FALSE))</f>
        <v/>
      </c>
      <c r="G260" s="4"/>
      <c r="H260" s="4"/>
      <c r="I260" s="4"/>
      <c r="J260" s="28"/>
      <c r="K260" s="4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4"/>
      <c r="B261" s="28"/>
      <c r="C261" s="4"/>
      <c r="D261" s="4"/>
      <c r="E261" s="3" t="str">
        <f>IF(D261="","",VLOOKUP(D261,Courses!$A$5:$G$10,2,FALSE))</f>
        <v/>
      </c>
      <c r="F261" s="32" t="str">
        <f>IF(D261="","",VLOOKUP(D261,Courses!$A$5:$G$10,3,FALSE))</f>
        <v/>
      </c>
      <c r="G261" s="4"/>
      <c r="H261" s="4"/>
      <c r="I261" s="4"/>
      <c r="J261" s="28"/>
      <c r="K261" s="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4"/>
      <c r="B262" s="28"/>
      <c r="C262" s="4"/>
      <c r="D262" s="4"/>
      <c r="E262" s="3" t="str">
        <f>IF(D262="","",VLOOKUP(D262,Courses!$A$5:$G$10,2,FALSE))</f>
        <v/>
      </c>
      <c r="F262" s="32" t="str">
        <f>IF(D262="","",VLOOKUP(D262,Courses!$A$5:$G$10,3,FALSE))</f>
        <v/>
      </c>
      <c r="G262" s="4"/>
      <c r="H262" s="4"/>
      <c r="I262" s="4"/>
      <c r="J262" s="28"/>
      <c r="K262" s="4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4"/>
      <c r="B263" s="28"/>
      <c r="C263" s="4"/>
      <c r="D263" s="4"/>
      <c r="E263" s="3" t="str">
        <f>IF(D263="","",VLOOKUP(D263,Courses!$A$5:$G$10,2,FALSE))</f>
        <v/>
      </c>
      <c r="F263" s="32" t="str">
        <f>IF(D263="","",VLOOKUP(D263,Courses!$A$5:$G$10,3,FALSE))</f>
        <v/>
      </c>
      <c r="G263" s="4"/>
      <c r="H263" s="4"/>
      <c r="I263" s="4"/>
      <c r="J263" s="28"/>
      <c r="K263" s="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4"/>
      <c r="B264" s="28"/>
      <c r="C264" s="4"/>
      <c r="D264" s="4"/>
      <c r="E264" s="3" t="str">
        <f>IF(D264="","",VLOOKUP(D264,Courses!$A$5:$G$10,2,FALSE))</f>
        <v/>
      </c>
      <c r="F264" s="32" t="str">
        <f>IF(D264="","",VLOOKUP(D264,Courses!$A$5:$G$10,3,FALSE))</f>
        <v/>
      </c>
      <c r="G264" s="4"/>
      <c r="H264" s="4"/>
      <c r="I264" s="4"/>
      <c r="J264" s="28"/>
      <c r="K264" s="4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4"/>
      <c r="B265" s="28"/>
      <c r="C265" s="4"/>
      <c r="D265" s="4"/>
      <c r="E265" s="3" t="str">
        <f>IF(D265="","",VLOOKUP(D265,Courses!$A$5:$G$10,2,FALSE))</f>
        <v/>
      </c>
      <c r="F265" s="32" t="str">
        <f>IF(D265="","",VLOOKUP(D265,Courses!$A$5:$G$10,3,FALSE))</f>
        <v/>
      </c>
      <c r="G265" s="4"/>
      <c r="H265" s="4"/>
      <c r="I265" s="4"/>
      <c r="J265" s="28"/>
      <c r="K265" s="4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4"/>
      <c r="B266" s="28"/>
      <c r="C266" s="4"/>
      <c r="D266" s="4"/>
      <c r="E266" s="3" t="str">
        <f>IF(D266="","",VLOOKUP(D266,Courses!$A$5:$G$10,2,FALSE))</f>
        <v/>
      </c>
      <c r="F266" s="32" t="str">
        <f>IF(D266="","",VLOOKUP(D266,Courses!$A$5:$G$10,3,FALSE))</f>
        <v/>
      </c>
      <c r="G266" s="4"/>
      <c r="H266" s="4"/>
      <c r="I266" s="4"/>
      <c r="J266" s="28"/>
      <c r="K266" s="4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4"/>
      <c r="B267" s="28"/>
      <c r="C267" s="4"/>
      <c r="D267" s="4"/>
      <c r="E267" s="3" t="str">
        <f>IF(D267="","",VLOOKUP(D267,Courses!$A$5:$G$10,2,FALSE))</f>
        <v/>
      </c>
      <c r="F267" s="32" t="str">
        <f>IF(D267="","",VLOOKUP(D267,Courses!$A$5:$G$10,3,FALSE))</f>
        <v/>
      </c>
      <c r="G267" s="4"/>
      <c r="H267" s="4"/>
      <c r="I267" s="4"/>
      <c r="J267" s="28"/>
      <c r="K267" s="4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4"/>
      <c r="B268" s="28"/>
      <c r="C268" s="4"/>
      <c r="D268" s="4"/>
      <c r="E268" s="3" t="str">
        <f>IF(D268="","",VLOOKUP(D268,Courses!$A$5:$G$10,2,FALSE))</f>
        <v/>
      </c>
      <c r="F268" s="32" t="str">
        <f>IF(D268="","",VLOOKUP(D268,Courses!$A$5:$G$10,3,FALSE))</f>
        <v/>
      </c>
      <c r="G268" s="4"/>
      <c r="H268" s="4"/>
      <c r="I268" s="4"/>
      <c r="J268" s="28"/>
      <c r="K268" s="4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4"/>
      <c r="B269" s="28"/>
      <c r="C269" s="4"/>
      <c r="D269" s="4"/>
      <c r="E269" s="3" t="str">
        <f>IF(D269="","",VLOOKUP(D269,Courses!$A$5:$G$10,2,FALSE))</f>
        <v/>
      </c>
      <c r="F269" s="32" t="str">
        <f>IF(D269="","",VLOOKUP(D269,Courses!$A$5:$G$10,3,FALSE))</f>
        <v/>
      </c>
      <c r="G269" s="4"/>
      <c r="H269" s="4"/>
      <c r="I269" s="4"/>
      <c r="J269" s="28"/>
      <c r="K269" s="4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4"/>
      <c r="B270" s="28"/>
      <c r="C270" s="4"/>
      <c r="D270" s="4"/>
      <c r="E270" s="3" t="str">
        <f>IF(D270="","",VLOOKUP(D270,Courses!$A$5:$G$10,2,FALSE))</f>
        <v/>
      </c>
      <c r="F270" s="32" t="str">
        <f>IF(D270="","",VLOOKUP(D270,Courses!$A$5:$G$10,3,FALSE))</f>
        <v/>
      </c>
      <c r="G270" s="4"/>
      <c r="H270" s="4"/>
      <c r="I270" s="4"/>
      <c r="J270" s="28"/>
      <c r="K270" s="4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4"/>
      <c r="B271" s="28"/>
      <c r="C271" s="4"/>
      <c r="D271" s="4"/>
      <c r="E271" s="3" t="str">
        <f>IF(D271="","",VLOOKUP(D271,Courses!$A$5:$G$10,2,FALSE))</f>
        <v/>
      </c>
      <c r="F271" s="32" t="str">
        <f>IF(D271="","",VLOOKUP(D271,Courses!$A$5:$G$10,3,FALSE))</f>
        <v/>
      </c>
      <c r="G271" s="4"/>
      <c r="H271" s="4"/>
      <c r="I271" s="4"/>
      <c r="J271" s="28"/>
      <c r="K271" s="4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4"/>
      <c r="B272" s="28"/>
      <c r="C272" s="4"/>
      <c r="D272" s="4"/>
      <c r="E272" s="3" t="str">
        <f>IF(D272="","",VLOOKUP(D272,Courses!$A$5:$G$10,2,FALSE))</f>
        <v/>
      </c>
      <c r="F272" s="32" t="str">
        <f>IF(D272="","",VLOOKUP(D272,Courses!$A$5:$G$10,3,FALSE))</f>
        <v/>
      </c>
      <c r="G272" s="4"/>
      <c r="H272" s="4"/>
      <c r="I272" s="4"/>
      <c r="J272" s="28"/>
      <c r="K272" s="4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4"/>
      <c r="B273" s="28"/>
      <c r="C273" s="4"/>
      <c r="D273" s="4"/>
      <c r="E273" s="3" t="str">
        <f>IF(D273="","",VLOOKUP(D273,Courses!$A$5:$G$10,2,FALSE))</f>
        <v/>
      </c>
      <c r="F273" s="32" t="str">
        <f>IF(D273="","",VLOOKUP(D273,Courses!$A$5:$G$10,3,FALSE))</f>
        <v/>
      </c>
      <c r="G273" s="4"/>
      <c r="H273" s="4"/>
      <c r="I273" s="4"/>
      <c r="J273" s="28"/>
      <c r="K273" s="4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4"/>
      <c r="B274" s="28"/>
      <c r="C274" s="4"/>
      <c r="D274" s="4"/>
      <c r="E274" s="3" t="str">
        <f>IF(D274="","",VLOOKUP(D274,Courses!$A$5:$G$10,2,FALSE))</f>
        <v/>
      </c>
      <c r="F274" s="32" t="str">
        <f>IF(D274="","",VLOOKUP(D274,Courses!$A$5:$G$10,3,FALSE))</f>
        <v/>
      </c>
      <c r="G274" s="4"/>
      <c r="H274" s="4"/>
      <c r="I274" s="4"/>
      <c r="J274" s="28"/>
      <c r="K274" s="4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4"/>
      <c r="B275" s="28"/>
      <c r="C275" s="4"/>
      <c r="D275" s="4"/>
      <c r="E275" s="3" t="str">
        <f>IF(D275="","",VLOOKUP(D275,Courses!$A$5:$G$10,2,FALSE))</f>
        <v/>
      </c>
      <c r="F275" s="32" t="str">
        <f>IF(D275="","",VLOOKUP(D275,Courses!$A$5:$G$10,3,FALSE))</f>
        <v/>
      </c>
      <c r="G275" s="4"/>
      <c r="H275" s="4"/>
      <c r="I275" s="4"/>
      <c r="J275" s="28"/>
      <c r="K275" s="4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4"/>
      <c r="B276" s="28"/>
      <c r="C276" s="4"/>
      <c r="D276" s="4"/>
      <c r="E276" s="3" t="str">
        <f>IF(D276="","",VLOOKUP(D276,Courses!$A$5:$G$10,2,FALSE))</f>
        <v/>
      </c>
      <c r="F276" s="32" t="str">
        <f>IF(D276="","",VLOOKUP(D276,Courses!$A$5:$G$10,3,FALSE))</f>
        <v/>
      </c>
      <c r="G276" s="4"/>
      <c r="H276" s="4"/>
      <c r="I276" s="4"/>
      <c r="J276" s="28"/>
      <c r="K276" s="4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4"/>
      <c r="B277" s="28"/>
      <c r="C277" s="4"/>
      <c r="D277" s="4"/>
      <c r="E277" s="3" t="str">
        <f>IF(D277="","",VLOOKUP(D277,Courses!$A$5:$G$10,2,FALSE))</f>
        <v/>
      </c>
      <c r="F277" s="32" t="str">
        <f>IF(D277="","",VLOOKUP(D277,Courses!$A$5:$G$10,3,FALSE))</f>
        <v/>
      </c>
      <c r="G277" s="4"/>
      <c r="H277" s="4"/>
      <c r="I277" s="4"/>
      <c r="J277" s="28"/>
      <c r="K277" s="4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4"/>
      <c r="B278" s="28"/>
      <c r="C278" s="4"/>
      <c r="D278" s="4"/>
      <c r="E278" s="3" t="str">
        <f>IF(D278="","",VLOOKUP(D278,Courses!$A$5:$G$10,2,FALSE))</f>
        <v/>
      </c>
      <c r="F278" s="32" t="str">
        <f>IF(D278="","",VLOOKUP(D278,Courses!$A$5:$G$10,3,FALSE))</f>
        <v/>
      </c>
      <c r="G278" s="4"/>
      <c r="H278" s="4"/>
      <c r="I278" s="4"/>
      <c r="J278" s="28"/>
      <c r="K278" s="4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4"/>
      <c r="B279" s="28"/>
      <c r="C279" s="4"/>
      <c r="D279" s="4"/>
      <c r="E279" s="3" t="str">
        <f>IF(D279="","",VLOOKUP(D279,Courses!$A$5:$G$10,2,FALSE))</f>
        <v/>
      </c>
      <c r="F279" s="32" t="str">
        <f>IF(D279="","",VLOOKUP(D279,Courses!$A$5:$G$10,3,FALSE))</f>
        <v/>
      </c>
      <c r="G279" s="4"/>
      <c r="H279" s="4"/>
      <c r="I279" s="4"/>
      <c r="J279" s="28"/>
      <c r="K279" s="4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4"/>
      <c r="B280" s="28"/>
      <c r="C280" s="4"/>
      <c r="D280" s="4"/>
      <c r="E280" s="3" t="str">
        <f>IF(D280="","",VLOOKUP(D280,Courses!$A$5:$G$10,2,FALSE))</f>
        <v/>
      </c>
      <c r="F280" s="32" t="str">
        <f>IF(D280="","",VLOOKUP(D280,Courses!$A$5:$G$10,3,FALSE))</f>
        <v/>
      </c>
      <c r="G280" s="4"/>
      <c r="H280" s="4"/>
      <c r="I280" s="4"/>
      <c r="J280" s="28"/>
      <c r="K280" s="4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4"/>
      <c r="B281" s="28"/>
      <c r="C281" s="4"/>
      <c r="D281" s="4"/>
      <c r="E281" s="3" t="str">
        <f>IF(D281="","",VLOOKUP(D281,Courses!$A$5:$G$10,2,FALSE))</f>
        <v/>
      </c>
      <c r="F281" s="32" t="str">
        <f>IF(D281="","",VLOOKUP(D281,Courses!$A$5:$G$10,3,FALSE))</f>
        <v/>
      </c>
      <c r="G281" s="4"/>
      <c r="H281" s="4"/>
      <c r="I281" s="4"/>
      <c r="J281" s="28"/>
      <c r="K281" s="4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4"/>
      <c r="B282" s="28"/>
      <c r="C282" s="4"/>
      <c r="D282" s="4"/>
      <c r="E282" s="3" t="str">
        <f>IF(D282="","",VLOOKUP(D282,Courses!$A$5:$G$10,2,FALSE))</f>
        <v/>
      </c>
      <c r="F282" s="32" t="str">
        <f>IF(D282="","",VLOOKUP(D282,Courses!$A$5:$G$10,3,FALSE))</f>
        <v/>
      </c>
      <c r="G282" s="4"/>
      <c r="H282" s="4"/>
      <c r="I282" s="4"/>
      <c r="J282" s="28"/>
      <c r="K282" s="4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4"/>
      <c r="B283" s="28"/>
      <c r="C283" s="4"/>
      <c r="D283" s="4"/>
      <c r="E283" s="3" t="str">
        <f>IF(D283="","",VLOOKUP(D283,Courses!$A$5:$G$10,2,FALSE))</f>
        <v/>
      </c>
      <c r="F283" s="32" t="str">
        <f>IF(D283="","",VLOOKUP(D283,Courses!$A$5:$G$10,3,FALSE))</f>
        <v/>
      </c>
      <c r="G283" s="4"/>
      <c r="H283" s="4"/>
      <c r="I283" s="4"/>
      <c r="J283" s="28"/>
      <c r="K283" s="4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4"/>
      <c r="B284" s="28"/>
      <c r="C284" s="4"/>
      <c r="D284" s="4"/>
      <c r="E284" s="3" t="str">
        <f>IF(D284="","",VLOOKUP(D284,Courses!$A$5:$G$10,2,FALSE))</f>
        <v/>
      </c>
      <c r="F284" s="32" t="str">
        <f>IF(D284="","",VLOOKUP(D284,Courses!$A$5:$G$10,3,FALSE))</f>
        <v/>
      </c>
      <c r="G284" s="4"/>
      <c r="H284" s="4"/>
      <c r="I284" s="4"/>
      <c r="J284" s="28"/>
      <c r="K284" s="4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4"/>
      <c r="B285" s="28"/>
      <c r="C285" s="4"/>
      <c r="D285" s="4"/>
      <c r="E285" s="3" t="str">
        <f>IF(D285="","",VLOOKUP(D285,Courses!$A$5:$G$10,2,FALSE))</f>
        <v/>
      </c>
      <c r="F285" s="32" t="str">
        <f>IF(D285="","",VLOOKUP(D285,Courses!$A$5:$G$10,3,FALSE))</f>
        <v/>
      </c>
      <c r="G285" s="4"/>
      <c r="H285" s="4"/>
      <c r="I285" s="4"/>
      <c r="J285" s="28"/>
      <c r="K285" s="4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4"/>
      <c r="B286" s="28"/>
      <c r="C286" s="4"/>
      <c r="D286" s="4"/>
      <c r="E286" s="3" t="str">
        <f>IF(D286="","",VLOOKUP(D286,Courses!$A$5:$G$10,2,FALSE))</f>
        <v/>
      </c>
      <c r="F286" s="32" t="str">
        <f>IF(D286="","",VLOOKUP(D286,Courses!$A$5:$G$10,3,FALSE))</f>
        <v/>
      </c>
      <c r="G286" s="4"/>
      <c r="H286" s="4"/>
      <c r="I286" s="4"/>
      <c r="J286" s="28"/>
      <c r="K286" s="4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4"/>
      <c r="B287" s="28"/>
      <c r="C287" s="4"/>
      <c r="D287" s="4"/>
      <c r="E287" s="3" t="str">
        <f>IF(D287="","",VLOOKUP(D287,Courses!$A$5:$G$10,2,FALSE))</f>
        <v/>
      </c>
      <c r="F287" s="32" t="str">
        <f>IF(D287="","",VLOOKUP(D287,Courses!$A$5:$G$10,3,FALSE))</f>
        <v/>
      </c>
      <c r="G287" s="4"/>
      <c r="H287" s="4"/>
      <c r="I287" s="4"/>
      <c r="J287" s="28"/>
      <c r="K287" s="4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4"/>
      <c r="B288" s="28"/>
      <c r="C288" s="4"/>
      <c r="D288" s="4"/>
      <c r="E288" s="3" t="str">
        <f>IF(D288="","",VLOOKUP(D288,Courses!$A$5:$G$10,2,FALSE))</f>
        <v/>
      </c>
      <c r="F288" s="32" t="str">
        <f>IF(D288="","",VLOOKUP(D288,Courses!$A$5:$G$10,3,FALSE))</f>
        <v/>
      </c>
      <c r="G288" s="4"/>
      <c r="H288" s="4"/>
      <c r="I288" s="4"/>
      <c r="J288" s="28"/>
      <c r="K288" s="4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4"/>
      <c r="B289" s="28"/>
      <c r="C289" s="4"/>
      <c r="D289" s="4"/>
      <c r="E289" s="3" t="str">
        <f>IF(D289="","",VLOOKUP(D289,Courses!$A$5:$G$10,2,FALSE))</f>
        <v/>
      </c>
      <c r="F289" s="32" t="str">
        <f>IF(D289="","",VLOOKUP(D289,Courses!$A$5:$G$10,3,FALSE))</f>
        <v/>
      </c>
      <c r="G289" s="4"/>
      <c r="H289" s="4"/>
      <c r="I289" s="4"/>
      <c r="J289" s="28"/>
      <c r="K289" s="4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4"/>
      <c r="B290" s="28"/>
      <c r="C290" s="4"/>
      <c r="D290" s="4"/>
      <c r="E290" s="3" t="str">
        <f>IF(D290="","",VLOOKUP(D290,Courses!$A$5:$G$10,2,FALSE))</f>
        <v/>
      </c>
      <c r="F290" s="32" t="str">
        <f>IF(D290="","",VLOOKUP(D290,Courses!$A$5:$G$10,3,FALSE))</f>
        <v/>
      </c>
      <c r="G290" s="4"/>
      <c r="H290" s="4"/>
      <c r="I290" s="4"/>
      <c r="J290" s="28"/>
      <c r="K290" s="4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4"/>
      <c r="B291" s="28"/>
      <c r="C291" s="4"/>
      <c r="D291" s="4"/>
      <c r="E291" s="3" t="str">
        <f>IF(D291="","",VLOOKUP(D291,Courses!$A$5:$G$10,2,FALSE))</f>
        <v/>
      </c>
      <c r="F291" s="32" t="str">
        <f>IF(D291="","",VLOOKUP(D291,Courses!$A$5:$G$10,3,FALSE))</f>
        <v/>
      </c>
      <c r="G291" s="4"/>
      <c r="H291" s="4"/>
      <c r="I291" s="4"/>
      <c r="J291" s="28"/>
      <c r="K291" s="4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4"/>
      <c r="B292" s="28"/>
      <c r="C292" s="4"/>
      <c r="D292" s="4"/>
      <c r="E292" s="3" t="str">
        <f>IF(D292="","",VLOOKUP(D292,Courses!$A$5:$G$10,2,FALSE))</f>
        <v/>
      </c>
      <c r="F292" s="32" t="str">
        <f>IF(D292="","",VLOOKUP(D292,Courses!$A$5:$G$10,3,FALSE))</f>
        <v/>
      </c>
      <c r="G292" s="4"/>
      <c r="H292" s="4"/>
      <c r="I292" s="4"/>
      <c r="J292" s="28"/>
      <c r="K292" s="4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4"/>
      <c r="B293" s="28"/>
      <c r="C293" s="4"/>
      <c r="D293" s="4"/>
      <c r="E293" s="3" t="str">
        <f>IF(D293="","",VLOOKUP(D293,Courses!$A$5:$G$10,2,FALSE))</f>
        <v/>
      </c>
      <c r="F293" s="32" t="str">
        <f>IF(D293="","",VLOOKUP(D293,Courses!$A$5:$G$10,3,FALSE))</f>
        <v/>
      </c>
      <c r="G293" s="4"/>
      <c r="H293" s="4"/>
      <c r="I293" s="4"/>
      <c r="J293" s="28"/>
      <c r="K293" s="4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4"/>
      <c r="B294" s="28"/>
      <c r="C294" s="4"/>
      <c r="D294" s="4"/>
      <c r="E294" s="3" t="str">
        <f>IF(D294="","",VLOOKUP(D294,Courses!$A$5:$G$10,2,FALSE))</f>
        <v/>
      </c>
      <c r="F294" s="32" t="str">
        <f>IF(D294="","",VLOOKUP(D294,Courses!$A$5:$G$10,3,FALSE))</f>
        <v/>
      </c>
      <c r="G294" s="4"/>
      <c r="H294" s="4"/>
      <c r="I294" s="4"/>
      <c r="J294" s="28"/>
      <c r="K294" s="4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4"/>
      <c r="B295" s="28"/>
      <c r="C295" s="4"/>
      <c r="D295" s="4"/>
      <c r="E295" s="3" t="str">
        <f>IF(D295="","",VLOOKUP(D295,Courses!$A$5:$G$10,2,FALSE))</f>
        <v/>
      </c>
      <c r="F295" s="32" t="str">
        <f>IF(D295="","",VLOOKUP(D295,Courses!$A$5:$G$10,3,FALSE))</f>
        <v/>
      </c>
      <c r="G295" s="4"/>
      <c r="H295" s="4"/>
      <c r="I295" s="4"/>
      <c r="J295" s="28"/>
      <c r="K295" s="4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4"/>
      <c r="B296" s="28"/>
      <c r="C296" s="4"/>
      <c r="D296" s="4"/>
      <c r="E296" s="3" t="str">
        <f>IF(D296="","",VLOOKUP(D296,Courses!$A$5:$G$10,2,FALSE))</f>
        <v/>
      </c>
      <c r="F296" s="32" t="str">
        <f>IF(D296="","",VLOOKUP(D296,Courses!$A$5:$G$10,3,FALSE))</f>
        <v/>
      </c>
      <c r="G296" s="4"/>
      <c r="H296" s="4"/>
      <c r="I296" s="4"/>
      <c r="J296" s="28"/>
      <c r="K296" s="4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4"/>
      <c r="B297" s="28"/>
      <c r="C297" s="4"/>
      <c r="D297" s="4"/>
      <c r="E297" s="3" t="str">
        <f>IF(D297="","",VLOOKUP(D297,Courses!$A$5:$G$10,2,FALSE))</f>
        <v/>
      </c>
      <c r="F297" s="32" t="str">
        <f>IF(D297="","",VLOOKUP(D297,Courses!$A$5:$G$10,3,FALSE))</f>
        <v/>
      </c>
      <c r="G297" s="4"/>
      <c r="H297" s="4"/>
      <c r="I297" s="4"/>
      <c r="J297" s="28"/>
      <c r="K297" s="4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4"/>
      <c r="B298" s="28"/>
      <c r="C298" s="4"/>
      <c r="D298" s="4"/>
      <c r="E298" s="3" t="str">
        <f>IF(D298="","",VLOOKUP(D298,Courses!$A$5:$G$10,2,FALSE))</f>
        <v/>
      </c>
      <c r="F298" s="32" t="str">
        <f>IF(D298="","",VLOOKUP(D298,Courses!$A$5:$G$10,3,FALSE))</f>
        <v/>
      </c>
      <c r="G298" s="4"/>
      <c r="H298" s="4"/>
      <c r="I298" s="4"/>
      <c r="J298" s="28"/>
      <c r="K298" s="4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4"/>
      <c r="B299" s="28"/>
      <c r="C299" s="4"/>
      <c r="D299" s="4"/>
      <c r="E299" s="3" t="str">
        <f>IF(D299="","",VLOOKUP(D299,Courses!$A$5:$G$10,2,FALSE))</f>
        <v/>
      </c>
      <c r="F299" s="32" t="str">
        <f>IF(D299="","",VLOOKUP(D299,Courses!$A$5:$G$10,3,FALSE))</f>
        <v/>
      </c>
      <c r="G299" s="4"/>
      <c r="H299" s="4"/>
      <c r="I299" s="4"/>
      <c r="J299" s="28"/>
      <c r="K299" s="4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4"/>
      <c r="B300" s="28"/>
      <c r="C300" s="4"/>
      <c r="D300" s="4"/>
      <c r="E300" s="3" t="str">
        <f>IF(D300="","",VLOOKUP(D300,Courses!$A$5:$G$10,2,FALSE))</f>
        <v/>
      </c>
      <c r="F300" s="32" t="str">
        <f>IF(D300="","",VLOOKUP(D300,Courses!$A$5:$G$10,3,FALSE))</f>
        <v/>
      </c>
      <c r="G300" s="4"/>
      <c r="H300" s="4"/>
      <c r="I300" s="4"/>
      <c r="J300" s="28"/>
      <c r="K300" s="4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4"/>
      <c r="B301" s="28"/>
      <c r="C301" s="4"/>
      <c r="D301" s="4"/>
      <c r="E301" s="3" t="str">
        <f>IF(D301="","",VLOOKUP(D301,Courses!$A$5:$G$10,2,FALSE))</f>
        <v/>
      </c>
      <c r="F301" s="32" t="str">
        <f>IF(D301="","",VLOOKUP(D301,Courses!$A$5:$G$10,3,FALSE))</f>
        <v/>
      </c>
      <c r="G301" s="4"/>
      <c r="H301" s="4"/>
      <c r="I301" s="4"/>
      <c r="J301" s="28"/>
      <c r="K301" s="4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4"/>
      <c r="B302" s="28"/>
      <c r="C302" s="4"/>
      <c r="D302" s="4"/>
      <c r="E302" s="3" t="str">
        <f>IF(D302="","",VLOOKUP(D302,Courses!$A$5:$G$10,2,FALSE))</f>
        <v/>
      </c>
      <c r="F302" s="32" t="str">
        <f>IF(D302="","",VLOOKUP(D302,Courses!$A$5:$G$10,3,FALSE))</f>
        <v/>
      </c>
      <c r="G302" s="4"/>
      <c r="H302" s="4"/>
      <c r="I302" s="4"/>
      <c r="J302" s="28"/>
      <c r="K302" s="4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4"/>
      <c r="B303" s="28"/>
      <c r="C303" s="4"/>
      <c r="D303" s="4"/>
      <c r="E303" s="3" t="str">
        <f>IF(D303="","",VLOOKUP(D303,Courses!$A$5:$G$10,2,FALSE))</f>
        <v/>
      </c>
      <c r="F303" s="32" t="str">
        <f>IF(D303="","",VLOOKUP(D303,Courses!$A$5:$G$10,3,FALSE))</f>
        <v/>
      </c>
      <c r="G303" s="4"/>
      <c r="H303" s="4"/>
      <c r="I303" s="4"/>
      <c r="J303" s="28"/>
      <c r="K303" s="4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4"/>
      <c r="B304" s="28"/>
      <c r="C304" s="4"/>
      <c r="D304" s="4"/>
      <c r="E304" s="3" t="str">
        <f>IF(D304="","",VLOOKUP(D304,Courses!$A$5:$G$10,2,FALSE))</f>
        <v/>
      </c>
      <c r="F304" s="32" t="str">
        <f>IF(D304="","",VLOOKUP(D304,Courses!$A$5:$G$10,3,FALSE))</f>
        <v/>
      </c>
      <c r="G304" s="4"/>
      <c r="H304" s="4"/>
      <c r="I304" s="4"/>
      <c r="J304" s="28"/>
      <c r="K304" s="4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4"/>
      <c r="B305" s="28"/>
      <c r="C305" s="4"/>
      <c r="D305" s="4"/>
      <c r="E305" s="3" t="str">
        <f>IF(D305="","",VLOOKUP(D305,Courses!$A$5:$G$10,2,FALSE))</f>
        <v/>
      </c>
      <c r="F305" s="32" t="str">
        <f>IF(D305="","",VLOOKUP(D305,Courses!$A$5:$G$10,3,FALSE))</f>
        <v/>
      </c>
      <c r="G305" s="4"/>
      <c r="H305" s="4"/>
      <c r="I305" s="4"/>
      <c r="J305" s="28"/>
      <c r="K305" s="4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4"/>
      <c r="B306" s="28"/>
      <c r="C306" s="4"/>
      <c r="D306" s="4"/>
      <c r="E306" s="3" t="str">
        <f>IF(D306="","",VLOOKUP(D306,Courses!$A$5:$G$10,2,FALSE))</f>
        <v/>
      </c>
      <c r="F306" s="32" t="str">
        <f>IF(D306="","",VLOOKUP(D306,Courses!$A$5:$G$10,3,FALSE))</f>
        <v/>
      </c>
      <c r="G306" s="4"/>
      <c r="H306" s="4"/>
      <c r="I306" s="4"/>
      <c r="J306" s="28"/>
      <c r="K306" s="4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4"/>
      <c r="B307" s="28"/>
      <c r="C307" s="4"/>
      <c r="D307" s="4"/>
      <c r="E307" s="3" t="str">
        <f>IF(D307="","",VLOOKUP(D307,Courses!$A$5:$G$10,2,FALSE))</f>
        <v/>
      </c>
      <c r="F307" s="32" t="str">
        <f>IF(D307="","",VLOOKUP(D307,Courses!$A$5:$G$10,3,FALSE))</f>
        <v/>
      </c>
      <c r="G307" s="4"/>
      <c r="H307" s="4"/>
      <c r="I307" s="4"/>
      <c r="J307" s="28"/>
      <c r="K307" s="4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4"/>
      <c r="B308" s="28"/>
      <c r="C308" s="4"/>
      <c r="D308" s="4"/>
      <c r="E308" s="3" t="str">
        <f>IF(D308="","",VLOOKUP(D308,Courses!$A$5:$G$10,2,FALSE))</f>
        <v/>
      </c>
      <c r="F308" s="32" t="str">
        <f>IF(D308="","",VLOOKUP(D308,Courses!$A$5:$G$10,3,FALSE))</f>
        <v/>
      </c>
      <c r="G308" s="4"/>
      <c r="H308" s="4"/>
      <c r="I308" s="4"/>
      <c r="J308" s="28"/>
      <c r="K308" s="4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4"/>
      <c r="B309" s="28"/>
      <c r="C309" s="4"/>
      <c r="D309" s="4"/>
      <c r="E309" s="3" t="str">
        <f>IF(D309="","",VLOOKUP(D309,Courses!$A$5:$G$10,2,FALSE))</f>
        <v/>
      </c>
      <c r="F309" s="32" t="str">
        <f>IF(D309="","",VLOOKUP(D309,Courses!$A$5:$G$10,3,FALSE))</f>
        <v/>
      </c>
      <c r="G309" s="4"/>
      <c r="H309" s="4"/>
      <c r="I309" s="4"/>
      <c r="J309" s="28"/>
      <c r="K309" s="4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4"/>
      <c r="B310" s="28"/>
      <c r="C310" s="4"/>
      <c r="D310" s="4"/>
      <c r="E310" s="3" t="str">
        <f>IF(D310="","",VLOOKUP(D310,Courses!$A$5:$G$10,2,FALSE))</f>
        <v/>
      </c>
      <c r="F310" s="32" t="str">
        <f>IF(D310="","",VLOOKUP(D310,Courses!$A$5:$G$10,3,FALSE))</f>
        <v/>
      </c>
      <c r="G310" s="4"/>
      <c r="H310" s="4"/>
      <c r="I310" s="4"/>
      <c r="J310" s="28"/>
      <c r="K310" s="4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4"/>
      <c r="B311" s="28"/>
      <c r="C311" s="4"/>
      <c r="D311" s="4"/>
      <c r="E311" s="3" t="str">
        <f>IF(D311="","",VLOOKUP(D311,Courses!$A$5:$G$10,2,FALSE))</f>
        <v/>
      </c>
      <c r="F311" s="32" t="str">
        <f>IF(D311="","",VLOOKUP(D311,Courses!$A$5:$G$10,3,FALSE))</f>
        <v/>
      </c>
      <c r="G311" s="4"/>
      <c r="H311" s="4"/>
      <c r="I311" s="4"/>
      <c r="J311" s="28"/>
      <c r="K311" s="4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4"/>
      <c r="B312" s="28"/>
      <c r="C312" s="4"/>
      <c r="D312" s="4"/>
      <c r="E312" s="3" t="str">
        <f>IF(D312="","",VLOOKUP(D312,Courses!$A$5:$G$10,2,FALSE))</f>
        <v/>
      </c>
      <c r="F312" s="32" t="str">
        <f>IF(D312="","",VLOOKUP(D312,Courses!$A$5:$G$10,3,FALSE))</f>
        <v/>
      </c>
      <c r="G312" s="4"/>
      <c r="H312" s="4"/>
      <c r="I312" s="4"/>
      <c r="J312" s="28"/>
      <c r="K312" s="4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4"/>
      <c r="B313" s="28"/>
      <c r="C313" s="4"/>
      <c r="D313" s="4"/>
      <c r="E313" s="3" t="str">
        <f>IF(D313="","",VLOOKUP(D313,Courses!$A$5:$G$10,2,FALSE))</f>
        <v/>
      </c>
      <c r="F313" s="32" t="str">
        <f>IF(D313="","",VLOOKUP(D313,Courses!$A$5:$G$10,3,FALSE))</f>
        <v/>
      </c>
      <c r="G313" s="4"/>
      <c r="H313" s="4"/>
      <c r="I313" s="4"/>
      <c r="J313" s="28"/>
      <c r="K313" s="4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4"/>
      <c r="B314" s="28"/>
      <c r="C314" s="4"/>
      <c r="D314" s="4"/>
      <c r="E314" s="3" t="str">
        <f>IF(D314="","",VLOOKUP(D314,Courses!$A$5:$G$10,2,FALSE))</f>
        <v/>
      </c>
      <c r="F314" s="32" t="str">
        <f>IF(D314="","",VLOOKUP(D314,Courses!$A$5:$G$10,3,FALSE))</f>
        <v/>
      </c>
      <c r="G314" s="4"/>
      <c r="H314" s="4"/>
      <c r="I314" s="4"/>
      <c r="J314" s="28"/>
      <c r="K314" s="4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4"/>
      <c r="B315" s="28"/>
      <c r="C315" s="4"/>
      <c r="D315" s="4"/>
      <c r="E315" s="3" t="str">
        <f>IF(D315="","",VLOOKUP(D315,Courses!$A$5:$G$10,2,FALSE))</f>
        <v/>
      </c>
      <c r="F315" s="32" t="str">
        <f>IF(D315="","",VLOOKUP(D315,Courses!$A$5:$G$10,3,FALSE))</f>
        <v/>
      </c>
      <c r="G315" s="4"/>
      <c r="H315" s="4"/>
      <c r="I315" s="4"/>
      <c r="J315" s="28"/>
      <c r="K315" s="4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4"/>
      <c r="B316" s="28"/>
      <c r="C316" s="4"/>
      <c r="D316" s="4"/>
      <c r="E316" s="3" t="str">
        <f>IF(D316="","",VLOOKUP(D316,Courses!$A$5:$G$10,2,FALSE))</f>
        <v/>
      </c>
      <c r="F316" s="32" t="str">
        <f>IF(D316="","",VLOOKUP(D316,Courses!$A$5:$G$10,3,FALSE))</f>
        <v/>
      </c>
      <c r="G316" s="4"/>
      <c r="H316" s="4"/>
      <c r="I316" s="4"/>
      <c r="J316" s="28"/>
      <c r="K316" s="4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4"/>
      <c r="B317" s="28"/>
      <c r="C317" s="4"/>
      <c r="D317" s="4"/>
      <c r="E317" s="3" t="str">
        <f>IF(D317="","",VLOOKUP(D317,Courses!$A$5:$G$10,2,FALSE))</f>
        <v/>
      </c>
      <c r="F317" s="32" t="str">
        <f>IF(D317="","",VLOOKUP(D317,Courses!$A$5:$G$10,3,FALSE))</f>
        <v/>
      </c>
      <c r="G317" s="4"/>
      <c r="H317" s="4"/>
      <c r="I317" s="4"/>
      <c r="J317" s="28"/>
      <c r="K317" s="4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4"/>
      <c r="B318" s="28"/>
      <c r="C318" s="4"/>
      <c r="D318" s="4"/>
      <c r="E318" s="3" t="str">
        <f>IF(D318="","",VLOOKUP(D318,Courses!$A$5:$G$10,2,FALSE))</f>
        <v/>
      </c>
      <c r="F318" s="32" t="str">
        <f>IF(D318="","",VLOOKUP(D318,Courses!$A$5:$G$10,3,FALSE))</f>
        <v/>
      </c>
      <c r="G318" s="4"/>
      <c r="H318" s="4"/>
      <c r="I318" s="4"/>
      <c r="J318" s="28"/>
      <c r="K318" s="4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4"/>
      <c r="B319" s="28"/>
      <c r="C319" s="4"/>
      <c r="D319" s="4"/>
      <c r="E319" s="3" t="str">
        <f>IF(D319="","",VLOOKUP(D319,Courses!$A$5:$G$10,2,FALSE))</f>
        <v/>
      </c>
      <c r="F319" s="32" t="str">
        <f>IF(D319="","",VLOOKUP(D319,Courses!$A$5:$G$10,3,FALSE))</f>
        <v/>
      </c>
      <c r="G319" s="4"/>
      <c r="H319" s="4"/>
      <c r="I319" s="4"/>
      <c r="J319" s="28"/>
      <c r="K319" s="4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4"/>
      <c r="B320" s="28"/>
      <c r="C320" s="4"/>
      <c r="D320" s="4"/>
      <c r="E320" s="3" t="str">
        <f>IF(D320="","",VLOOKUP(D320,Courses!$A$5:$G$10,2,FALSE))</f>
        <v/>
      </c>
      <c r="F320" s="32" t="str">
        <f>IF(D320="","",VLOOKUP(D320,Courses!$A$5:$G$10,3,FALSE))</f>
        <v/>
      </c>
      <c r="G320" s="4"/>
      <c r="H320" s="4"/>
      <c r="I320" s="4"/>
      <c r="J320" s="28"/>
      <c r="K320" s="4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4"/>
      <c r="B321" s="28"/>
      <c r="C321" s="4"/>
      <c r="D321" s="4"/>
      <c r="E321" s="3" t="str">
        <f>IF(D321="","",VLOOKUP(D321,Courses!$A$5:$G$10,2,FALSE))</f>
        <v/>
      </c>
      <c r="F321" s="32" t="str">
        <f>IF(D321="","",VLOOKUP(D321,Courses!$A$5:$G$10,3,FALSE))</f>
        <v/>
      </c>
      <c r="G321" s="4"/>
      <c r="H321" s="4"/>
      <c r="I321" s="4"/>
      <c r="J321" s="28"/>
      <c r="K321" s="4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4"/>
      <c r="B322" s="28"/>
      <c r="C322" s="4"/>
      <c r="D322" s="4"/>
      <c r="E322" s="3" t="str">
        <f>IF(D322="","",VLOOKUP(D322,Courses!$A$5:$G$10,2,FALSE))</f>
        <v/>
      </c>
      <c r="F322" s="32" t="str">
        <f>IF(D322="","",VLOOKUP(D322,Courses!$A$5:$G$10,3,FALSE))</f>
        <v/>
      </c>
      <c r="G322" s="4"/>
      <c r="H322" s="4"/>
      <c r="I322" s="4"/>
      <c r="J322" s="28"/>
      <c r="K322" s="4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4"/>
      <c r="B323" s="28"/>
      <c r="C323" s="4"/>
      <c r="D323" s="4"/>
      <c r="E323" s="3" t="str">
        <f>IF(D323="","",VLOOKUP(D323,Courses!$A$5:$G$10,2,FALSE))</f>
        <v/>
      </c>
      <c r="F323" s="32" t="str">
        <f>IF(D323="","",VLOOKUP(D323,Courses!$A$5:$G$10,3,FALSE))</f>
        <v/>
      </c>
      <c r="G323" s="4"/>
      <c r="H323" s="4"/>
      <c r="I323" s="4"/>
      <c r="J323" s="28"/>
      <c r="K323" s="4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4"/>
      <c r="B324" s="28"/>
      <c r="C324" s="4"/>
      <c r="D324" s="4"/>
      <c r="E324" s="3" t="str">
        <f>IF(D324="","",VLOOKUP(D324,Courses!$A$5:$G$10,2,FALSE))</f>
        <v/>
      </c>
      <c r="F324" s="32" t="str">
        <f>IF(D324="","",VLOOKUP(D324,Courses!$A$5:$G$10,3,FALSE))</f>
        <v/>
      </c>
      <c r="G324" s="4"/>
      <c r="H324" s="4"/>
      <c r="I324" s="4"/>
      <c r="J324" s="28"/>
      <c r="K324" s="4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4"/>
      <c r="B325" s="28"/>
      <c r="C325" s="4"/>
      <c r="D325" s="4"/>
      <c r="E325" s="3" t="str">
        <f>IF(D325="","",VLOOKUP(D325,Courses!$A$5:$G$10,2,FALSE))</f>
        <v/>
      </c>
      <c r="F325" s="32" t="str">
        <f>IF(D325="","",VLOOKUP(D325,Courses!$A$5:$G$10,3,FALSE))</f>
        <v/>
      </c>
      <c r="G325" s="4"/>
      <c r="H325" s="4"/>
      <c r="I325" s="4"/>
      <c r="J325" s="28"/>
      <c r="K325" s="4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4"/>
      <c r="B326" s="28"/>
      <c r="C326" s="4"/>
      <c r="D326" s="4"/>
      <c r="E326" s="3" t="str">
        <f>IF(D326="","",VLOOKUP(D326,Courses!$A$5:$G$10,2,FALSE))</f>
        <v/>
      </c>
      <c r="F326" s="32" t="str">
        <f>IF(D326="","",VLOOKUP(D326,Courses!$A$5:$G$10,3,FALSE))</f>
        <v/>
      </c>
      <c r="G326" s="4"/>
      <c r="H326" s="4"/>
      <c r="I326" s="4"/>
      <c r="J326" s="28"/>
      <c r="K326" s="4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4"/>
      <c r="B327" s="28"/>
      <c r="C327" s="4"/>
      <c r="D327" s="4"/>
      <c r="E327" s="3" t="str">
        <f>IF(D327="","",VLOOKUP(D327,Courses!$A$5:$G$10,2,FALSE))</f>
        <v/>
      </c>
      <c r="F327" s="32" t="str">
        <f>IF(D327="","",VLOOKUP(D327,Courses!$A$5:$G$10,3,FALSE))</f>
        <v/>
      </c>
      <c r="G327" s="4"/>
      <c r="H327" s="4"/>
      <c r="I327" s="4"/>
      <c r="J327" s="28"/>
      <c r="K327" s="4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4"/>
      <c r="B328" s="28"/>
      <c r="C328" s="4"/>
      <c r="D328" s="4"/>
      <c r="E328" s="3" t="str">
        <f>IF(D328="","",VLOOKUP(D328,Courses!$A$5:$G$10,2,FALSE))</f>
        <v/>
      </c>
      <c r="F328" s="32" t="str">
        <f>IF(D328="","",VLOOKUP(D328,Courses!$A$5:$G$10,3,FALSE))</f>
        <v/>
      </c>
      <c r="G328" s="4"/>
      <c r="H328" s="4"/>
      <c r="I328" s="4"/>
      <c r="J328" s="28"/>
      <c r="K328" s="4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4"/>
      <c r="B329" s="28"/>
      <c r="C329" s="4"/>
      <c r="D329" s="4"/>
      <c r="E329" s="3" t="str">
        <f>IF(D329="","",VLOOKUP(D329,Courses!$A$5:$G$10,2,FALSE))</f>
        <v/>
      </c>
      <c r="F329" s="32" t="str">
        <f>IF(D329="","",VLOOKUP(D329,Courses!$A$5:$G$10,3,FALSE))</f>
        <v/>
      </c>
      <c r="G329" s="4"/>
      <c r="H329" s="4"/>
      <c r="I329" s="4"/>
      <c r="J329" s="28"/>
      <c r="K329" s="4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4"/>
      <c r="B330" s="28"/>
      <c r="C330" s="4"/>
      <c r="D330" s="4"/>
      <c r="E330" s="3" t="str">
        <f>IF(D330="","",VLOOKUP(D330,Courses!$A$5:$G$10,2,FALSE))</f>
        <v/>
      </c>
      <c r="F330" s="32" t="str">
        <f>IF(D330="","",VLOOKUP(D330,Courses!$A$5:$G$10,3,FALSE))</f>
        <v/>
      </c>
      <c r="G330" s="4"/>
      <c r="H330" s="4"/>
      <c r="I330" s="4"/>
      <c r="J330" s="28"/>
      <c r="K330" s="4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4"/>
      <c r="B331" s="28"/>
      <c r="C331" s="4"/>
      <c r="D331" s="4"/>
      <c r="E331" s="3" t="str">
        <f>IF(D331="","",VLOOKUP(D331,Courses!$A$5:$G$10,2,FALSE))</f>
        <v/>
      </c>
      <c r="F331" s="32" t="str">
        <f>IF(D331="","",VLOOKUP(D331,Courses!$A$5:$G$10,3,FALSE))</f>
        <v/>
      </c>
      <c r="G331" s="4"/>
      <c r="H331" s="4"/>
      <c r="I331" s="4"/>
      <c r="J331" s="28"/>
      <c r="K331" s="4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4"/>
      <c r="B332" s="28"/>
      <c r="C332" s="4"/>
      <c r="D332" s="4"/>
      <c r="E332" s="3" t="str">
        <f>IF(D332="","",VLOOKUP(D332,Courses!$A$5:$G$10,2,FALSE))</f>
        <v/>
      </c>
      <c r="F332" s="32" t="str">
        <f>IF(D332="","",VLOOKUP(D332,Courses!$A$5:$G$10,3,FALSE))</f>
        <v/>
      </c>
      <c r="G332" s="4"/>
      <c r="H332" s="4"/>
      <c r="I332" s="4"/>
      <c r="J332" s="28"/>
      <c r="K332" s="4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4"/>
      <c r="B333" s="28"/>
      <c r="C333" s="4"/>
      <c r="D333" s="4"/>
      <c r="E333" s="3" t="str">
        <f>IF(D333="","",VLOOKUP(D333,Courses!$A$5:$G$10,2,FALSE))</f>
        <v/>
      </c>
      <c r="F333" s="32" t="str">
        <f>IF(D333="","",VLOOKUP(D333,Courses!$A$5:$G$10,3,FALSE))</f>
        <v/>
      </c>
      <c r="G333" s="4"/>
      <c r="H333" s="4"/>
      <c r="I333" s="4"/>
      <c r="J333" s="28"/>
      <c r="K333" s="4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4"/>
      <c r="B334" s="28"/>
      <c r="C334" s="4"/>
      <c r="D334" s="4"/>
      <c r="E334" s="3" t="str">
        <f>IF(D334="","",VLOOKUP(D334,Courses!$A$5:$G$10,2,FALSE))</f>
        <v/>
      </c>
      <c r="F334" s="32" t="str">
        <f>IF(D334="","",VLOOKUP(D334,Courses!$A$5:$G$10,3,FALSE))</f>
        <v/>
      </c>
      <c r="G334" s="4"/>
      <c r="H334" s="4"/>
      <c r="I334" s="4"/>
      <c r="J334" s="28"/>
      <c r="K334" s="4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4"/>
      <c r="B335" s="28"/>
      <c r="C335" s="4"/>
      <c r="D335" s="4"/>
      <c r="E335" s="3" t="str">
        <f>IF(D335="","",VLOOKUP(D335,Courses!$A$5:$G$10,2,FALSE))</f>
        <v/>
      </c>
      <c r="F335" s="32" t="str">
        <f>IF(D335="","",VLOOKUP(D335,Courses!$A$5:$G$10,3,FALSE))</f>
        <v/>
      </c>
      <c r="G335" s="4"/>
      <c r="H335" s="4"/>
      <c r="I335" s="4"/>
      <c r="J335" s="28"/>
      <c r="K335" s="4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4"/>
      <c r="B336" s="28"/>
      <c r="C336" s="4"/>
      <c r="D336" s="4"/>
      <c r="E336" s="3" t="str">
        <f>IF(D336="","",VLOOKUP(D336,Courses!$A$5:$G$10,2,FALSE))</f>
        <v/>
      </c>
      <c r="F336" s="32" t="str">
        <f>IF(D336="","",VLOOKUP(D336,Courses!$A$5:$G$10,3,FALSE))</f>
        <v/>
      </c>
      <c r="G336" s="4"/>
      <c r="H336" s="4"/>
      <c r="I336" s="4"/>
      <c r="J336" s="28"/>
      <c r="K336" s="4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4"/>
      <c r="B337" s="28"/>
      <c r="C337" s="4"/>
      <c r="D337" s="4"/>
      <c r="E337" s="3" t="str">
        <f>IF(D337="","",VLOOKUP(D337,Courses!$A$5:$G$10,2,FALSE))</f>
        <v/>
      </c>
      <c r="F337" s="32" t="str">
        <f>IF(D337="","",VLOOKUP(D337,Courses!$A$5:$G$10,3,FALSE))</f>
        <v/>
      </c>
      <c r="G337" s="4"/>
      <c r="H337" s="4"/>
      <c r="I337" s="4"/>
      <c r="J337" s="28"/>
      <c r="K337" s="4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4"/>
      <c r="B338" s="28"/>
      <c r="C338" s="4"/>
      <c r="D338" s="4"/>
      <c r="E338" s="3" t="str">
        <f>IF(D338="","",VLOOKUP(D338,Courses!$A$5:$G$10,2,FALSE))</f>
        <v/>
      </c>
      <c r="F338" s="32" t="str">
        <f>IF(D338="","",VLOOKUP(D338,Courses!$A$5:$G$10,3,FALSE))</f>
        <v/>
      </c>
      <c r="G338" s="4"/>
      <c r="H338" s="4"/>
      <c r="I338" s="4"/>
      <c r="J338" s="28"/>
      <c r="K338" s="4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4"/>
      <c r="B339" s="28"/>
      <c r="C339" s="4"/>
      <c r="D339" s="4"/>
      <c r="E339" s="3" t="str">
        <f>IF(D339="","",VLOOKUP(D339,Courses!$A$5:$G$10,2,FALSE))</f>
        <v/>
      </c>
      <c r="F339" s="32" t="str">
        <f>IF(D339="","",VLOOKUP(D339,Courses!$A$5:$G$10,3,FALSE))</f>
        <v/>
      </c>
      <c r="G339" s="4"/>
      <c r="H339" s="4"/>
      <c r="I339" s="4"/>
      <c r="J339" s="28"/>
      <c r="K339" s="4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4"/>
      <c r="B340" s="28"/>
      <c r="C340" s="4"/>
      <c r="D340" s="4"/>
      <c r="E340" s="3" t="str">
        <f>IF(D340="","",VLOOKUP(D340,Courses!$A$5:$G$10,2,FALSE))</f>
        <v/>
      </c>
      <c r="F340" s="32" t="str">
        <f>IF(D340="","",VLOOKUP(D340,Courses!$A$5:$G$10,3,FALSE))</f>
        <v/>
      </c>
      <c r="G340" s="4"/>
      <c r="H340" s="4"/>
      <c r="I340" s="4"/>
      <c r="J340" s="28"/>
      <c r="K340" s="4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4"/>
      <c r="B341" s="28"/>
      <c r="C341" s="4"/>
      <c r="D341" s="4"/>
      <c r="E341" s="3" t="str">
        <f>IF(D341="","",VLOOKUP(D341,Courses!$A$5:$G$10,2,FALSE))</f>
        <v/>
      </c>
      <c r="F341" s="32" t="str">
        <f>IF(D341="","",VLOOKUP(D341,Courses!$A$5:$G$10,3,FALSE))</f>
        <v/>
      </c>
      <c r="G341" s="4"/>
      <c r="H341" s="4"/>
      <c r="I341" s="4"/>
      <c r="J341" s="28"/>
      <c r="K341" s="4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4"/>
      <c r="B342" s="28"/>
      <c r="C342" s="4"/>
      <c r="D342" s="4"/>
      <c r="E342" s="3" t="str">
        <f>IF(D342="","",VLOOKUP(D342,Courses!$A$5:$G$10,2,FALSE))</f>
        <v/>
      </c>
      <c r="F342" s="32" t="str">
        <f>IF(D342="","",VLOOKUP(D342,Courses!$A$5:$G$10,3,FALSE))</f>
        <v/>
      </c>
      <c r="G342" s="4"/>
      <c r="H342" s="4"/>
      <c r="I342" s="4"/>
      <c r="J342" s="28"/>
      <c r="K342" s="4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4"/>
      <c r="B343" s="28"/>
      <c r="C343" s="4"/>
      <c r="D343" s="4"/>
      <c r="E343" s="3" t="str">
        <f>IF(D343="","",VLOOKUP(D343,Courses!$A$5:$G$10,2,FALSE))</f>
        <v/>
      </c>
      <c r="F343" s="32" t="str">
        <f>IF(D343="","",VLOOKUP(D343,Courses!$A$5:$G$10,3,FALSE))</f>
        <v/>
      </c>
      <c r="G343" s="4"/>
      <c r="H343" s="4"/>
      <c r="I343" s="4"/>
      <c r="J343" s="28"/>
      <c r="K343" s="4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4"/>
      <c r="B344" s="28"/>
      <c r="C344" s="4"/>
      <c r="D344" s="4"/>
      <c r="E344" s="3" t="str">
        <f>IF(D344="","",VLOOKUP(D344,Courses!$A$5:$G$10,2,FALSE))</f>
        <v/>
      </c>
      <c r="F344" s="32" t="str">
        <f>IF(D344="","",VLOOKUP(D344,Courses!$A$5:$G$10,3,FALSE))</f>
        <v/>
      </c>
      <c r="G344" s="4"/>
      <c r="H344" s="4"/>
      <c r="I344" s="4"/>
      <c r="J344" s="28"/>
      <c r="K344" s="4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4"/>
      <c r="B345" s="28"/>
      <c r="C345" s="4"/>
      <c r="D345" s="4"/>
      <c r="E345" s="3" t="str">
        <f>IF(D345="","",VLOOKUP(D345,Courses!$A$5:$G$10,2,FALSE))</f>
        <v/>
      </c>
      <c r="F345" s="32" t="str">
        <f>IF(D345="","",VLOOKUP(D345,Courses!$A$5:$G$10,3,FALSE))</f>
        <v/>
      </c>
      <c r="G345" s="4"/>
      <c r="H345" s="4"/>
      <c r="I345" s="4"/>
      <c r="J345" s="28"/>
      <c r="K345" s="4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4"/>
      <c r="B346" s="28"/>
      <c r="C346" s="4"/>
      <c r="D346" s="4"/>
      <c r="E346" s="3" t="str">
        <f>IF(D346="","",VLOOKUP(D346,Courses!$A$5:$G$10,2,FALSE))</f>
        <v/>
      </c>
      <c r="F346" s="32" t="str">
        <f>IF(D346="","",VLOOKUP(D346,Courses!$A$5:$G$10,3,FALSE))</f>
        <v/>
      </c>
      <c r="G346" s="4"/>
      <c r="H346" s="4"/>
      <c r="I346" s="4"/>
      <c r="J346" s="28"/>
      <c r="K346" s="4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4"/>
      <c r="B347" s="28"/>
      <c r="C347" s="4"/>
      <c r="D347" s="4"/>
      <c r="E347" s="3" t="str">
        <f>IF(D347="","",VLOOKUP(D347,Courses!$A$5:$G$10,2,FALSE))</f>
        <v/>
      </c>
      <c r="F347" s="32" t="str">
        <f>IF(D347="","",VLOOKUP(D347,Courses!$A$5:$G$10,3,FALSE))</f>
        <v/>
      </c>
      <c r="G347" s="4"/>
      <c r="H347" s="4"/>
      <c r="I347" s="4"/>
      <c r="J347" s="28"/>
      <c r="K347" s="4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4"/>
      <c r="B348" s="28"/>
      <c r="C348" s="4"/>
      <c r="D348" s="4"/>
      <c r="E348" s="3" t="str">
        <f>IF(D348="","",VLOOKUP(D348,Courses!$A$5:$G$10,2,FALSE))</f>
        <v/>
      </c>
      <c r="F348" s="32" t="str">
        <f>IF(D348="","",VLOOKUP(D348,Courses!$A$5:$G$10,3,FALSE))</f>
        <v/>
      </c>
      <c r="G348" s="4"/>
      <c r="H348" s="4"/>
      <c r="I348" s="4"/>
      <c r="J348" s="28"/>
      <c r="K348" s="4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4"/>
      <c r="B349" s="28"/>
      <c r="C349" s="4"/>
      <c r="D349" s="4"/>
      <c r="E349" s="3" t="str">
        <f>IF(D349="","",VLOOKUP(D349,Courses!$A$5:$G$10,2,FALSE))</f>
        <v/>
      </c>
      <c r="F349" s="32" t="str">
        <f>IF(D349="","",VLOOKUP(D349,Courses!$A$5:$G$10,3,FALSE))</f>
        <v/>
      </c>
      <c r="G349" s="4"/>
      <c r="H349" s="4"/>
      <c r="I349" s="4"/>
      <c r="J349" s="28"/>
      <c r="K349" s="4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4"/>
      <c r="B350" s="28"/>
      <c r="C350" s="4"/>
      <c r="D350" s="4"/>
      <c r="E350" s="3" t="str">
        <f>IF(D350="","",VLOOKUP(D350,Courses!$A$5:$G$10,2,FALSE))</f>
        <v/>
      </c>
      <c r="F350" s="32" t="str">
        <f>IF(D350="","",VLOOKUP(D350,Courses!$A$5:$G$10,3,FALSE))</f>
        <v/>
      </c>
      <c r="G350" s="4"/>
      <c r="H350" s="4"/>
      <c r="I350" s="4"/>
      <c r="J350" s="28"/>
      <c r="K350" s="4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4"/>
      <c r="B351" s="28"/>
      <c r="C351" s="4"/>
      <c r="D351" s="4"/>
      <c r="E351" s="3" t="str">
        <f>IF(D351="","",VLOOKUP(D351,Courses!$A$5:$G$10,2,FALSE))</f>
        <v/>
      </c>
      <c r="F351" s="32" t="str">
        <f>IF(D351="","",VLOOKUP(D351,Courses!$A$5:$G$10,3,FALSE))</f>
        <v/>
      </c>
      <c r="G351" s="4"/>
      <c r="H351" s="4"/>
      <c r="I351" s="4"/>
      <c r="J351" s="28"/>
      <c r="K351" s="4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4"/>
      <c r="B352" s="28"/>
      <c r="C352" s="4"/>
      <c r="D352" s="4"/>
      <c r="E352" s="3" t="str">
        <f>IF(D352="","",VLOOKUP(D352,Courses!$A$5:$G$10,2,FALSE))</f>
        <v/>
      </c>
      <c r="F352" s="32" t="str">
        <f>IF(D352="","",VLOOKUP(D352,Courses!$A$5:$G$10,3,FALSE))</f>
        <v/>
      </c>
      <c r="G352" s="4"/>
      <c r="H352" s="4"/>
      <c r="I352" s="4"/>
      <c r="J352" s="28"/>
      <c r="K352" s="4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4"/>
      <c r="B353" s="28"/>
      <c r="C353" s="4"/>
      <c r="D353" s="4"/>
      <c r="E353" s="3" t="str">
        <f>IF(D353="","",VLOOKUP(D353,Courses!$A$5:$G$10,2,FALSE))</f>
        <v/>
      </c>
      <c r="F353" s="32" t="str">
        <f>IF(D353="","",VLOOKUP(D353,Courses!$A$5:$G$10,3,FALSE))</f>
        <v/>
      </c>
      <c r="G353" s="4"/>
      <c r="H353" s="4"/>
      <c r="I353" s="4"/>
      <c r="J353" s="28"/>
      <c r="K353" s="4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4"/>
      <c r="B354" s="28"/>
      <c r="C354" s="4"/>
      <c r="D354" s="4"/>
      <c r="E354" s="3" t="str">
        <f>IF(D354="","",VLOOKUP(D354,Courses!$A$5:$G$10,2,FALSE))</f>
        <v/>
      </c>
      <c r="F354" s="32" t="str">
        <f>IF(D354="","",VLOOKUP(D354,Courses!$A$5:$G$10,3,FALSE))</f>
        <v/>
      </c>
      <c r="G354" s="4"/>
      <c r="H354" s="4"/>
      <c r="I354" s="4"/>
      <c r="J354" s="28"/>
      <c r="K354" s="4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4"/>
      <c r="B355" s="28"/>
      <c r="C355" s="4"/>
      <c r="D355" s="4"/>
      <c r="E355" s="3" t="str">
        <f>IF(D355="","",VLOOKUP(D355,Courses!$A$5:$G$10,2,FALSE))</f>
        <v/>
      </c>
      <c r="F355" s="32" t="str">
        <f>IF(D355="","",VLOOKUP(D355,Courses!$A$5:$G$10,3,FALSE))</f>
        <v/>
      </c>
      <c r="G355" s="4"/>
      <c r="H355" s="4"/>
      <c r="I355" s="4"/>
      <c r="J355" s="28"/>
      <c r="K355" s="4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4"/>
      <c r="B356" s="28"/>
      <c r="C356" s="4"/>
      <c r="D356" s="4"/>
      <c r="E356" s="3" t="str">
        <f>IF(D356="","",VLOOKUP(D356,Courses!$A$5:$G$10,2,FALSE))</f>
        <v/>
      </c>
      <c r="F356" s="32" t="str">
        <f>IF(D356="","",VLOOKUP(D356,Courses!$A$5:$G$10,3,FALSE))</f>
        <v/>
      </c>
      <c r="G356" s="4"/>
      <c r="H356" s="4"/>
      <c r="I356" s="4"/>
      <c r="J356" s="28"/>
      <c r="K356" s="4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4"/>
      <c r="B357" s="28"/>
      <c r="C357" s="4"/>
      <c r="D357" s="4"/>
      <c r="E357" s="3" t="str">
        <f>IF(D357="","",VLOOKUP(D357,Courses!$A$5:$G$10,2,FALSE))</f>
        <v/>
      </c>
      <c r="F357" s="32" t="str">
        <f>IF(D357="","",VLOOKUP(D357,Courses!$A$5:$G$10,3,FALSE))</f>
        <v/>
      </c>
      <c r="G357" s="4"/>
      <c r="H357" s="4"/>
      <c r="I357" s="4"/>
      <c r="J357" s="28"/>
      <c r="K357" s="4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4"/>
      <c r="B358" s="28"/>
      <c r="C358" s="4"/>
      <c r="D358" s="4"/>
      <c r="E358" s="3" t="str">
        <f>IF(D358="","",VLOOKUP(D358,Courses!$A$5:$G$10,2,FALSE))</f>
        <v/>
      </c>
      <c r="F358" s="32" t="str">
        <f>IF(D358="","",VLOOKUP(D358,Courses!$A$5:$G$10,3,FALSE))</f>
        <v/>
      </c>
      <c r="G358" s="4"/>
      <c r="H358" s="4"/>
      <c r="I358" s="4"/>
      <c r="J358" s="28"/>
      <c r="K358" s="4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4"/>
      <c r="B359" s="28"/>
      <c r="C359" s="4"/>
      <c r="D359" s="4"/>
      <c r="E359" s="3" t="str">
        <f>IF(D359="","",VLOOKUP(D359,Courses!$A$5:$G$10,2,FALSE))</f>
        <v/>
      </c>
      <c r="F359" s="32" t="str">
        <f>IF(D359="","",VLOOKUP(D359,Courses!$A$5:$G$10,3,FALSE))</f>
        <v/>
      </c>
      <c r="G359" s="4"/>
      <c r="H359" s="4"/>
      <c r="I359" s="4"/>
      <c r="J359" s="28"/>
      <c r="K359" s="4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4"/>
      <c r="B360" s="28"/>
      <c r="C360" s="4"/>
      <c r="D360" s="4"/>
      <c r="E360" s="3" t="str">
        <f>IF(D360="","",VLOOKUP(D360,Courses!$A$5:$G$10,2,FALSE))</f>
        <v/>
      </c>
      <c r="F360" s="32" t="str">
        <f>IF(D360="","",VLOOKUP(D360,Courses!$A$5:$G$10,3,FALSE))</f>
        <v/>
      </c>
      <c r="G360" s="4"/>
      <c r="H360" s="4"/>
      <c r="I360" s="4"/>
      <c r="J360" s="28"/>
      <c r="K360" s="4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4"/>
      <c r="B361" s="28"/>
      <c r="C361" s="4"/>
      <c r="D361" s="4"/>
      <c r="E361" s="3" t="str">
        <f>IF(D361="","",VLOOKUP(D361,Courses!$A$5:$G$10,2,FALSE))</f>
        <v/>
      </c>
      <c r="F361" s="32" t="str">
        <f>IF(D361="","",VLOOKUP(D361,Courses!$A$5:$G$10,3,FALSE))</f>
        <v/>
      </c>
      <c r="G361" s="4"/>
      <c r="H361" s="4"/>
      <c r="I361" s="4"/>
      <c r="J361" s="28"/>
      <c r="K361" s="4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4"/>
      <c r="B362" s="28"/>
      <c r="C362" s="4"/>
      <c r="D362" s="4"/>
      <c r="E362" s="3" t="str">
        <f>IF(D362="","",VLOOKUP(D362,Courses!$A$5:$G$10,2,FALSE))</f>
        <v/>
      </c>
      <c r="F362" s="32" t="str">
        <f>IF(D362="","",VLOOKUP(D362,Courses!$A$5:$G$10,3,FALSE))</f>
        <v/>
      </c>
      <c r="G362" s="4"/>
      <c r="H362" s="4"/>
      <c r="I362" s="4"/>
      <c r="J362" s="28"/>
      <c r="K362" s="4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4"/>
      <c r="B363" s="28"/>
      <c r="C363" s="4"/>
      <c r="D363" s="4"/>
      <c r="E363" s="3" t="str">
        <f>IF(D363="","",VLOOKUP(D363,Courses!$A$5:$G$10,2,FALSE))</f>
        <v/>
      </c>
      <c r="F363" s="32" t="str">
        <f>IF(D363="","",VLOOKUP(D363,Courses!$A$5:$G$10,3,FALSE))</f>
        <v/>
      </c>
      <c r="G363" s="4"/>
      <c r="H363" s="4"/>
      <c r="I363" s="4"/>
      <c r="J363" s="28"/>
      <c r="K363" s="4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4"/>
      <c r="B364" s="28"/>
      <c r="C364" s="4"/>
      <c r="D364" s="4"/>
      <c r="E364" s="3" t="str">
        <f>IF(D364="","",VLOOKUP(D364,Courses!$A$5:$G$10,2,FALSE))</f>
        <v/>
      </c>
      <c r="F364" s="32" t="str">
        <f>IF(D364="","",VLOOKUP(D364,Courses!$A$5:$G$10,3,FALSE))</f>
        <v/>
      </c>
      <c r="G364" s="4"/>
      <c r="H364" s="4"/>
      <c r="I364" s="4"/>
      <c r="J364" s="28"/>
      <c r="K364" s="4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4"/>
      <c r="B365" s="28"/>
      <c r="C365" s="4"/>
      <c r="D365" s="4"/>
      <c r="E365" s="3" t="str">
        <f>IF(D365="","",VLOOKUP(D365,Courses!$A$5:$G$10,2,FALSE))</f>
        <v/>
      </c>
      <c r="F365" s="32" t="str">
        <f>IF(D365="","",VLOOKUP(D365,Courses!$A$5:$G$10,3,FALSE))</f>
        <v/>
      </c>
      <c r="G365" s="4"/>
      <c r="H365" s="4"/>
      <c r="I365" s="4"/>
      <c r="J365" s="28"/>
      <c r="K365" s="4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4"/>
      <c r="B366" s="28"/>
      <c r="C366" s="4"/>
      <c r="D366" s="4"/>
      <c r="E366" s="3" t="str">
        <f>IF(D366="","",VLOOKUP(D366,Courses!$A$5:$G$10,2,FALSE))</f>
        <v/>
      </c>
      <c r="F366" s="32" t="str">
        <f>IF(D366="","",VLOOKUP(D366,Courses!$A$5:$G$10,3,FALSE))</f>
        <v/>
      </c>
      <c r="G366" s="4"/>
      <c r="H366" s="4"/>
      <c r="I366" s="4"/>
      <c r="J366" s="28"/>
      <c r="K366" s="4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4"/>
      <c r="B367" s="28"/>
      <c r="C367" s="4"/>
      <c r="D367" s="4"/>
      <c r="E367" s="3" t="str">
        <f>IF(D367="","",VLOOKUP(D367,Courses!$A$5:$G$10,2,FALSE))</f>
        <v/>
      </c>
      <c r="F367" s="32" t="str">
        <f>IF(D367="","",VLOOKUP(D367,Courses!$A$5:$G$10,3,FALSE))</f>
        <v/>
      </c>
      <c r="G367" s="4"/>
      <c r="H367" s="4"/>
      <c r="I367" s="4"/>
      <c r="J367" s="28"/>
      <c r="K367" s="4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4"/>
      <c r="B368" s="28"/>
      <c r="C368" s="4"/>
      <c r="D368" s="4"/>
      <c r="E368" s="3" t="str">
        <f>IF(D368="","",VLOOKUP(D368,Courses!$A$5:$G$10,2,FALSE))</f>
        <v/>
      </c>
      <c r="F368" s="32" t="str">
        <f>IF(D368="","",VLOOKUP(D368,Courses!$A$5:$G$10,3,FALSE))</f>
        <v/>
      </c>
      <c r="G368" s="4"/>
      <c r="H368" s="4"/>
      <c r="I368" s="4"/>
      <c r="J368" s="28"/>
      <c r="K368" s="4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4"/>
      <c r="B369" s="28"/>
      <c r="C369" s="4"/>
      <c r="D369" s="4"/>
      <c r="E369" s="3" t="str">
        <f>IF(D369="","",VLOOKUP(D369,Courses!$A$5:$G$10,2,FALSE))</f>
        <v/>
      </c>
      <c r="F369" s="32" t="str">
        <f>IF(D369="","",VLOOKUP(D369,Courses!$A$5:$G$10,3,FALSE))</f>
        <v/>
      </c>
      <c r="G369" s="4"/>
      <c r="H369" s="4"/>
      <c r="I369" s="4"/>
      <c r="J369" s="28"/>
      <c r="K369" s="4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4"/>
      <c r="B370" s="28"/>
      <c r="C370" s="4"/>
      <c r="D370" s="4"/>
      <c r="E370" s="3" t="str">
        <f>IF(D370="","",VLOOKUP(D370,Courses!$A$5:$G$10,2,FALSE))</f>
        <v/>
      </c>
      <c r="F370" s="32" t="str">
        <f>IF(D370="","",VLOOKUP(D370,Courses!$A$5:$G$10,3,FALSE))</f>
        <v/>
      </c>
      <c r="G370" s="4"/>
      <c r="H370" s="4"/>
      <c r="I370" s="4"/>
      <c r="J370" s="28"/>
      <c r="K370" s="4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4"/>
      <c r="B371" s="28"/>
      <c r="C371" s="4"/>
      <c r="D371" s="4"/>
      <c r="E371" s="3" t="str">
        <f>IF(D371="","",VLOOKUP(D371,Courses!$A$5:$G$10,2,FALSE))</f>
        <v/>
      </c>
      <c r="F371" s="32" t="str">
        <f>IF(D371="","",VLOOKUP(D371,Courses!$A$5:$G$10,3,FALSE))</f>
        <v/>
      </c>
      <c r="G371" s="4"/>
      <c r="H371" s="4"/>
      <c r="I371" s="4"/>
      <c r="J371" s="28"/>
      <c r="K371" s="4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4"/>
      <c r="B372" s="28"/>
      <c r="C372" s="4"/>
      <c r="D372" s="4"/>
      <c r="E372" s="3" t="str">
        <f>IF(D372="","",VLOOKUP(D372,Courses!$A$5:$G$10,2,FALSE))</f>
        <v/>
      </c>
      <c r="F372" s="32" t="str">
        <f>IF(D372="","",VLOOKUP(D372,Courses!$A$5:$G$10,3,FALSE))</f>
        <v/>
      </c>
      <c r="G372" s="4"/>
      <c r="H372" s="4"/>
      <c r="I372" s="4"/>
      <c r="J372" s="28"/>
      <c r="K372" s="4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4"/>
      <c r="B373" s="28"/>
      <c r="C373" s="4"/>
      <c r="D373" s="4"/>
      <c r="E373" s="3" t="str">
        <f>IF(D373="","",VLOOKUP(D373,Courses!$A$5:$G$10,2,FALSE))</f>
        <v/>
      </c>
      <c r="F373" s="32" t="str">
        <f>IF(D373="","",VLOOKUP(D373,Courses!$A$5:$G$10,3,FALSE))</f>
        <v/>
      </c>
      <c r="G373" s="4"/>
      <c r="H373" s="4"/>
      <c r="I373" s="4"/>
      <c r="J373" s="28"/>
      <c r="K373" s="4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4"/>
      <c r="B374" s="28"/>
      <c r="C374" s="4"/>
      <c r="D374" s="4"/>
      <c r="E374" s="3" t="str">
        <f>IF(D374="","",VLOOKUP(D374,Courses!$A$5:$G$10,2,FALSE))</f>
        <v/>
      </c>
      <c r="F374" s="32" t="str">
        <f>IF(D374="","",VLOOKUP(D374,Courses!$A$5:$G$10,3,FALSE))</f>
        <v/>
      </c>
      <c r="G374" s="4"/>
      <c r="H374" s="4"/>
      <c r="I374" s="4"/>
      <c r="J374" s="28"/>
      <c r="K374" s="4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4"/>
      <c r="B375" s="28"/>
      <c r="C375" s="4"/>
      <c r="D375" s="4"/>
      <c r="E375" s="3" t="str">
        <f>IF(D375="","",VLOOKUP(D375,Courses!$A$5:$G$10,2,FALSE))</f>
        <v/>
      </c>
      <c r="F375" s="32" t="str">
        <f>IF(D375="","",VLOOKUP(D375,Courses!$A$5:$G$10,3,FALSE))</f>
        <v/>
      </c>
      <c r="G375" s="4"/>
      <c r="H375" s="4"/>
      <c r="I375" s="4"/>
      <c r="J375" s="28"/>
      <c r="K375" s="4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4"/>
      <c r="B376" s="28"/>
      <c r="C376" s="4"/>
      <c r="D376" s="4"/>
      <c r="E376" s="3" t="str">
        <f>IF(D376="","",VLOOKUP(D376,Courses!$A$5:$G$10,2,FALSE))</f>
        <v/>
      </c>
      <c r="F376" s="32" t="str">
        <f>IF(D376="","",VLOOKUP(D376,Courses!$A$5:$G$10,3,FALSE))</f>
        <v/>
      </c>
      <c r="G376" s="4"/>
      <c r="H376" s="4"/>
      <c r="I376" s="4"/>
      <c r="J376" s="28"/>
      <c r="K376" s="4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4"/>
      <c r="B377" s="28"/>
      <c r="C377" s="4"/>
      <c r="D377" s="4"/>
      <c r="E377" s="3" t="str">
        <f>IF(D377="","",VLOOKUP(D377,Courses!$A$5:$G$10,2,FALSE))</f>
        <v/>
      </c>
      <c r="F377" s="32" t="str">
        <f>IF(D377="","",VLOOKUP(D377,Courses!$A$5:$G$10,3,FALSE))</f>
        <v/>
      </c>
      <c r="G377" s="4"/>
      <c r="H377" s="4"/>
      <c r="I377" s="4"/>
      <c r="J377" s="28"/>
      <c r="K377" s="4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4"/>
      <c r="B378" s="28"/>
      <c r="C378" s="4"/>
      <c r="D378" s="4"/>
      <c r="E378" s="3" t="str">
        <f>IF(D378="","",VLOOKUP(D378,Courses!$A$5:$G$10,2,FALSE))</f>
        <v/>
      </c>
      <c r="F378" s="32" t="str">
        <f>IF(D378="","",VLOOKUP(D378,Courses!$A$5:$G$10,3,FALSE))</f>
        <v/>
      </c>
      <c r="G378" s="4"/>
      <c r="H378" s="4"/>
      <c r="I378" s="4"/>
      <c r="J378" s="28"/>
      <c r="K378" s="4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4"/>
      <c r="B379" s="28"/>
      <c r="C379" s="4"/>
      <c r="D379" s="4"/>
      <c r="E379" s="3" t="str">
        <f>IF(D379="","",VLOOKUP(D379,Courses!$A$5:$G$10,2,FALSE))</f>
        <v/>
      </c>
      <c r="F379" s="32" t="str">
        <f>IF(D379="","",VLOOKUP(D379,Courses!$A$5:$G$10,3,FALSE))</f>
        <v/>
      </c>
      <c r="G379" s="4"/>
      <c r="H379" s="4"/>
      <c r="I379" s="4"/>
      <c r="J379" s="28"/>
      <c r="K379" s="4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4"/>
      <c r="B380" s="28"/>
      <c r="C380" s="4"/>
      <c r="D380" s="4"/>
      <c r="E380" s="3" t="str">
        <f>IF(D380="","",VLOOKUP(D380,Courses!$A$5:$G$10,2,FALSE))</f>
        <v/>
      </c>
      <c r="F380" s="32" t="str">
        <f>IF(D380="","",VLOOKUP(D380,Courses!$A$5:$G$10,3,FALSE))</f>
        <v/>
      </c>
      <c r="G380" s="4"/>
      <c r="H380" s="4"/>
      <c r="I380" s="4"/>
      <c r="J380" s="28"/>
      <c r="K380" s="4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4"/>
      <c r="B381" s="28"/>
      <c r="C381" s="4"/>
      <c r="D381" s="4"/>
      <c r="E381" s="3" t="str">
        <f>IF(D381="","",VLOOKUP(D381,Courses!$A$5:$G$10,2,FALSE))</f>
        <v/>
      </c>
      <c r="F381" s="32" t="str">
        <f>IF(D381="","",VLOOKUP(D381,Courses!$A$5:$G$10,3,FALSE))</f>
        <v/>
      </c>
      <c r="G381" s="4"/>
      <c r="H381" s="4"/>
      <c r="I381" s="4"/>
      <c r="J381" s="28"/>
      <c r="K381" s="4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4"/>
      <c r="B382" s="28"/>
      <c r="C382" s="4"/>
      <c r="D382" s="4"/>
      <c r="E382" s="3" t="str">
        <f>IF(D382="","",VLOOKUP(D382,Courses!$A$5:$G$10,2,FALSE))</f>
        <v/>
      </c>
      <c r="F382" s="32" t="str">
        <f>IF(D382="","",VLOOKUP(D382,Courses!$A$5:$G$10,3,FALSE))</f>
        <v/>
      </c>
      <c r="G382" s="4"/>
      <c r="H382" s="4"/>
      <c r="I382" s="4"/>
      <c r="J382" s="28"/>
      <c r="K382" s="4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4"/>
      <c r="B383" s="28"/>
      <c r="C383" s="4"/>
      <c r="D383" s="4"/>
      <c r="E383" s="3" t="str">
        <f>IF(D383="","",VLOOKUP(D383,Courses!$A$5:$G$10,2,FALSE))</f>
        <v/>
      </c>
      <c r="F383" s="32" t="str">
        <f>IF(D383="","",VLOOKUP(D383,Courses!$A$5:$G$10,3,FALSE))</f>
        <v/>
      </c>
      <c r="G383" s="4"/>
      <c r="H383" s="4"/>
      <c r="I383" s="4"/>
      <c r="J383" s="28"/>
      <c r="K383" s="4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4"/>
      <c r="B384" s="28"/>
      <c r="C384" s="4"/>
      <c r="D384" s="4"/>
      <c r="E384" s="3" t="str">
        <f>IF(D384="","",VLOOKUP(D384,Courses!$A$5:$G$10,2,FALSE))</f>
        <v/>
      </c>
      <c r="F384" s="32" t="str">
        <f>IF(D384="","",VLOOKUP(D384,Courses!$A$5:$G$10,3,FALSE))</f>
        <v/>
      </c>
      <c r="G384" s="4"/>
      <c r="H384" s="4"/>
      <c r="I384" s="4"/>
      <c r="J384" s="28"/>
      <c r="K384" s="4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4"/>
      <c r="B385" s="28"/>
      <c r="C385" s="4"/>
      <c r="D385" s="4"/>
      <c r="E385" s="3" t="str">
        <f>IF(D385="","",VLOOKUP(D385,Courses!$A$5:$G$10,2,FALSE))</f>
        <v/>
      </c>
      <c r="F385" s="32" t="str">
        <f>IF(D385="","",VLOOKUP(D385,Courses!$A$5:$G$10,3,FALSE))</f>
        <v/>
      </c>
      <c r="G385" s="4"/>
      <c r="H385" s="4"/>
      <c r="I385" s="4"/>
      <c r="J385" s="28"/>
      <c r="K385" s="4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4"/>
      <c r="B386" s="28"/>
      <c r="C386" s="4"/>
      <c r="D386" s="4"/>
      <c r="E386" s="3" t="str">
        <f>IF(D386="","",VLOOKUP(D386,Courses!$A$5:$G$10,2,FALSE))</f>
        <v/>
      </c>
      <c r="F386" s="32" t="str">
        <f>IF(D386="","",VLOOKUP(D386,Courses!$A$5:$G$10,3,FALSE))</f>
        <v/>
      </c>
      <c r="G386" s="4"/>
      <c r="H386" s="4"/>
      <c r="I386" s="4"/>
      <c r="J386" s="28"/>
      <c r="K386" s="4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4"/>
      <c r="B387" s="28"/>
      <c r="C387" s="4"/>
      <c r="D387" s="4"/>
      <c r="E387" s="3" t="str">
        <f>IF(D387="","",VLOOKUP(D387,Courses!$A$5:$G$10,2,FALSE))</f>
        <v/>
      </c>
      <c r="F387" s="32" t="str">
        <f>IF(D387="","",VLOOKUP(D387,Courses!$A$5:$G$10,3,FALSE))</f>
        <v/>
      </c>
      <c r="G387" s="4"/>
      <c r="H387" s="4"/>
      <c r="I387" s="4"/>
      <c r="J387" s="28"/>
      <c r="K387" s="4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4"/>
      <c r="B388" s="28"/>
      <c r="C388" s="4"/>
      <c r="D388" s="4"/>
      <c r="E388" s="3" t="str">
        <f>IF(D388="","",VLOOKUP(D388,Courses!$A$5:$G$10,2,FALSE))</f>
        <v/>
      </c>
      <c r="F388" s="32" t="str">
        <f>IF(D388="","",VLOOKUP(D388,Courses!$A$5:$G$10,3,FALSE))</f>
        <v/>
      </c>
      <c r="G388" s="4"/>
      <c r="H388" s="4"/>
      <c r="I388" s="4"/>
      <c r="J388" s="28"/>
      <c r="K388" s="4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4"/>
      <c r="B389" s="28"/>
      <c r="C389" s="4"/>
      <c r="D389" s="4"/>
      <c r="E389" s="3" t="str">
        <f>IF(D389="","",VLOOKUP(D389,Courses!$A$5:$G$10,2,FALSE))</f>
        <v/>
      </c>
      <c r="F389" s="32" t="str">
        <f>IF(D389="","",VLOOKUP(D389,Courses!$A$5:$G$10,3,FALSE))</f>
        <v/>
      </c>
      <c r="G389" s="4"/>
      <c r="H389" s="4"/>
      <c r="I389" s="4"/>
      <c r="J389" s="28"/>
      <c r="K389" s="4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4"/>
      <c r="B390" s="28"/>
      <c r="C390" s="4"/>
      <c r="D390" s="4"/>
      <c r="E390" s="3" t="str">
        <f>IF(D390="","",VLOOKUP(D390,Courses!$A$5:$G$10,2,FALSE))</f>
        <v/>
      </c>
      <c r="F390" s="32" t="str">
        <f>IF(D390="","",VLOOKUP(D390,Courses!$A$5:$G$10,3,FALSE))</f>
        <v/>
      </c>
      <c r="G390" s="4"/>
      <c r="H390" s="4"/>
      <c r="I390" s="4"/>
      <c r="J390" s="28"/>
      <c r="K390" s="4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4"/>
      <c r="B391" s="28"/>
      <c r="C391" s="4"/>
      <c r="D391" s="4"/>
      <c r="E391" s="3" t="str">
        <f>IF(D391="","",VLOOKUP(D391,Courses!$A$5:$G$10,2,FALSE))</f>
        <v/>
      </c>
      <c r="F391" s="32" t="str">
        <f>IF(D391="","",VLOOKUP(D391,Courses!$A$5:$G$10,3,FALSE))</f>
        <v/>
      </c>
      <c r="G391" s="4"/>
      <c r="H391" s="4"/>
      <c r="I391" s="4"/>
      <c r="J391" s="28"/>
      <c r="K391" s="4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4"/>
      <c r="B392" s="28"/>
      <c r="C392" s="4"/>
      <c r="D392" s="4"/>
      <c r="E392" s="3" t="str">
        <f>IF(D392="","",VLOOKUP(D392,Courses!$A$5:$G$10,2,FALSE))</f>
        <v/>
      </c>
      <c r="F392" s="32" t="str">
        <f>IF(D392="","",VLOOKUP(D392,Courses!$A$5:$G$10,3,FALSE))</f>
        <v/>
      </c>
      <c r="G392" s="4"/>
      <c r="H392" s="4"/>
      <c r="I392" s="4"/>
      <c r="J392" s="28"/>
      <c r="K392" s="4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4"/>
      <c r="B393" s="28"/>
      <c r="C393" s="4"/>
      <c r="D393" s="4"/>
      <c r="E393" s="3" t="str">
        <f>IF(D393="","",VLOOKUP(D393,Courses!$A$5:$G$10,2,FALSE))</f>
        <v/>
      </c>
      <c r="F393" s="32" t="str">
        <f>IF(D393="","",VLOOKUP(D393,Courses!$A$5:$G$10,3,FALSE))</f>
        <v/>
      </c>
      <c r="G393" s="4"/>
      <c r="H393" s="4"/>
      <c r="I393" s="4"/>
      <c r="J393" s="28"/>
      <c r="K393" s="4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4"/>
      <c r="B394" s="28"/>
      <c r="C394" s="4"/>
      <c r="D394" s="4"/>
      <c r="E394" s="3" t="str">
        <f>IF(D394="","",VLOOKUP(D394,Courses!$A$5:$G$10,2,FALSE))</f>
        <v/>
      </c>
      <c r="F394" s="32" t="str">
        <f>IF(D394="","",VLOOKUP(D394,Courses!$A$5:$G$10,3,FALSE))</f>
        <v/>
      </c>
      <c r="G394" s="4"/>
      <c r="H394" s="4"/>
      <c r="I394" s="4"/>
      <c r="J394" s="28"/>
      <c r="K394" s="4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4"/>
      <c r="B395" s="28"/>
      <c r="C395" s="4"/>
      <c r="D395" s="4"/>
      <c r="E395" s="3" t="str">
        <f>IF(D395="","",VLOOKUP(D395,Courses!$A$5:$G$10,2,FALSE))</f>
        <v/>
      </c>
      <c r="F395" s="32" t="str">
        <f>IF(D395="","",VLOOKUP(D395,Courses!$A$5:$G$10,3,FALSE))</f>
        <v/>
      </c>
      <c r="G395" s="4"/>
      <c r="H395" s="4"/>
      <c r="I395" s="4"/>
      <c r="J395" s="28"/>
      <c r="K395" s="4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4"/>
      <c r="B396" s="28"/>
      <c r="C396" s="4"/>
      <c r="D396" s="4"/>
      <c r="E396" s="3" t="str">
        <f>IF(D396="","",VLOOKUP(D396,Courses!$A$5:$G$10,2,FALSE))</f>
        <v/>
      </c>
      <c r="F396" s="32" t="str">
        <f>IF(D396="","",VLOOKUP(D396,Courses!$A$5:$G$10,3,FALSE))</f>
        <v/>
      </c>
      <c r="G396" s="4"/>
      <c r="H396" s="4"/>
      <c r="I396" s="4"/>
      <c r="J396" s="28"/>
      <c r="K396" s="4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4"/>
      <c r="B397" s="28"/>
      <c r="C397" s="4"/>
      <c r="D397" s="4"/>
      <c r="E397" s="3" t="str">
        <f>IF(D397="","",VLOOKUP(D397,Courses!$A$5:$G$10,2,FALSE))</f>
        <v/>
      </c>
      <c r="F397" s="32" t="str">
        <f>IF(D397="","",VLOOKUP(D397,Courses!$A$5:$G$10,3,FALSE))</f>
        <v/>
      </c>
      <c r="G397" s="4"/>
      <c r="H397" s="4"/>
      <c r="I397" s="4"/>
      <c r="J397" s="28"/>
      <c r="K397" s="4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4"/>
      <c r="B398" s="28"/>
      <c r="C398" s="4"/>
      <c r="D398" s="4"/>
      <c r="E398" s="3" t="str">
        <f>IF(D398="","",VLOOKUP(D398,Courses!$A$5:$G$10,2,FALSE))</f>
        <v/>
      </c>
      <c r="F398" s="32" t="str">
        <f>IF(D398="","",VLOOKUP(D398,Courses!$A$5:$G$10,3,FALSE))</f>
        <v/>
      </c>
      <c r="G398" s="4"/>
      <c r="H398" s="4"/>
      <c r="I398" s="4"/>
      <c r="J398" s="28"/>
      <c r="K398" s="4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4"/>
      <c r="B399" s="28"/>
      <c r="C399" s="4"/>
      <c r="D399" s="4"/>
      <c r="E399" s="3" t="str">
        <f>IF(D399="","",VLOOKUP(D399,Courses!$A$5:$G$10,2,FALSE))</f>
        <v/>
      </c>
      <c r="F399" s="32" t="str">
        <f>IF(D399="","",VLOOKUP(D399,Courses!$A$5:$G$10,3,FALSE))</f>
        <v/>
      </c>
      <c r="G399" s="4"/>
      <c r="H399" s="4"/>
      <c r="I399" s="4"/>
      <c r="J399" s="28"/>
      <c r="K399" s="4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4"/>
      <c r="B400" s="28"/>
      <c r="C400" s="4"/>
      <c r="D400" s="4"/>
      <c r="E400" s="3" t="str">
        <f>IF(D400="","",VLOOKUP(D400,Courses!$A$5:$G$10,2,FALSE))</f>
        <v/>
      </c>
      <c r="F400" s="32" t="str">
        <f>IF(D400="","",VLOOKUP(D400,Courses!$A$5:$G$10,3,FALSE))</f>
        <v/>
      </c>
      <c r="G400" s="4"/>
      <c r="H400" s="4"/>
      <c r="I400" s="4"/>
      <c r="J400" s="28"/>
      <c r="K400" s="4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4"/>
      <c r="B401" s="28"/>
      <c r="C401" s="4"/>
      <c r="D401" s="4"/>
      <c r="E401" s="3" t="str">
        <f>IF(D401="","",VLOOKUP(D401,Courses!$A$5:$G$10,2,FALSE))</f>
        <v/>
      </c>
      <c r="F401" s="32" t="str">
        <f>IF(D401="","",VLOOKUP(D401,Courses!$A$5:$G$10,3,FALSE))</f>
        <v/>
      </c>
      <c r="G401" s="4"/>
      <c r="H401" s="4"/>
      <c r="I401" s="4"/>
      <c r="J401" s="28"/>
      <c r="K401" s="4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4"/>
      <c r="B402" s="28"/>
      <c r="C402" s="4"/>
      <c r="D402" s="4"/>
      <c r="E402" s="3" t="str">
        <f>IF(D402="","",VLOOKUP(D402,Courses!$A$5:$G$10,2,FALSE))</f>
        <v/>
      </c>
      <c r="F402" s="32" t="str">
        <f>IF(D402="","",VLOOKUP(D402,Courses!$A$5:$G$10,3,FALSE))</f>
        <v/>
      </c>
      <c r="G402" s="4"/>
      <c r="H402" s="4"/>
      <c r="I402" s="4"/>
      <c r="J402" s="28"/>
      <c r="K402" s="4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4"/>
      <c r="B403" s="28"/>
      <c r="C403" s="4"/>
      <c r="D403" s="4"/>
      <c r="E403" s="3" t="str">
        <f>IF(D403="","",VLOOKUP(D403,Courses!$A$5:$G$10,2,FALSE))</f>
        <v/>
      </c>
      <c r="F403" s="32" t="str">
        <f>IF(D403="","",VLOOKUP(D403,Courses!$A$5:$G$10,3,FALSE))</f>
        <v/>
      </c>
      <c r="G403" s="4"/>
      <c r="H403" s="4"/>
      <c r="I403" s="4"/>
      <c r="J403" s="28"/>
      <c r="K403" s="4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4"/>
      <c r="B404" s="28"/>
      <c r="C404" s="4"/>
      <c r="D404" s="4"/>
      <c r="E404" s="3" t="str">
        <f>IF(D404="","",VLOOKUP(D404,Courses!$A$5:$G$10,2,FALSE))</f>
        <v/>
      </c>
      <c r="F404" s="32" t="str">
        <f>IF(D404="","",VLOOKUP(D404,Courses!$A$5:$G$10,3,FALSE))</f>
        <v/>
      </c>
      <c r="G404" s="4"/>
      <c r="H404" s="4"/>
      <c r="I404" s="4"/>
      <c r="J404" s="28"/>
      <c r="K404" s="4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4"/>
      <c r="B405" s="28"/>
      <c r="C405" s="4"/>
      <c r="D405" s="4"/>
      <c r="E405" s="3" t="str">
        <f>IF(D405="","",VLOOKUP(D405,Courses!$A$5:$G$10,2,FALSE))</f>
        <v/>
      </c>
      <c r="F405" s="32" t="str">
        <f>IF(D405="","",VLOOKUP(D405,Courses!$A$5:$G$10,3,FALSE))</f>
        <v/>
      </c>
      <c r="G405" s="4"/>
      <c r="H405" s="4"/>
      <c r="I405" s="4"/>
      <c r="J405" s="28"/>
      <c r="K405" s="4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4"/>
      <c r="B406" s="28"/>
      <c r="C406" s="4"/>
      <c r="D406" s="4"/>
      <c r="E406" s="3" t="str">
        <f>IF(D406="","",VLOOKUP(D406,Courses!$A$5:$G$10,2,FALSE))</f>
        <v/>
      </c>
      <c r="F406" s="32" t="str">
        <f>IF(D406="","",VLOOKUP(D406,Courses!$A$5:$G$10,3,FALSE))</f>
        <v/>
      </c>
      <c r="G406" s="4"/>
      <c r="H406" s="4"/>
      <c r="I406" s="4"/>
      <c r="J406" s="28"/>
      <c r="K406" s="4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4"/>
      <c r="B407" s="28"/>
      <c r="C407" s="4"/>
      <c r="D407" s="4"/>
      <c r="E407" s="3" t="str">
        <f>IF(D407="","",VLOOKUP(D407,Courses!$A$5:$G$10,2,FALSE))</f>
        <v/>
      </c>
      <c r="F407" s="32" t="str">
        <f>IF(D407="","",VLOOKUP(D407,Courses!$A$5:$G$10,3,FALSE))</f>
        <v/>
      </c>
      <c r="G407" s="4"/>
      <c r="H407" s="4"/>
      <c r="I407" s="4"/>
      <c r="J407" s="28"/>
      <c r="K407" s="4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4"/>
      <c r="B408" s="28"/>
      <c r="C408" s="4"/>
      <c r="D408" s="4"/>
      <c r="E408" s="3" t="str">
        <f>IF(D408="","",VLOOKUP(D408,Courses!$A$5:$G$10,2,FALSE))</f>
        <v/>
      </c>
      <c r="F408" s="32" t="str">
        <f>IF(D408="","",VLOOKUP(D408,Courses!$A$5:$G$10,3,FALSE))</f>
        <v/>
      </c>
      <c r="G408" s="4"/>
      <c r="H408" s="4"/>
      <c r="I408" s="4"/>
      <c r="J408" s="28"/>
      <c r="K408" s="4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4"/>
      <c r="B409" s="28"/>
      <c r="C409" s="4"/>
      <c r="D409" s="4"/>
      <c r="E409" s="3" t="str">
        <f>IF(D409="","",VLOOKUP(D409,Courses!$A$5:$G$10,2,FALSE))</f>
        <v/>
      </c>
      <c r="F409" s="32" t="str">
        <f>IF(D409="","",VLOOKUP(D409,Courses!$A$5:$G$10,3,FALSE))</f>
        <v/>
      </c>
      <c r="G409" s="4"/>
      <c r="H409" s="4"/>
      <c r="I409" s="4"/>
      <c r="J409" s="28"/>
      <c r="K409" s="4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4"/>
      <c r="B410" s="28"/>
      <c r="C410" s="4"/>
      <c r="D410" s="4"/>
      <c r="E410" s="3" t="str">
        <f>IF(D410="","",VLOOKUP(D410,Courses!$A$5:$G$10,2,FALSE))</f>
        <v/>
      </c>
      <c r="F410" s="32" t="str">
        <f>IF(D410="","",VLOOKUP(D410,Courses!$A$5:$G$10,3,FALSE))</f>
        <v/>
      </c>
      <c r="G410" s="4"/>
      <c r="H410" s="4"/>
      <c r="I410" s="4"/>
      <c r="J410" s="28"/>
      <c r="K410" s="4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4"/>
      <c r="B411" s="28"/>
      <c r="C411" s="4"/>
      <c r="D411" s="4"/>
      <c r="E411" s="3" t="str">
        <f>IF(D411="","",VLOOKUP(D411,Courses!$A$5:$G$10,2,FALSE))</f>
        <v/>
      </c>
      <c r="F411" s="32" t="str">
        <f>IF(D411="","",VLOOKUP(D411,Courses!$A$5:$G$10,3,FALSE))</f>
        <v/>
      </c>
      <c r="G411" s="4"/>
      <c r="H411" s="4"/>
      <c r="I411" s="4"/>
      <c r="J411" s="28"/>
      <c r="K411" s="4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4"/>
      <c r="B412" s="28"/>
      <c r="C412" s="4"/>
      <c r="D412" s="4"/>
      <c r="E412" s="3" t="str">
        <f>IF(D412="","",VLOOKUP(D412,Courses!$A$5:$G$10,2,FALSE))</f>
        <v/>
      </c>
      <c r="F412" s="32" t="str">
        <f>IF(D412="","",VLOOKUP(D412,Courses!$A$5:$G$10,3,FALSE))</f>
        <v/>
      </c>
      <c r="G412" s="4"/>
      <c r="H412" s="4"/>
      <c r="I412" s="4"/>
      <c r="J412" s="28"/>
      <c r="K412" s="4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4"/>
      <c r="B413" s="28"/>
      <c r="C413" s="4"/>
      <c r="D413" s="4"/>
      <c r="E413" s="3" t="str">
        <f>IF(D413="","",VLOOKUP(D413,Courses!$A$5:$G$10,2,FALSE))</f>
        <v/>
      </c>
      <c r="F413" s="32" t="str">
        <f>IF(D413="","",VLOOKUP(D413,Courses!$A$5:$G$10,3,FALSE))</f>
        <v/>
      </c>
      <c r="G413" s="4"/>
      <c r="H413" s="4"/>
      <c r="I413" s="4"/>
      <c r="J413" s="28"/>
      <c r="K413" s="4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4"/>
      <c r="B414" s="28"/>
      <c r="C414" s="4"/>
      <c r="D414" s="4"/>
      <c r="E414" s="3" t="str">
        <f>IF(D414="","",VLOOKUP(D414,Courses!$A$5:$G$10,2,FALSE))</f>
        <v/>
      </c>
      <c r="F414" s="32" t="str">
        <f>IF(D414="","",VLOOKUP(D414,Courses!$A$5:$G$10,3,FALSE))</f>
        <v/>
      </c>
      <c r="G414" s="4"/>
      <c r="H414" s="4"/>
      <c r="I414" s="4"/>
      <c r="J414" s="28"/>
      <c r="K414" s="4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4"/>
      <c r="B415" s="28"/>
      <c r="C415" s="4"/>
      <c r="D415" s="4"/>
      <c r="E415" s="3" t="str">
        <f>IF(D415="","",VLOOKUP(D415,Courses!$A$5:$G$10,2,FALSE))</f>
        <v/>
      </c>
      <c r="F415" s="32" t="str">
        <f>IF(D415="","",VLOOKUP(D415,Courses!$A$5:$G$10,3,FALSE))</f>
        <v/>
      </c>
      <c r="G415" s="4"/>
      <c r="H415" s="4"/>
      <c r="I415" s="4"/>
      <c r="J415" s="28"/>
      <c r="K415" s="4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4"/>
      <c r="B416" s="28"/>
      <c r="C416" s="4"/>
      <c r="D416" s="4"/>
      <c r="E416" s="3" t="str">
        <f>IF(D416="","",VLOOKUP(D416,Courses!$A$5:$G$10,2,FALSE))</f>
        <v/>
      </c>
      <c r="F416" s="32" t="str">
        <f>IF(D416="","",VLOOKUP(D416,Courses!$A$5:$G$10,3,FALSE))</f>
        <v/>
      </c>
      <c r="G416" s="4"/>
      <c r="H416" s="4"/>
      <c r="I416" s="4"/>
      <c r="J416" s="28"/>
      <c r="K416" s="4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4"/>
      <c r="B417" s="28"/>
      <c r="C417" s="4"/>
      <c r="D417" s="4"/>
      <c r="E417" s="3" t="str">
        <f>IF(D417="","",VLOOKUP(D417,Courses!$A$5:$G$10,2,FALSE))</f>
        <v/>
      </c>
      <c r="F417" s="32" t="str">
        <f>IF(D417="","",VLOOKUP(D417,Courses!$A$5:$G$10,3,FALSE))</f>
        <v/>
      </c>
      <c r="G417" s="4"/>
      <c r="H417" s="4"/>
      <c r="I417" s="4"/>
      <c r="J417" s="28"/>
      <c r="K417" s="4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4"/>
      <c r="B418" s="28"/>
      <c r="C418" s="4"/>
      <c r="D418" s="4"/>
      <c r="E418" s="3" t="str">
        <f>IF(D418="","",VLOOKUP(D418,Courses!$A$5:$G$10,2,FALSE))</f>
        <v/>
      </c>
      <c r="F418" s="32" t="str">
        <f>IF(D418="","",VLOOKUP(D418,Courses!$A$5:$G$10,3,FALSE))</f>
        <v/>
      </c>
      <c r="G418" s="4"/>
      <c r="H418" s="4"/>
      <c r="I418" s="4"/>
      <c r="J418" s="28"/>
      <c r="K418" s="4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4"/>
      <c r="B419" s="28"/>
      <c r="C419" s="4"/>
      <c r="D419" s="4"/>
      <c r="E419" s="3" t="str">
        <f>IF(D419="","",VLOOKUP(D419,Courses!$A$5:$G$10,2,FALSE))</f>
        <v/>
      </c>
      <c r="F419" s="32" t="str">
        <f>IF(D419="","",VLOOKUP(D419,Courses!$A$5:$G$10,3,FALSE))</f>
        <v/>
      </c>
      <c r="G419" s="4"/>
      <c r="H419" s="4"/>
      <c r="I419" s="4"/>
      <c r="J419" s="28"/>
      <c r="K419" s="4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4"/>
      <c r="B420" s="28"/>
      <c r="C420" s="4"/>
      <c r="D420" s="4"/>
      <c r="E420" s="3" t="str">
        <f>IF(D420="","",VLOOKUP(D420,Courses!$A$5:$G$10,2,FALSE))</f>
        <v/>
      </c>
      <c r="F420" s="32" t="str">
        <f>IF(D420="","",VLOOKUP(D420,Courses!$A$5:$G$10,3,FALSE))</f>
        <v/>
      </c>
      <c r="G420" s="4"/>
      <c r="H420" s="4"/>
      <c r="I420" s="4"/>
      <c r="J420" s="28"/>
      <c r="K420" s="4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4"/>
      <c r="B421" s="28"/>
      <c r="C421" s="4"/>
      <c r="D421" s="4"/>
      <c r="E421" s="3" t="str">
        <f>IF(D421="","",VLOOKUP(D421,Courses!$A$5:$G$10,2,FALSE))</f>
        <v/>
      </c>
      <c r="F421" s="32" t="str">
        <f>IF(D421="","",VLOOKUP(D421,Courses!$A$5:$G$10,3,FALSE))</f>
        <v/>
      </c>
      <c r="G421" s="4"/>
      <c r="H421" s="4"/>
      <c r="I421" s="4"/>
      <c r="J421" s="28"/>
      <c r="K421" s="4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4"/>
      <c r="B422" s="28"/>
      <c r="C422" s="4"/>
      <c r="D422" s="4"/>
      <c r="E422" s="3" t="str">
        <f>IF(D422="","",VLOOKUP(D422,Courses!$A$5:$G$10,2,FALSE))</f>
        <v/>
      </c>
      <c r="F422" s="32" t="str">
        <f>IF(D422="","",VLOOKUP(D422,Courses!$A$5:$G$10,3,FALSE))</f>
        <v/>
      </c>
      <c r="G422" s="4"/>
      <c r="H422" s="4"/>
      <c r="I422" s="4"/>
      <c r="J422" s="28"/>
      <c r="K422" s="4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4"/>
      <c r="B423" s="28"/>
      <c r="C423" s="4"/>
      <c r="D423" s="4"/>
      <c r="E423" s="3" t="str">
        <f>IF(D423="","",VLOOKUP(D423,Courses!$A$5:$G$10,2,FALSE))</f>
        <v/>
      </c>
      <c r="F423" s="32" t="str">
        <f>IF(D423="","",VLOOKUP(D423,Courses!$A$5:$G$10,3,FALSE))</f>
        <v/>
      </c>
      <c r="G423" s="4"/>
      <c r="H423" s="4"/>
      <c r="I423" s="4"/>
      <c r="J423" s="28"/>
      <c r="K423" s="4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4"/>
      <c r="B424" s="28"/>
      <c r="C424" s="4"/>
      <c r="D424" s="4"/>
      <c r="E424" s="3" t="str">
        <f>IF(D424="","",VLOOKUP(D424,Courses!$A$5:$G$10,2,FALSE))</f>
        <v/>
      </c>
      <c r="F424" s="32" t="str">
        <f>IF(D424="","",VLOOKUP(D424,Courses!$A$5:$G$10,3,FALSE))</f>
        <v/>
      </c>
      <c r="G424" s="4"/>
      <c r="H424" s="4"/>
      <c r="I424" s="4"/>
      <c r="J424" s="28"/>
      <c r="K424" s="4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4"/>
      <c r="B425" s="28"/>
      <c r="C425" s="4"/>
      <c r="D425" s="4"/>
      <c r="E425" s="3" t="str">
        <f>IF(D425="","",VLOOKUP(D425,Courses!$A$5:$G$10,2,FALSE))</f>
        <v/>
      </c>
      <c r="F425" s="32" t="str">
        <f>IF(D425="","",VLOOKUP(D425,Courses!$A$5:$G$10,3,FALSE))</f>
        <v/>
      </c>
      <c r="G425" s="4"/>
      <c r="H425" s="4"/>
      <c r="I425" s="4"/>
      <c r="J425" s="28"/>
      <c r="K425" s="4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4"/>
      <c r="B426" s="28"/>
      <c r="C426" s="4"/>
      <c r="D426" s="4"/>
      <c r="E426" s="3" t="str">
        <f>IF(D426="","",VLOOKUP(D426,Courses!$A$5:$G$10,2,FALSE))</f>
        <v/>
      </c>
      <c r="F426" s="32" t="str">
        <f>IF(D426="","",VLOOKUP(D426,Courses!$A$5:$G$10,3,FALSE))</f>
        <v/>
      </c>
      <c r="G426" s="4"/>
      <c r="H426" s="4"/>
      <c r="I426" s="4"/>
      <c r="J426" s="28"/>
      <c r="K426" s="4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4"/>
      <c r="B427" s="28"/>
      <c r="C427" s="4"/>
      <c r="D427" s="4"/>
      <c r="E427" s="3" t="str">
        <f>IF(D427="","",VLOOKUP(D427,Courses!$A$5:$G$10,2,FALSE))</f>
        <v/>
      </c>
      <c r="F427" s="32" t="str">
        <f>IF(D427="","",VLOOKUP(D427,Courses!$A$5:$G$10,3,FALSE))</f>
        <v/>
      </c>
      <c r="G427" s="4"/>
      <c r="H427" s="4"/>
      <c r="I427" s="4"/>
      <c r="J427" s="28"/>
      <c r="K427" s="4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4"/>
      <c r="B428" s="28"/>
      <c r="C428" s="4"/>
      <c r="D428" s="4"/>
      <c r="E428" s="3" t="str">
        <f>IF(D428="","",VLOOKUP(D428,Courses!$A$5:$G$10,2,FALSE))</f>
        <v/>
      </c>
      <c r="F428" s="32" t="str">
        <f>IF(D428="","",VLOOKUP(D428,Courses!$A$5:$G$10,3,FALSE))</f>
        <v/>
      </c>
      <c r="G428" s="4"/>
      <c r="H428" s="4"/>
      <c r="I428" s="4"/>
      <c r="J428" s="28"/>
      <c r="K428" s="4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4"/>
      <c r="B429" s="28"/>
      <c r="C429" s="4"/>
      <c r="D429" s="4"/>
      <c r="E429" s="3" t="str">
        <f>IF(D429="","",VLOOKUP(D429,Courses!$A$5:$G$10,2,FALSE))</f>
        <v/>
      </c>
      <c r="F429" s="32" t="str">
        <f>IF(D429="","",VLOOKUP(D429,Courses!$A$5:$G$10,3,FALSE))</f>
        <v/>
      </c>
      <c r="G429" s="4"/>
      <c r="H429" s="4"/>
      <c r="I429" s="4"/>
      <c r="J429" s="28"/>
      <c r="K429" s="4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4"/>
      <c r="B430" s="28"/>
      <c r="C430" s="4"/>
      <c r="D430" s="4"/>
      <c r="E430" s="3" t="str">
        <f>IF(D430="","",VLOOKUP(D430,Courses!$A$5:$G$10,2,FALSE))</f>
        <v/>
      </c>
      <c r="F430" s="32" t="str">
        <f>IF(D430="","",VLOOKUP(D430,Courses!$A$5:$G$10,3,FALSE))</f>
        <v/>
      </c>
      <c r="G430" s="4"/>
      <c r="H430" s="4"/>
      <c r="I430" s="4"/>
      <c r="J430" s="28"/>
      <c r="K430" s="4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4"/>
      <c r="B431" s="28"/>
      <c r="C431" s="4"/>
      <c r="D431" s="4"/>
      <c r="E431" s="3" t="str">
        <f>IF(D431="","",VLOOKUP(D431,Courses!$A$5:$G$10,2,FALSE))</f>
        <v/>
      </c>
      <c r="F431" s="32" t="str">
        <f>IF(D431="","",VLOOKUP(D431,Courses!$A$5:$G$10,3,FALSE))</f>
        <v/>
      </c>
      <c r="G431" s="4"/>
      <c r="H431" s="4"/>
      <c r="I431" s="4"/>
      <c r="J431" s="28"/>
      <c r="K431" s="4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4"/>
      <c r="B432" s="28"/>
      <c r="C432" s="4"/>
      <c r="D432" s="4"/>
      <c r="E432" s="3" t="str">
        <f>IF(D432="","",VLOOKUP(D432,Courses!$A$5:$G$10,2,FALSE))</f>
        <v/>
      </c>
      <c r="F432" s="32" t="str">
        <f>IF(D432="","",VLOOKUP(D432,Courses!$A$5:$G$10,3,FALSE))</f>
        <v/>
      </c>
      <c r="G432" s="4"/>
      <c r="H432" s="4"/>
      <c r="I432" s="4"/>
      <c r="J432" s="28"/>
      <c r="K432" s="4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4"/>
      <c r="B433" s="28"/>
      <c r="C433" s="4"/>
      <c r="D433" s="4"/>
      <c r="E433" s="3" t="str">
        <f>IF(D433="","",VLOOKUP(D433,Courses!$A$5:$G$10,2,FALSE))</f>
        <v/>
      </c>
      <c r="F433" s="32" t="str">
        <f>IF(D433="","",VLOOKUP(D433,Courses!$A$5:$G$10,3,FALSE))</f>
        <v/>
      </c>
      <c r="G433" s="4"/>
      <c r="H433" s="4"/>
      <c r="I433" s="4"/>
      <c r="J433" s="28"/>
      <c r="K433" s="4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4"/>
      <c r="B434" s="28"/>
      <c r="C434" s="4"/>
      <c r="D434" s="4"/>
      <c r="E434" s="3" t="str">
        <f>IF(D434="","",VLOOKUP(D434,Courses!$A$5:$G$10,2,FALSE))</f>
        <v/>
      </c>
      <c r="F434" s="32" t="str">
        <f>IF(D434="","",VLOOKUP(D434,Courses!$A$5:$G$10,3,FALSE))</f>
        <v/>
      </c>
      <c r="G434" s="4"/>
      <c r="H434" s="4"/>
      <c r="I434" s="4"/>
      <c r="J434" s="28"/>
      <c r="K434" s="4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4"/>
      <c r="B435" s="28"/>
      <c r="C435" s="4"/>
      <c r="D435" s="4"/>
      <c r="E435" s="3" t="str">
        <f>IF(D435="","",VLOOKUP(D435,Courses!$A$5:$G$10,2,FALSE))</f>
        <v/>
      </c>
      <c r="F435" s="32" t="str">
        <f>IF(D435="","",VLOOKUP(D435,Courses!$A$5:$G$10,3,FALSE))</f>
        <v/>
      </c>
      <c r="G435" s="4"/>
      <c r="H435" s="4"/>
      <c r="I435" s="4"/>
      <c r="J435" s="28"/>
      <c r="K435" s="4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4"/>
      <c r="B436" s="28"/>
      <c r="C436" s="4"/>
      <c r="D436" s="4"/>
      <c r="E436" s="3" t="str">
        <f>IF(D436="","",VLOOKUP(D436,Courses!$A$5:$G$10,2,FALSE))</f>
        <v/>
      </c>
      <c r="F436" s="32" t="str">
        <f>IF(D436="","",VLOOKUP(D436,Courses!$A$5:$G$10,3,FALSE))</f>
        <v/>
      </c>
      <c r="G436" s="4"/>
      <c r="H436" s="4"/>
      <c r="I436" s="4"/>
      <c r="J436" s="28"/>
      <c r="K436" s="4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4"/>
      <c r="B437" s="28"/>
      <c r="C437" s="4"/>
      <c r="D437" s="4"/>
      <c r="E437" s="3" t="str">
        <f>IF(D437="","",VLOOKUP(D437,Courses!$A$5:$G$10,2,FALSE))</f>
        <v/>
      </c>
      <c r="F437" s="32" t="str">
        <f>IF(D437="","",VLOOKUP(D437,Courses!$A$5:$G$10,3,FALSE))</f>
        <v/>
      </c>
      <c r="G437" s="4"/>
      <c r="H437" s="4"/>
      <c r="I437" s="4"/>
      <c r="J437" s="28"/>
      <c r="K437" s="4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4"/>
      <c r="B438" s="28"/>
      <c r="C438" s="4"/>
      <c r="D438" s="4"/>
      <c r="E438" s="3" t="str">
        <f>IF(D438="","",VLOOKUP(D438,Courses!$A$5:$G$10,2,FALSE))</f>
        <v/>
      </c>
      <c r="F438" s="32" t="str">
        <f>IF(D438="","",VLOOKUP(D438,Courses!$A$5:$G$10,3,FALSE))</f>
        <v/>
      </c>
      <c r="G438" s="4"/>
      <c r="H438" s="4"/>
      <c r="I438" s="4"/>
      <c r="J438" s="28"/>
      <c r="K438" s="4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4"/>
      <c r="B439" s="28"/>
      <c r="C439" s="4"/>
      <c r="D439" s="4"/>
      <c r="E439" s="3" t="str">
        <f>IF(D439="","",VLOOKUP(D439,Courses!$A$5:$G$10,2,FALSE))</f>
        <v/>
      </c>
      <c r="F439" s="32" t="str">
        <f>IF(D439="","",VLOOKUP(D439,Courses!$A$5:$G$10,3,FALSE))</f>
        <v/>
      </c>
      <c r="G439" s="4"/>
      <c r="H439" s="4"/>
      <c r="I439" s="4"/>
      <c r="J439" s="28"/>
      <c r="K439" s="4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4"/>
      <c r="B440" s="28"/>
      <c r="C440" s="4"/>
      <c r="D440" s="4"/>
      <c r="E440" s="3" t="str">
        <f>IF(D440="","",VLOOKUP(D440,Courses!$A$5:$G$10,2,FALSE))</f>
        <v/>
      </c>
      <c r="F440" s="32" t="str">
        <f>IF(D440="","",VLOOKUP(D440,Courses!$A$5:$G$10,3,FALSE))</f>
        <v/>
      </c>
      <c r="G440" s="4"/>
      <c r="H440" s="4"/>
      <c r="I440" s="4"/>
      <c r="J440" s="28"/>
      <c r="K440" s="4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4"/>
      <c r="B441" s="28"/>
      <c r="C441" s="4"/>
      <c r="D441" s="4"/>
      <c r="E441" s="3" t="str">
        <f>IF(D441="","",VLOOKUP(D441,Courses!$A$5:$G$10,2,FALSE))</f>
        <v/>
      </c>
      <c r="F441" s="32" t="str">
        <f>IF(D441="","",VLOOKUP(D441,Courses!$A$5:$G$10,3,FALSE))</f>
        <v/>
      </c>
      <c r="G441" s="4"/>
      <c r="H441" s="4"/>
      <c r="I441" s="4"/>
      <c r="J441" s="28"/>
      <c r="K441" s="4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4"/>
      <c r="B442" s="28"/>
      <c r="C442" s="4"/>
      <c r="D442" s="4"/>
      <c r="E442" s="3" t="str">
        <f>IF(D442="","",VLOOKUP(D442,Courses!$A$5:$G$10,2,FALSE))</f>
        <v/>
      </c>
      <c r="F442" s="32" t="str">
        <f>IF(D442="","",VLOOKUP(D442,Courses!$A$5:$G$10,3,FALSE))</f>
        <v/>
      </c>
      <c r="G442" s="4"/>
      <c r="H442" s="4"/>
      <c r="I442" s="4"/>
      <c r="J442" s="28"/>
      <c r="K442" s="4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4"/>
      <c r="B443" s="28"/>
      <c r="C443" s="4"/>
      <c r="D443" s="4"/>
      <c r="E443" s="3" t="str">
        <f>IF(D443="","",VLOOKUP(D443,Courses!$A$5:$G$10,2,FALSE))</f>
        <v/>
      </c>
      <c r="F443" s="32" t="str">
        <f>IF(D443="","",VLOOKUP(D443,Courses!$A$5:$G$10,3,FALSE))</f>
        <v/>
      </c>
      <c r="G443" s="4"/>
      <c r="H443" s="4"/>
      <c r="I443" s="4"/>
      <c r="J443" s="28"/>
      <c r="K443" s="4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4"/>
      <c r="B444" s="28"/>
      <c r="C444" s="4"/>
      <c r="D444" s="4"/>
      <c r="E444" s="3" t="str">
        <f>IF(D444="","",VLOOKUP(D444,Courses!$A$5:$G$10,2,FALSE))</f>
        <v/>
      </c>
      <c r="F444" s="32" t="str">
        <f>IF(D444="","",VLOOKUP(D444,Courses!$A$5:$G$10,3,FALSE))</f>
        <v/>
      </c>
      <c r="G444" s="4"/>
      <c r="H444" s="4"/>
      <c r="I444" s="4"/>
      <c r="J444" s="28"/>
      <c r="K444" s="4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4"/>
      <c r="B445" s="28"/>
      <c r="C445" s="4"/>
      <c r="D445" s="4"/>
      <c r="E445" s="3" t="str">
        <f>IF(D445="","",VLOOKUP(D445,Courses!$A$5:$G$10,2,FALSE))</f>
        <v/>
      </c>
      <c r="F445" s="32" t="str">
        <f>IF(D445="","",VLOOKUP(D445,Courses!$A$5:$G$10,3,FALSE))</f>
        <v/>
      </c>
      <c r="G445" s="4"/>
      <c r="H445" s="4"/>
      <c r="I445" s="4"/>
      <c r="J445" s="28"/>
      <c r="K445" s="4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4"/>
      <c r="B446" s="28"/>
      <c r="C446" s="4"/>
      <c r="D446" s="4"/>
      <c r="E446" s="3" t="str">
        <f>IF(D446="","",VLOOKUP(D446,Courses!$A$5:$G$10,2,FALSE))</f>
        <v/>
      </c>
      <c r="F446" s="32" t="str">
        <f>IF(D446="","",VLOOKUP(D446,Courses!$A$5:$G$10,3,FALSE))</f>
        <v/>
      </c>
      <c r="G446" s="4"/>
      <c r="H446" s="4"/>
      <c r="I446" s="4"/>
      <c r="J446" s="28"/>
      <c r="K446" s="4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4"/>
      <c r="B447" s="28"/>
      <c r="C447" s="4"/>
      <c r="D447" s="4"/>
      <c r="E447" s="3" t="str">
        <f>IF(D447="","",VLOOKUP(D447,Courses!$A$5:$G$10,2,FALSE))</f>
        <v/>
      </c>
      <c r="F447" s="32" t="str">
        <f>IF(D447="","",VLOOKUP(D447,Courses!$A$5:$G$10,3,FALSE))</f>
        <v/>
      </c>
      <c r="G447" s="4"/>
      <c r="H447" s="4"/>
      <c r="I447" s="4"/>
      <c r="J447" s="28"/>
      <c r="K447" s="4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4"/>
      <c r="B448" s="28"/>
      <c r="C448" s="4"/>
      <c r="D448" s="4"/>
      <c r="E448" s="3" t="str">
        <f>IF(D448="","",VLOOKUP(D448,Courses!$A$5:$G$10,2,FALSE))</f>
        <v/>
      </c>
      <c r="F448" s="32" t="str">
        <f>IF(D448="","",VLOOKUP(D448,Courses!$A$5:$G$10,3,FALSE))</f>
        <v/>
      </c>
      <c r="G448" s="4"/>
      <c r="H448" s="4"/>
      <c r="I448" s="4"/>
      <c r="J448" s="28"/>
      <c r="K448" s="4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4"/>
      <c r="B449" s="28"/>
      <c r="C449" s="4"/>
      <c r="D449" s="4"/>
      <c r="E449" s="3" t="str">
        <f>IF(D449="","",VLOOKUP(D449,Courses!$A$5:$G$10,2,FALSE))</f>
        <v/>
      </c>
      <c r="F449" s="32" t="str">
        <f>IF(D449="","",VLOOKUP(D449,Courses!$A$5:$G$10,3,FALSE))</f>
        <v/>
      </c>
      <c r="G449" s="4"/>
      <c r="H449" s="4"/>
      <c r="I449" s="4"/>
      <c r="J449" s="28"/>
      <c r="K449" s="4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4"/>
      <c r="B450" s="28"/>
      <c r="C450" s="4"/>
      <c r="D450" s="4"/>
      <c r="E450" s="3" t="str">
        <f>IF(D450="","",VLOOKUP(D450,Courses!$A$5:$G$10,2,FALSE))</f>
        <v/>
      </c>
      <c r="F450" s="32" t="str">
        <f>IF(D450="","",VLOOKUP(D450,Courses!$A$5:$G$10,3,FALSE))</f>
        <v/>
      </c>
      <c r="G450" s="4"/>
      <c r="H450" s="4"/>
      <c r="I450" s="4"/>
      <c r="J450" s="28"/>
      <c r="K450" s="4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4"/>
      <c r="B451" s="28"/>
      <c r="C451" s="4"/>
      <c r="D451" s="4"/>
      <c r="E451" s="3" t="str">
        <f>IF(D451="","",VLOOKUP(D451,Courses!$A$5:$G$10,2,FALSE))</f>
        <v/>
      </c>
      <c r="F451" s="32" t="str">
        <f>IF(D451="","",VLOOKUP(D451,Courses!$A$5:$G$10,3,FALSE))</f>
        <v/>
      </c>
      <c r="G451" s="4"/>
      <c r="H451" s="4"/>
      <c r="I451" s="4"/>
      <c r="J451" s="28"/>
      <c r="K451" s="4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4"/>
      <c r="B452" s="28"/>
      <c r="C452" s="4"/>
      <c r="D452" s="4"/>
      <c r="E452" s="3" t="str">
        <f>IF(D452="","",VLOOKUP(D452,Courses!$A$5:$G$10,2,FALSE))</f>
        <v/>
      </c>
      <c r="F452" s="32" t="str">
        <f>IF(D452="","",VLOOKUP(D452,Courses!$A$5:$G$10,3,FALSE))</f>
        <v/>
      </c>
      <c r="G452" s="4"/>
      <c r="H452" s="4"/>
      <c r="I452" s="4"/>
      <c r="J452" s="28"/>
      <c r="K452" s="4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4"/>
      <c r="B453" s="28"/>
      <c r="C453" s="4"/>
      <c r="D453" s="4"/>
      <c r="E453" s="3" t="str">
        <f>IF(D453="","",VLOOKUP(D453,Courses!$A$5:$G$10,2,FALSE))</f>
        <v/>
      </c>
      <c r="F453" s="32" t="str">
        <f>IF(D453="","",VLOOKUP(D453,Courses!$A$5:$G$10,3,FALSE))</f>
        <v/>
      </c>
      <c r="G453" s="4"/>
      <c r="H453" s="4"/>
      <c r="I453" s="4"/>
      <c r="J453" s="28"/>
      <c r="K453" s="4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4"/>
      <c r="B454" s="28"/>
      <c r="C454" s="4"/>
      <c r="D454" s="4"/>
      <c r="E454" s="3" t="str">
        <f>IF(D454="","",VLOOKUP(D454,Courses!$A$5:$G$10,2,FALSE))</f>
        <v/>
      </c>
      <c r="F454" s="32" t="str">
        <f>IF(D454="","",VLOOKUP(D454,Courses!$A$5:$G$10,3,FALSE))</f>
        <v/>
      </c>
      <c r="G454" s="4"/>
      <c r="H454" s="4"/>
      <c r="I454" s="4"/>
      <c r="J454" s="28"/>
      <c r="K454" s="4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4"/>
      <c r="B455" s="28"/>
      <c r="C455" s="4"/>
      <c r="D455" s="4"/>
      <c r="E455" s="3" t="str">
        <f>IF(D455="","",VLOOKUP(D455,Courses!$A$5:$G$10,2,FALSE))</f>
        <v/>
      </c>
      <c r="F455" s="32" t="str">
        <f>IF(D455="","",VLOOKUP(D455,Courses!$A$5:$G$10,3,FALSE))</f>
        <v/>
      </c>
      <c r="G455" s="4"/>
      <c r="H455" s="4"/>
      <c r="I455" s="4"/>
      <c r="J455" s="28"/>
      <c r="K455" s="4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4"/>
      <c r="B456" s="28"/>
      <c r="C456" s="4"/>
      <c r="D456" s="4"/>
      <c r="E456" s="3" t="str">
        <f>IF(D456="","",VLOOKUP(D456,Courses!$A$5:$G$10,2,FALSE))</f>
        <v/>
      </c>
      <c r="F456" s="32" t="str">
        <f>IF(D456="","",VLOOKUP(D456,Courses!$A$5:$G$10,3,FALSE))</f>
        <v/>
      </c>
      <c r="G456" s="4"/>
      <c r="H456" s="4"/>
      <c r="I456" s="4"/>
      <c r="J456" s="28"/>
      <c r="K456" s="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4"/>
      <c r="B457" s="28"/>
      <c r="C457" s="4"/>
      <c r="D457" s="4"/>
      <c r="E457" s="3" t="str">
        <f>IF(D457="","",VLOOKUP(D457,Courses!$A$5:$G$10,2,FALSE))</f>
        <v/>
      </c>
      <c r="F457" s="32" t="str">
        <f>IF(D457="","",VLOOKUP(D457,Courses!$A$5:$G$10,3,FALSE))</f>
        <v/>
      </c>
      <c r="G457" s="4"/>
      <c r="H457" s="4"/>
      <c r="I457" s="4"/>
      <c r="J457" s="28"/>
      <c r="K457" s="4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4"/>
      <c r="B458" s="28"/>
      <c r="C458" s="4"/>
      <c r="D458" s="4"/>
      <c r="E458" s="3" t="str">
        <f>IF(D458="","",VLOOKUP(D458,Courses!$A$5:$G$10,2,FALSE))</f>
        <v/>
      </c>
      <c r="F458" s="32" t="str">
        <f>IF(D458="","",VLOOKUP(D458,Courses!$A$5:$G$10,3,FALSE))</f>
        <v/>
      </c>
      <c r="G458" s="4"/>
      <c r="H458" s="4"/>
      <c r="I458" s="4"/>
      <c r="J458" s="28"/>
      <c r="K458" s="4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4"/>
      <c r="B459" s="28"/>
      <c r="C459" s="4"/>
      <c r="D459" s="4"/>
      <c r="E459" s="3" t="str">
        <f>IF(D459="","",VLOOKUP(D459,Courses!$A$5:$G$10,2,FALSE))</f>
        <v/>
      </c>
      <c r="F459" s="32" t="str">
        <f>IF(D459="","",VLOOKUP(D459,Courses!$A$5:$G$10,3,FALSE))</f>
        <v/>
      </c>
      <c r="G459" s="4"/>
      <c r="H459" s="4"/>
      <c r="I459" s="4"/>
      <c r="J459" s="28"/>
      <c r="K459" s="4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4"/>
      <c r="B460" s="28"/>
      <c r="C460" s="4"/>
      <c r="D460" s="4"/>
      <c r="E460" s="3" t="str">
        <f>IF(D460="","",VLOOKUP(D460,Courses!$A$5:$G$10,2,FALSE))</f>
        <v/>
      </c>
      <c r="F460" s="32" t="str">
        <f>IF(D460="","",VLOOKUP(D460,Courses!$A$5:$G$10,3,FALSE))</f>
        <v/>
      </c>
      <c r="G460" s="4"/>
      <c r="H460" s="4"/>
      <c r="I460" s="4"/>
      <c r="J460" s="28"/>
      <c r="K460" s="4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4"/>
      <c r="B461" s="28"/>
      <c r="C461" s="4"/>
      <c r="D461" s="4"/>
      <c r="E461" s="3" t="str">
        <f>IF(D461="","",VLOOKUP(D461,Courses!$A$5:$G$10,2,FALSE))</f>
        <v/>
      </c>
      <c r="F461" s="32" t="str">
        <f>IF(D461="","",VLOOKUP(D461,Courses!$A$5:$G$10,3,FALSE))</f>
        <v/>
      </c>
      <c r="G461" s="4"/>
      <c r="H461" s="4"/>
      <c r="I461" s="4"/>
      <c r="J461" s="28"/>
      <c r="K461" s="4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4"/>
      <c r="B462" s="28"/>
      <c r="C462" s="4"/>
      <c r="D462" s="4"/>
      <c r="E462" s="3" t="str">
        <f>IF(D462="","",VLOOKUP(D462,Courses!$A$5:$G$10,2,FALSE))</f>
        <v/>
      </c>
      <c r="F462" s="32" t="str">
        <f>IF(D462="","",VLOOKUP(D462,Courses!$A$5:$G$10,3,FALSE))</f>
        <v/>
      </c>
      <c r="G462" s="4"/>
      <c r="H462" s="4"/>
      <c r="I462" s="4"/>
      <c r="J462" s="28"/>
      <c r="K462" s="4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4"/>
      <c r="B463" s="28"/>
      <c r="C463" s="4"/>
      <c r="D463" s="4"/>
      <c r="E463" s="3" t="str">
        <f>IF(D463="","",VLOOKUP(D463,Courses!$A$5:$G$10,2,FALSE))</f>
        <v/>
      </c>
      <c r="F463" s="32" t="str">
        <f>IF(D463="","",VLOOKUP(D463,Courses!$A$5:$G$10,3,FALSE))</f>
        <v/>
      </c>
      <c r="G463" s="4"/>
      <c r="H463" s="4"/>
      <c r="I463" s="4"/>
      <c r="J463" s="28"/>
      <c r="K463" s="4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4"/>
      <c r="B464" s="28"/>
      <c r="C464" s="4"/>
      <c r="D464" s="4"/>
      <c r="E464" s="3" t="str">
        <f>IF(D464="","",VLOOKUP(D464,Courses!$A$5:$G$10,2,FALSE))</f>
        <v/>
      </c>
      <c r="F464" s="32" t="str">
        <f>IF(D464="","",VLOOKUP(D464,Courses!$A$5:$G$10,3,FALSE))</f>
        <v/>
      </c>
      <c r="G464" s="4"/>
      <c r="H464" s="4"/>
      <c r="I464" s="4"/>
      <c r="J464" s="28"/>
      <c r="K464" s="4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4"/>
      <c r="B465" s="28"/>
      <c r="C465" s="4"/>
      <c r="D465" s="4"/>
      <c r="E465" s="3" t="str">
        <f>IF(D465="","",VLOOKUP(D465,Courses!$A$5:$G$10,2,FALSE))</f>
        <v/>
      </c>
      <c r="F465" s="32" t="str">
        <f>IF(D465="","",VLOOKUP(D465,Courses!$A$5:$G$10,3,FALSE))</f>
        <v/>
      </c>
      <c r="G465" s="4"/>
      <c r="H465" s="4"/>
      <c r="I465" s="4"/>
      <c r="J465" s="28"/>
      <c r="K465" s="4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4"/>
      <c r="B466" s="28"/>
      <c r="C466" s="4"/>
      <c r="D466" s="4"/>
      <c r="E466" s="3" t="str">
        <f>IF(D466="","",VLOOKUP(D466,Courses!$A$5:$G$10,2,FALSE))</f>
        <v/>
      </c>
      <c r="F466" s="32" t="str">
        <f>IF(D466="","",VLOOKUP(D466,Courses!$A$5:$G$10,3,FALSE))</f>
        <v/>
      </c>
      <c r="G466" s="4"/>
      <c r="H466" s="4"/>
      <c r="I466" s="4"/>
      <c r="J466" s="28"/>
      <c r="K466" s="4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4"/>
      <c r="B467" s="28"/>
      <c r="C467" s="4"/>
      <c r="D467" s="4"/>
      <c r="E467" s="3" t="str">
        <f>IF(D467="","",VLOOKUP(D467,Courses!$A$5:$G$10,2,FALSE))</f>
        <v/>
      </c>
      <c r="F467" s="32" t="str">
        <f>IF(D467="","",VLOOKUP(D467,Courses!$A$5:$G$10,3,FALSE))</f>
        <v/>
      </c>
      <c r="G467" s="4"/>
      <c r="H467" s="4"/>
      <c r="I467" s="4"/>
      <c r="J467" s="28"/>
      <c r="K467" s="4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4"/>
      <c r="B468" s="28"/>
      <c r="C468" s="4"/>
      <c r="D468" s="4"/>
      <c r="E468" s="3" t="str">
        <f>IF(D468="","",VLOOKUP(D468,Courses!$A$5:$G$10,2,FALSE))</f>
        <v/>
      </c>
      <c r="F468" s="32" t="str">
        <f>IF(D468="","",VLOOKUP(D468,Courses!$A$5:$G$10,3,FALSE))</f>
        <v/>
      </c>
      <c r="G468" s="4"/>
      <c r="H468" s="4"/>
      <c r="I468" s="4"/>
      <c r="J468" s="28"/>
      <c r="K468" s="4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4"/>
      <c r="B469" s="28"/>
      <c r="C469" s="4"/>
      <c r="D469" s="4"/>
      <c r="E469" s="3" t="str">
        <f>IF(D469="","",VLOOKUP(D469,Courses!$A$5:$G$10,2,FALSE))</f>
        <v/>
      </c>
      <c r="F469" s="32" t="str">
        <f>IF(D469="","",VLOOKUP(D469,Courses!$A$5:$G$10,3,FALSE))</f>
        <v/>
      </c>
      <c r="G469" s="4"/>
      <c r="H469" s="4"/>
      <c r="I469" s="4"/>
      <c r="J469" s="28"/>
      <c r="K469" s="4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4"/>
      <c r="B470" s="28"/>
      <c r="C470" s="4"/>
      <c r="D470" s="4"/>
      <c r="E470" s="3" t="str">
        <f>IF(D470="","",VLOOKUP(D470,Courses!$A$5:$G$10,2,FALSE))</f>
        <v/>
      </c>
      <c r="F470" s="32" t="str">
        <f>IF(D470="","",VLOOKUP(D470,Courses!$A$5:$G$10,3,FALSE))</f>
        <v/>
      </c>
      <c r="G470" s="4"/>
      <c r="H470" s="4"/>
      <c r="I470" s="4"/>
      <c r="J470" s="28"/>
      <c r="K470" s="4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4"/>
      <c r="B471" s="28"/>
      <c r="C471" s="4"/>
      <c r="D471" s="4"/>
      <c r="E471" s="3" t="str">
        <f>IF(D471="","",VLOOKUP(D471,Courses!$A$5:$G$10,2,FALSE))</f>
        <v/>
      </c>
      <c r="F471" s="32" t="str">
        <f>IF(D471="","",VLOOKUP(D471,Courses!$A$5:$G$10,3,FALSE))</f>
        <v/>
      </c>
      <c r="G471" s="4"/>
      <c r="H471" s="4"/>
      <c r="I471" s="4"/>
      <c r="J471" s="28"/>
      <c r="K471" s="4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4"/>
      <c r="B472" s="28"/>
      <c r="C472" s="4"/>
      <c r="D472" s="4"/>
      <c r="E472" s="3" t="str">
        <f>IF(D472="","",VLOOKUP(D472,Courses!$A$5:$G$10,2,FALSE))</f>
        <v/>
      </c>
      <c r="F472" s="32" t="str">
        <f>IF(D472="","",VLOOKUP(D472,Courses!$A$5:$G$10,3,FALSE))</f>
        <v/>
      </c>
      <c r="G472" s="4"/>
      <c r="H472" s="4"/>
      <c r="I472" s="4"/>
      <c r="J472" s="28"/>
      <c r="K472" s="4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4"/>
      <c r="B473" s="28"/>
      <c r="C473" s="4"/>
      <c r="D473" s="4"/>
      <c r="E473" s="3" t="str">
        <f>IF(D473="","",VLOOKUP(D473,Courses!$A$5:$G$10,2,FALSE))</f>
        <v/>
      </c>
      <c r="F473" s="32" t="str">
        <f>IF(D473="","",VLOOKUP(D473,Courses!$A$5:$G$10,3,FALSE))</f>
        <v/>
      </c>
      <c r="G473" s="4"/>
      <c r="H473" s="4"/>
      <c r="I473" s="4"/>
      <c r="J473" s="28"/>
      <c r="K473" s="4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4"/>
      <c r="B474" s="28"/>
      <c r="C474" s="4"/>
      <c r="D474" s="4"/>
      <c r="E474" s="3" t="str">
        <f>IF(D474="","",VLOOKUP(D474,Courses!$A$5:$G$10,2,FALSE))</f>
        <v/>
      </c>
      <c r="F474" s="32" t="str">
        <f>IF(D474="","",VLOOKUP(D474,Courses!$A$5:$G$10,3,FALSE))</f>
        <v/>
      </c>
      <c r="G474" s="4"/>
      <c r="H474" s="4"/>
      <c r="I474" s="4"/>
      <c r="J474" s="28"/>
      <c r="K474" s="4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4"/>
      <c r="B475" s="28"/>
      <c r="C475" s="4"/>
      <c r="D475" s="4"/>
      <c r="E475" s="3" t="str">
        <f>IF(D475="","",VLOOKUP(D475,Courses!$A$5:$G$10,2,FALSE))</f>
        <v/>
      </c>
      <c r="F475" s="32" t="str">
        <f>IF(D475="","",VLOOKUP(D475,Courses!$A$5:$G$10,3,FALSE))</f>
        <v/>
      </c>
      <c r="G475" s="4"/>
      <c r="H475" s="4"/>
      <c r="I475" s="4"/>
      <c r="J475" s="28"/>
      <c r="K475" s="4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4"/>
      <c r="B476" s="28"/>
      <c r="C476" s="4"/>
      <c r="D476" s="4"/>
      <c r="E476" s="3" t="str">
        <f>IF(D476="","",VLOOKUP(D476,Courses!$A$5:$G$10,2,FALSE))</f>
        <v/>
      </c>
      <c r="F476" s="32" t="str">
        <f>IF(D476="","",VLOOKUP(D476,Courses!$A$5:$G$10,3,FALSE))</f>
        <v/>
      </c>
      <c r="G476" s="4"/>
      <c r="H476" s="4"/>
      <c r="I476" s="4"/>
      <c r="J476" s="28"/>
      <c r="K476" s="4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4"/>
      <c r="B477" s="28"/>
      <c r="C477" s="4"/>
      <c r="D477" s="4"/>
      <c r="E477" s="3" t="str">
        <f>IF(D477="","",VLOOKUP(D477,Courses!$A$5:$G$10,2,FALSE))</f>
        <v/>
      </c>
      <c r="F477" s="32" t="str">
        <f>IF(D477="","",VLOOKUP(D477,Courses!$A$5:$G$10,3,FALSE))</f>
        <v/>
      </c>
      <c r="G477" s="4"/>
      <c r="H477" s="4"/>
      <c r="I477" s="4"/>
      <c r="J477" s="28"/>
      <c r="K477" s="4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4"/>
      <c r="B478" s="28"/>
      <c r="C478" s="4"/>
      <c r="D478" s="4"/>
      <c r="E478" s="3" t="str">
        <f>IF(D478="","",VLOOKUP(D478,Courses!$A$5:$G$10,2,FALSE))</f>
        <v/>
      </c>
      <c r="F478" s="32" t="str">
        <f>IF(D478="","",VLOOKUP(D478,Courses!$A$5:$G$10,3,FALSE))</f>
        <v/>
      </c>
      <c r="G478" s="4"/>
      <c r="H478" s="4"/>
      <c r="I478" s="4"/>
      <c r="J478" s="28"/>
      <c r="K478" s="4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4"/>
      <c r="B479" s="28"/>
      <c r="C479" s="4"/>
      <c r="D479" s="4"/>
      <c r="E479" s="3" t="str">
        <f>IF(D479="","",VLOOKUP(D479,Courses!$A$5:$G$10,2,FALSE))</f>
        <v/>
      </c>
      <c r="F479" s="32" t="str">
        <f>IF(D479="","",VLOOKUP(D479,Courses!$A$5:$G$10,3,FALSE))</f>
        <v/>
      </c>
      <c r="G479" s="4"/>
      <c r="H479" s="4"/>
      <c r="I479" s="4"/>
      <c r="J479" s="28"/>
      <c r="K479" s="4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4"/>
      <c r="B480" s="28"/>
      <c r="C480" s="4"/>
      <c r="D480" s="4"/>
      <c r="E480" s="3" t="str">
        <f>IF(D480="","",VLOOKUP(D480,Courses!$A$5:$G$10,2,FALSE))</f>
        <v/>
      </c>
      <c r="F480" s="32" t="str">
        <f>IF(D480="","",VLOOKUP(D480,Courses!$A$5:$G$10,3,FALSE))</f>
        <v/>
      </c>
      <c r="G480" s="4"/>
      <c r="H480" s="4"/>
      <c r="I480" s="4"/>
      <c r="J480" s="28"/>
      <c r="K480" s="4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4"/>
      <c r="B481" s="28"/>
      <c r="C481" s="4"/>
      <c r="D481" s="4"/>
      <c r="E481" s="3" t="str">
        <f>IF(D481="","",VLOOKUP(D481,Courses!$A$5:$G$10,2,FALSE))</f>
        <v/>
      </c>
      <c r="F481" s="32" t="str">
        <f>IF(D481="","",VLOOKUP(D481,Courses!$A$5:$G$10,3,FALSE))</f>
        <v/>
      </c>
      <c r="G481" s="4"/>
      <c r="H481" s="4"/>
      <c r="I481" s="4"/>
      <c r="J481" s="28"/>
      <c r="K481" s="4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4"/>
      <c r="B482" s="28"/>
      <c r="C482" s="4"/>
      <c r="D482" s="4"/>
      <c r="E482" s="3" t="str">
        <f>IF(D482="","",VLOOKUP(D482,Courses!$A$5:$G$10,2,FALSE))</f>
        <v/>
      </c>
      <c r="F482" s="32" t="str">
        <f>IF(D482="","",VLOOKUP(D482,Courses!$A$5:$G$10,3,FALSE))</f>
        <v/>
      </c>
      <c r="G482" s="4"/>
      <c r="H482" s="4"/>
      <c r="I482" s="4"/>
      <c r="J482" s="28"/>
      <c r="K482" s="4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4"/>
      <c r="B483" s="28"/>
      <c r="C483" s="4"/>
      <c r="D483" s="4"/>
      <c r="E483" s="3" t="str">
        <f>IF(D483="","",VLOOKUP(D483,Courses!$A$5:$G$10,2,FALSE))</f>
        <v/>
      </c>
      <c r="F483" s="32" t="str">
        <f>IF(D483="","",VLOOKUP(D483,Courses!$A$5:$G$10,3,FALSE))</f>
        <v/>
      </c>
      <c r="G483" s="4"/>
      <c r="H483" s="4"/>
      <c r="I483" s="4"/>
      <c r="J483" s="28"/>
      <c r="K483" s="4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4"/>
      <c r="B484" s="28"/>
      <c r="C484" s="4"/>
      <c r="D484" s="4"/>
      <c r="E484" s="3" t="str">
        <f>IF(D484="","",VLOOKUP(D484,Courses!$A$5:$G$10,2,FALSE))</f>
        <v/>
      </c>
      <c r="F484" s="32" t="str">
        <f>IF(D484="","",VLOOKUP(D484,Courses!$A$5:$G$10,3,FALSE))</f>
        <v/>
      </c>
      <c r="G484" s="4"/>
      <c r="H484" s="4"/>
      <c r="I484" s="4"/>
      <c r="J484" s="28"/>
      <c r="K484" s="4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4"/>
      <c r="B485" s="28"/>
      <c r="C485" s="4"/>
      <c r="D485" s="4"/>
      <c r="E485" s="3" t="str">
        <f>IF(D485="","",VLOOKUP(D485,Courses!$A$5:$G$10,2,FALSE))</f>
        <v/>
      </c>
      <c r="F485" s="32" t="str">
        <f>IF(D485="","",VLOOKUP(D485,Courses!$A$5:$G$10,3,FALSE))</f>
        <v/>
      </c>
      <c r="G485" s="4"/>
      <c r="H485" s="4"/>
      <c r="I485" s="4"/>
      <c r="J485" s="28"/>
      <c r="K485" s="4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4"/>
      <c r="B486" s="28"/>
      <c r="C486" s="4"/>
      <c r="D486" s="4"/>
      <c r="E486" s="3" t="str">
        <f>IF(D486="","",VLOOKUP(D486,Courses!$A$5:$G$10,2,FALSE))</f>
        <v/>
      </c>
      <c r="F486" s="32" t="str">
        <f>IF(D486="","",VLOOKUP(D486,Courses!$A$5:$G$10,3,FALSE))</f>
        <v/>
      </c>
      <c r="G486" s="4"/>
      <c r="H486" s="4"/>
      <c r="I486" s="4"/>
      <c r="J486" s="28"/>
      <c r="K486" s="4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4"/>
      <c r="B487" s="28"/>
      <c r="C487" s="4"/>
      <c r="D487" s="4"/>
      <c r="E487" s="3" t="str">
        <f>IF(D487="","",VLOOKUP(D487,Courses!$A$5:$G$10,2,FALSE))</f>
        <v/>
      </c>
      <c r="F487" s="32" t="str">
        <f>IF(D487="","",VLOOKUP(D487,Courses!$A$5:$G$10,3,FALSE))</f>
        <v/>
      </c>
      <c r="G487" s="4"/>
      <c r="H487" s="4"/>
      <c r="I487" s="4"/>
      <c r="J487" s="28"/>
      <c r="K487" s="4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4"/>
      <c r="B488" s="28"/>
      <c r="C488" s="4"/>
      <c r="D488" s="4"/>
      <c r="E488" s="3" t="str">
        <f>IF(D488="","",VLOOKUP(D488,Courses!$A$5:$G$10,2,FALSE))</f>
        <v/>
      </c>
      <c r="F488" s="32" t="str">
        <f>IF(D488="","",VLOOKUP(D488,Courses!$A$5:$G$10,3,FALSE))</f>
        <v/>
      </c>
      <c r="G488" s="4"/>
      <c r="H488" s="4"/>
      <c r="I488" s="4"/>
      <c r="J488" s="28"/>
      <c r="K488" s="4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4"/>
      <c r="B489" s="28"/>
      <c r="C489" s="4"/>
      <c r="D489" s="4"/>
      <c r="E489" s="3" t="str">
        <f>IF(D489="","",VLOOKUP(D489,Courses!$A$5:$G$10,2,FALSE))</f>
        <v/>
      </c>
      <c r="F489" s="32" t="str">
        <f>IF(D489="","",VLOOKUP(D489,Courses!$A$5:$G$10,3,FALSE))</f>
        <v/>
      </c>
      <c r="G489" s="4"/>
      <c r="H489" s="4"/>
      <c r="I489" s="4"/>
      <c r="J489" s="28"/>
      <c r="K489" s="4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4"/>
      <c r="B490" s="28"/>
      <c r="C490" s="4"/>
      <c r="D490" s="4"/>
      <c r="E490" s="3" t="str">
        <f>IF(D490="","",VLOOKUP(D490,Courses!$A$5:$G$10,2,FALSE))</f>
        <v/>
      </c>
      <c r="F490" s="32" t="str">
        <f>IF(D490="","",VLOOKUP(D490,Courses!$A$5:$G$10,3,FALSE))</f>
        <v/>
      </c>
      <c r="G490" s="4"/>
      <c r="H490" s="4"/>
      <c r="I490" s="4"/>
      <c r="J490" s="28"/>
      <c r="K490" s="4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4"/>
      <c r="B491" s="28"/>
      <c r="C491" s="4"/>
      <c r="D491" s="4"/>
      <c r="E491" s="3" t="str">
        <f>IF(D491="","",VLOOKUP(D491,Courses!$A$5:$G$10,2,FALSE))</f>
        <v/>
      </c>
      <c r="F491" s="32" t="str">
        <f>IF(D491="","",VLOOKUP(D491,Courses!$A$5:$G$10,3,FALSE))</f>
        <v/>
      </c>
      <c r="G491" s="4"/>
      <c r="H491" s="4"/>
      <c r="I491" s="4"/>
      <c r="J491" s="28"/>
      <c r="K491" s="4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4"/>
      <c r="B492" s="28"/>
      <c r="C492" s="4"/>
      <c r="D492" s="4"/>
      <c r="E492" s="3" t="str">
        <f>IF(D492="","",VLOOKUP(D492,Courses!$A$5:$G$10,2,FALSE))</f>
        <v/>
      </c>
      <c r="F492" s="32" t="str">
        <f>IF(D492="","",VLOOKUP(D492,Courses!$A$5:$G$10,3,FALSE))</f>
        <v/>
      </c>
      <c r="G492" s="4"/>
      <c r="H492" s="4"/>
      <c r="I492" s="4"/>
      <c r="J492" s="28"/>
      <c r="K492" s="4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4"/>
      <c r="B493" s="28"/>
      <c r="C493" s="4"/>
      <c r="D493" s="4"/>
      <c r="E493" s="3" t="str">
        <f>IF(D493="","",VLOOKUP(D493,Courses!$A$5:$G$10,2,FALSE))</f>
        <v/>
      </c>
      <c r="F493" s="32" t="str">
        <f>IF(D493="","",VLOOKUP(D493,Courses!$A$5:$G$10,3,FALSE))</f>
        <v/>
      </c>
      <c r="G493" s="4"/>
      <c r="H493" s="4"/>
      <c r="I493" s="4"/>
      <c r="J493" s="28"/>
      <c r="K493" s="4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4"/>
      <c r="B494" s="28"/>
      <c r="C494" s="4"/>
      <c r="D494" s="4"/>
      <c r="E494" s="3" t="str">
        <f>IF(D494="","",VLOOKUP(D494,Courses!$A$5:$G$10,2,FALSE))</f>
        <v/>
      </c>
      <c r="F494" s="32" t="str">
        <f>IF(D494="","",VLOOKUP(D494,Courses!$A$5:$G$10,3,FALSE))</f>
        <v/>
      </c>
      <c r="G494" s="4"/>
      <c r="H494" s="4"/>
      <c r="I494" s="4"/>
      <c r="J494" s="28"/>
      <c r="K494" s="4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4"/>
      <c r="B495" s="28"/>
      <c r="C495" s="4"/>
      <c r="D495" s="4"/>
      <c r="E495" s="3" t="str">
        <f>IF(D495="","",VLOOKUP(D495,Courses!$A$5:$G$10,2,FALSE))</f>
        <v/>
      </c>
      <c r="F495" s="32" t="str">
        <f>IF(D495="","",VLOOKUP(D495,Courses!$A$5:$G$10,3,FALSE))</f>
        <v/>
      </c>
      <c r="G495" s="4"/>
      <c r="H495" s="4"/>
      <c r="I495" s="4"/>
      <c r="J495" s="28"/>
      <c r="K495" s="4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4"/>
      <c r="B496" s="28"/>
      <c r="C496" s="4"/>
      <c r="D496" s="4"/>
      <c r="E496" s="3" t="str">
        <f>IF(D496="","",VLOOKUP(D496,Courses!$A$5:$G$10,2,FALSE))</f>
        <v/>
      </c>
      <c r="F496" s="32" t="str">
        <f>IF(D496="","",VLOOKUP(D496,Courses!$A$5:$G$10,3,FALSE))</f>
        <v/>
      </c>
      <c r="G496" s="4"/>
      <c r="H496" s="4"/>
      <c r="I496" s="4"/>
      <c r="J496" s="28"/>
      <c r="K496" s="4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4"/>
      <c r="B497" s="28"/>
      <c r="C497" s="4"/>
      <c r="D497" s="4"/>
      <c r="E497" s="3" t="str">
        <f>IF(D497="","",VLOOKUP(D497,Courses!$A$5:$G$10,2,FALSE))</f>
        <v/>
      </c>
      <c r="F497" s="32" t="str">
        <f>IF(D497="","",VLOOKUP(D497,Courses!$A$5:$G$10,3,FALSE))</f>
        <v/>
      </c>
      <c r="G497" s="4"/>
      <c r="H497" s="4"/>
      <c r="I497" s="4"/>
      <c r="J497" s="28"/>
      <c r="K497" s="4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4"/>
      <c r="B498" s="28"/>
      <c r="C498" s="4"/>
      <c r="D498" s="4"/>
      <c r="E498" s="3" t="str">
        <f>IF(D498="","",VLOOKUP(D498,Courses!$A$5:$G$10,2,FALSE))</f>
        <v/>
      </c>
      <c r="F498" s="32" t="str">
        <f>IF(D498="","",VLOOKUP(D498,Courses!$A$5:$G$10,3,FALSE))</f>
        <v/>
      </c>
      <c r="G498" s="4"/>
      <c r="H498" s="4"/>
      <c r="I498" s="4"/>
      <c r="J498" s="28"/>
      <c r="K498" s="4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4"/>
      <c r="B499" s="28"/>
      <c r="C499" s="4"/>
      <c r="D499" s="4"/>
      <c r="E499" s="3" t="str">
        <f>IF(D499="","",VLOOKUP(D499,Courses!$A$5:$G$10,2,FALSE))</f>
        <v/>
      </c>
      <c r="F499" s="32" t="str">
        <f>IF(D499="","",VLOOKUP(D499,Courses!$A$5:$G$10,3,FALSE))</f>
        <v/>
      </c>
      <c r="G499" s="4"/>
      <c r="H499" s="4"/>
      <c r="I499" s="4"/>
      <c r="J499" s="28"/>
      <c r="K499" s="4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4"/>
      <c r="B500" s="28"/>
      <c r="C500" s="4"/>
      <c r="D500" s="4"/>
      <c r="E500" s="3" t="str">
        <f>IF(D500="","",VLOOKUP(D500,Courses!$A$5:$G$10,2,FALSE))</f>
        <v/>
      </c>
      <c r="F500" s="32" t="str">
        <f>IF(D500="","",VLOOKUP(D500,Courses!$A$5:$G$10,3,FALSE))</f>
        <v/>
      </c>
      <c r="G500" s="4"/>
      <c r="H500" s="4"/>
      <c r="I500" s="4"/>
      <c r="J500" s="28"/>
      <c r="K500" s="4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4"/>
      <c r="B501" s="28"/>
      <c r="C501" s="4"/>
      <c r="D501" s="4"/>
      <c r="E501" s="3" t="str">
        <f>IF(D501="","",VLOOKUP(D501,Courses!$A$5:$G$10,2,FALSE))</f>
        <v/>
      </c>
      <c r="F501" s="32" t="str">
        <f>IF(D501="","",VLOOKUP(D501,Courses!$A$5:$G$10,3,FALSE))</f>
        <v/>
      </c>
      <c r="G501" s="4"/>
      <c r="H501" s="4"/>
      <c r="I501" s="4"/>
      <c r="J501" s="28"/>
      <c r="K501" s="4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4"/>
      <c r="B502" s="28"/>
      <c r="C502" s="4"/>
      <c r="D502" s="4"/>
      <c r="E502" s="3" t="str">
        <f>IF(D502="","",VLOOKUP(D502,Courses!$A$5:$G$10,2,FALSE))</f>
        <v/>
      </c>
      <c r="F502" s="32" t="str">
        <f>IF(D502="","",VLOOKUP(D502,Courses!$A$5:$G$10,3,FALSE))</f>
        <v/>
      </c>
      <c r="G502" s="4"/>
      <c r="H502" s="4"/>
      <c r="I502" s="4"/>
      <c r="J502" s="28"/>
      <c r="K502" s="4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4"/>
      <c r="B503" s="28"/>
      <c r="C503" s="4"/>
      <c r="D503" s="4"/>
      <c r="E503" s="3" t="str">
        <f>IF(D503="","",VLOOKUP(D503,Courses!$A$5:$G$10,2,FALSE))</f>
        <v/>
      </c>
      <c r="F503" s="32" t="str">
        <f>IF(D503="","",VLOOKUP(D503,Courses!$A$5:$G$10,3,FALSE))</f>
        <v/>
      </c>
      <c r="G503" s="4"/>
      <c r="H503" s="4"/>
      <c r="I503" s="4"/>
      <c r="J503" s="28"/>
      <c r="K503" s="4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3"/>
      <c r="B504" s="29"/>
      <c r="C504" s="13"/>
      <c r="D504" s="13"/>
      <c r="E504" s="10" t="str">
        <f>IF(D504="","",VLOOKUP(D504,Courses!$A$5:$G$10,2,FALSE))</f>
        <v/>
      </c>
      <c r="F504" s="35" t="str">
        <f>IF(D504="","",VLOOKUP(D504,Courses!$A$5:$G$10,3,FALSE))</f>
        <v/>
      </c>
      <c r="G504" s="13"/>
      <c r="H504" s="13"/>
      <c r="I504" s="13"/>
      <c r="J504" s="29"/>
      <c r="K504" s="1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2">
    <mergeCell ref="A1:K1"/>
    <mergeCell ref="A2:K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Courses!$A$5:$A$10</xm:f>
          </x14:formula1>
          <xm:sqref>D5:D504</xm:sqref>
        </x14:dataValidation>
        <x14:dataValidation type="list" xr:uid="{00000000-0002-0000-0200-000001000000}">
          <x14:formula1>
            <xm:f>Lists!$C$5:$C$8</xm:f>
          </x14:formula1>
          <xm:sqref>G5:G504</xm:sqref>
        </x14:dataValidation>
        <x14:dataValidation type="list" xr:uid="{00000000-0002-0000-0200-000002000000}">
          <x14:formula1>
            <xm:f>Lists!$D$5:$D$7</xm:f>
          </x14:formula1>
          <xm:sqref>I5:I504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00"/>
  <sheetViews>
    <sheetView showGridLines="0" workbookViewId="0">
      <selection sqref="A1:G1"/>
    </sheetView>
  </sheetViews>
  <sheetFormatPr defaultRowHeight="14.25"/>
  <cols>
    <col min="1" max="1" width="15" customWidth="1"/>
    <col min="2" max="2" width="27" customWidth="1"/>
    <col min="3" max="4" width="14" customWidth="1"/>
    <col min="5" max="5" width="29" customWidth="1"/>
    <col min="6" max="6" width="24" customWidth="1"/>
    <col min="7" max="7" width="22" customWidth="1"/>
  </cols>
  <sheetData>
    <row r="1" spans="1:26" ht="24.95" customHeight="1">
      <c r="A1" s="42" t="s">
        <v>54</v>
      </c>
      <c r="B1" s="43"/>
      <c r="C1" s="43"/>
      <c r="D1" s="43"/>
      <c r="E1" s="43"/>
      <c r="F1" s="43"/>
      <c r="G1" s="4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95" customHeight="1">
      <c r="A2" s="44" t="s">
        <v>55</v>
      </c>
      <c r="B2" s="43"/>
      <c r="C2" s="43"/>
      <c r="D2" s="43"/>
      <c r="E2" s="43"/>
      <c r="F2" s="43"/>
      <c r="G2" s="4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2"/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38" t="s">
        <v>47</v>
      </c>
      <c r="B4" s="38" t="s">
        <v>48</v>
      </c>
      <c r="C4" s="38" t="s">
        <v>56</v>
      </c>
      <c r="D4" s="38" t="s">
        <v>57</v>
      </c>
      <c r="E4" s="38" t="s">
        <v>58</v>
      </c>
      <c r="F4" s="38" t="s">
        <v>12</v>
      </c>
      <c r="G4" s="38" t="s">
        <v>59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>
      <c r="A5" s="4" t="s">
        <v>60</v>
      </c>
      <c r="B5" s="4" t="s">
        <v>61</v>
      </c>
      <c r="C5" s="30">
        <v>699</v>
      </c>
      <c r="D5" s="4">
        <v>8</v>
      </c>
      <c r="E5" s="4" t="s">
        <v>62</v>
      </c>
      <c r="F5" s="31">
        <v>0.7</v>
      </c>
      <c r="G5" s="32">
        <f t="shared" ref="G5:G10" si="0">C5*F5</f>
        <v>489.29999999999995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 t="s">
        <v>63</v>
      </c>
      <c r="B6" s="4" t="s">
        <v>64</v>
      </c>
      <c r="C6" s="30">
        <v>1499</v>
      </c>
      <c r="D6" s="4">
        <v>2</v>
      </c>
      <c r="E6" s="4" t="s">
        <v>65</v>
      </c>
      <c r="F6" s="31">
        <v>0.7</v>
      </c>
      <c r="G6" s="32">
        <f t="shared" si="0"/>
        <v>1049.3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 t="s">
        <v>66</v>
      </c>
      <c r="B7" s="4" t="s">
        <v>67</v>
      </c>
      <c r="C7" s="30">
        <v>2599</v>
      </c>
      <c r="D7" s="4">
        <v>2</v>
      </c>
      <c r="E7" s="4" t="s">
        <v>68</v>
      </c>
      <c r="F7" s="31">
        <v>0.7</v>
      </c>
      <c r="G7" s="32">
        <f t="shared" si="0"/>
        <v>1819.3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69</v>
      </c>
      <c r="B8" s="4" t="s">
        <v>70</v>
      </c>
      <c r="C8" s="30">
        <v>4999</v>
      </c>
      <c r="D8" s="4">
        <v>4</v>
      </c>
      <c r="E8" s="4" t="s">
        <v>71</v>
      </c>
      <c r="F8" s="31">
        <v>0.7</v>
      </c>
      <c r="G8" s="32">
        <f t="shared" si="0"/>
        <v>3499.2999999999997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 t="s">
        <v>72</v>
      </c>
      <c r="B9" s="4" t="s">
        <v>73</v>
      </c>
      <c r="C9" s="30">
        <v>7499</v>
      </c>
      <c r="D9" s="4">
        <v>6</v>
      </c>
      <c r="E9" s="4" t="s">
        <v>74</v>
      </c>
      <c r="F9" s="31">
        <v>0.7</v>
      </c>
      <c r="G9" s="32">
        <f t="shared" si="0"/>
        <v>5249.2999999999993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3" t="s">
        <v>75</v>
      </c>
      <c r="B10" s="13" t="s">
        <v>76</v>
      </c>
      <c r="C10" s="33">
        <v>9999</v>
      </c>
      <c r="D10" s="13">
        <v>3</v>
      </c>
      <c r="E10" s="13" t="s">
        <v>77</v>
      </c>
      <c r="F10" s="34">
        <v>0.7</v>
      </c>
      <c r="G10" s="35">
        <f t="shared" si="0"/>
        <v>6999.2999999999993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00"/>
  <sheetViews>
    <sheetView showGridLines="0" workbookViewId="0">
      <pane ySplit="4" topLeftCell="A5" activePane="bottomLeft" state="frozen"/>
      <selection pane="bottomLeft" activeCell="C5" sqref="C5"/>
    </sheetView>
  </sheetViews>
  <sheetFormatPr defaultRowHeight="14.25"/>
  <cols>
    <col min="1" max="1" width="15" customWidth="1"/>
    <col min="2" max="2" width="26" customWidth="1"/>
    <col min="3" max="3" width="14" customWidth="1"/>
    <col min="4" max="4" width="15" customWidth="1"/>
    <col min="5" max="5" width="14" customWidth="1"/>
    <col min="6" max="6" width="26" customWidth="1"/>
    <col min="7" max="8" width="15" customWidth="1"/>
    <col min="9" max="9" width="21" customWidth="1"/>
    <col min="10" max="10" width="17" customWidth="1"/>
    <col min="11" max="12" width="18" customWidth="1"/>
    <col min="13" max="13" width="28" customWidth="1"/>
  </cols>
  <sheetData>
    <row r="1" spans="1:26" ht="24.95" customHeight="1">
      <c r="A1" s="42" t="s">
        <v>78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95" customHeight="1">
      <c r="A2" s="44" t="s">
        <v>79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38" t="s">
        <v>80</v>
      </c>
      <c r="B4" s="38" t="s">
        <v>81</v>
      </c>
      <c r="C4" s="38" t="s">
        <v>82</v>
      </c>
      <c r="D4" s="38" t="s">
        <v>34</v>
      </c>
      <c r="E4" s="38" t="s">
        <v>47</v>
      </c>
      <c r="F4" s="38" t="s">
        <v>48</v>
      </c>
      <c r="G4" s="38" t="s">
        <v>49</v>
      </c>
      <c r="H4" s="38" t="s">
        <v>50</v>
      </c>
      <c r="I4" s="38" t="s">
        <v>83</v>
      </c>
      <c r="J4" s="38" t="s">
        <v>84</v>
      </c>
      <c r="K4" s="38" t="s">
        <v>85</v>
      </c>
      <c r="L4" s="38" t="s">
        <v>86</v>
      </c>
      <c r="M4" s="38" t="s">
        <v>42</v>
      </c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>
      <c r="A5" s="4" t="s">
        <v>138</v>
      </c>
      <c r="B5" s="4" t="s">
        <v>139</v>
      </c>
      <c r="C5" s="28">
        <v>46322</v>
      </c>
      <c r="D5" s="4" t="s">
        <v>134</v>
      </c>
      <c r="E5" s="4" t="s">
        <v>75</v>
      </c>
      <c r="F5" s="3" t="str">
        <f>IF(E5="","",VLOOKUP(E5,Courses!$A$5:$G$10,2,FALSE))</f>
        <v>Finance Package</v>
      </c>
      <c r="G5" s="32">
        <f>IF(E5="","",VLOOKUP(E5,Courses!$A$5:$G$10,3,FALSE))</f>
        <v>9999</v>
      </c>
      <c r="H5" s="4" t="s">
        <v>120</v>
      </c>
      <c r="I5" s="4" t="s">
        <v>140</v>
      </c>
      <c r="J5" s="36">
        <f>IF(I5="","",VLOOKUP(E5,Courses!$A$5:$G$10,6,FALSE))</f>
        <v>0.7</v>
      </c>
      <c r="K5" s="32">
        <f t="shared" ref="K5:K68" si="0">IF(AND(H5="Paid",I5&lt;&gt;""),G5*J5,0)</f>
        <v>6999.2999999999993</v>
      </c>
      <c r="L5" s="4" t="s">
        <v>122</v>
      </c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/>
      <c r="B6" s="4"/>
      <c r="C6" s="28"/>
      <c r="D6" s="4"/>
      <c r="E6" s="4"/>
      <c r="F6" s="3" t="str">
        <f>IF(E6="","",VLOOKUP(E6,Courses!$A$5:$G$10,2,FALSE))</f>
        <v/>
      </c>
      <c r="G6" s="32" t="str">
        <f>IF(E6="","",VLOOKUP(E6,Courses!$A$5:$G$10,3,FALSE))</f>
        <v/>
      </c>
      <c r="H6" s="4"/>
      <c r="I6" s="4"/>
      <c r="J6" s="36" t="str">
        <f>IF(I6="","",VLOOKUP(E6,Courses!$A$5:$G$10,6,FALSE))</f>
        <v/>
      </c>
      <c r="K6" s="32">
        <f t="shared" si="0"/>
        <v>0</v>
      </c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/>
      <c r="B7" s="4"/>
      <c r="C7" s="28"/>
      <c r="D7" s="4"/>
      <c r="E7" s="4"/>
      <c r="F7" s="3" t="str">
        <f>IF(E7="","",VLOOKUP(E7,Courses!$A$5:$G$10,2,FALSE))</f>
        <v/>
      </c>
      <c r="G7" s="32" t="str">
        <f>IF(E7="","",VLOOKUP(E7,Courses!$A$5:$G$10,3,FALSE))</f>
        <v/>
      </c>
      <c r="H7" s="4"/>
      <c r="I7" s="4"/>
      <c r="J7" s="36" t="str">
        <f>IF(I7="","",VLOOKUP(E7,Courses!$A$5:$G$10,6,FALSE))</f>
        <v/>
      </c>
      <c r="K7" s="32">
        <f t="shared" si="0"/>
        <v>0</v>
      </c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/>
      <c r="B8" s="4"/>
      <c r="C8" s="28"/>
      <c r="D8" s="4"/>
      <c r="E8" s="4"/>
      <c r="F8" s="3" t="str">
        <f>IF(E8="","",VLOOKUP(E8,Courses!$A$5:$G$10,2,FALSE))</f>
        <v/>
      </c>
      <c r="G8" s="32" t="str">
        <f>IF(E8="","",VLOOKUP(E8,Courses!$A$5:$G$10,3,FALSE))</f>
        <v/>
      </c>
      <c r="H8" s="4"/>
      <c r="I8" s="4"/>
      <c r="J8" s="36" t="str">
        <f>IF(I8="","",VLOOKUP(E8,Courses!$A$5:$G$10,6,FALSE))</f>
        <v/>
      </c>
      <c r="K8" s="32">
        <f t="shared" si="0"/>
        <v>0</v>
      </c>
      <c r="L8" s="4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4"/>
      <c r="C9" s="28"/>
      <c r="D9" s="4"/>
      <c r="E9" s="4"/>
      <c r="F9" s="3" t="str">
        <f>IF(E9="","",VLOOKUP(E9,Courses!$A$5:$G$10,2,FALSE))</f>
        <v/>
      </c>
      <c r="G9" s="32" t="str">
        <f>IF(E9="","",VLOOKUP(E9,Courses!$A$5:$G$10,3,FALSE))</f>
        <v/>
      </c>
      <c r="H9" s="4"/>
      <c r="I9" s="4"/>
      <c r="J9" s="36" t="str">
        <f>IF(I9="","",VLOOKUP(E9,Courses!$A$5:$G$10,6,FALSE))</f>
        <v/>
      </c>
      <c r="K9" s="32">
        <f t="shared" si="0"/>
        <v>0</v>
      </c>
      <c r="L9" s="4"/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4"/>
      <c r="C10" s="28"/>
      <c r="D10" s="4"/>
      <c r="E10" s="4"/>
      <c r="F10" s="3" t="str">
        <f>IF(E10="","",VLOOKUP(E10,Courses!$A$5:$G$10,2,FALSE))</f>
        <v/>
      </c>
      <c r="G10" s="32" t="str">
        <f>IF(E10="","",VLOOKUP(E10,Courses!$A$5:$G$10,3,FALSE))</f>
        <v/>
      </c>
      <c r="H10" s="4"/>
      <c r="I10" s="4"/>
      <c r="J10" s="36" t="str">
        <f>IF(I10="","",VLOOKUP(E10,Courses!$A$5:$G$10,6,FALSE))</f>
        <v/>
      </c>
      <c r="K10" s="32">
        <f t="shared" si="0"/>
        <v>0</v>
      </c>
      <c r="L10" s="4"/>
      <c r="M10" s="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28"/>
      <c r="D11" s="4"/>
      <c r="E11" s="4"/>
      <c r="F11" s="3" t="str">
        <f>IF(E11="","",VLOOKUP(E11,Courses!$A$5:$G$10,2,FALSE))</f>
        <v/>
      </c>
      <c r="G11" s="32" t="str">
        <f>IF(E11="","",VLOOKUP(E11,Courses!$A$5:$G$10,3,FALSE))</f>
        <v/>
      </c>
      <c r="H11" s="4"/>
      <c r="I11" s="4"/>
      <c r="J11" s="36" t="str">
        <f>IF(I11="","",VLOOKUP(E11,Courses!$A$5:$G$10,6,FALSE))</f>
        <v/>
      </c>
      <c r="K11" s="32">
        <f t="shared" si="0"/>
        <v>0</v>
      </c>
      <c r="L11" s="4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28"/>
      <c r="D12" s="4"/>
      <c r="E12" s="4"/>
      <c r="F12" s="3" t="str">
        <f>IF(E12="","",VLOOKUP(E12,Courses!$A$5:$G$10,2,FALSE))</f>
        <v/>
      </c>
      <c r="G12" s="32" t="str">
        <f>IF(E12="","",VLOOKUP(E12,Courses!$A$5:$G$10,3,FALSE))</f>
        <v/>
      </c>
      <c r="H12" s="4"/>
      <c r="I12" s="4"/>
      <c r="J12" s="36" t="str">
        <f>IF(I12="","",VLOOKUP(E12,Courses!$A$5:$G$10,6,FALSE))</f>
        <v/>
      </c>
      <c r="K12" s="32">
        <f t="shared" si="0"/>
        <v>0</v>
      </c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28"/>
      <c r="D13" s="4"/>
      <c r="E13" s="4"/>
      <c r="F13" s="3" t="str">
        <f>IF(E13="","",VLOOKUP(E13,Courses!$A$5:$G$10,2,FALSE))</f>
        <v/>
      </c>
      <c r="G13" s="32" t="str">
        <f>IF(E13="","",VLOOKUP(E13,Courses!$A$5:$G$10,3,FALSE))</f>
        <v/>
      </c>
      <c r="H13" s="4"/>
      <c r="I13" s="4"/>
      <c r="J13" s="36" t="str">
        <f>IF(I13="","",VLOOKUP(E13,Courses!$A$5:$G$10,6,FALSE))</f>
        <v/>
      </c>
      <c r="K13" s="32">
        <f t="shared" si="0"/>
        <v>0</v>
      </c>
      <c r="L13" s="4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28"/>
      <c r="D14" s="4"/>
      <c r="E14" s="4"/>
      <c r="F14" s="3" t="str">
        <f>IF(E14="","",VLOOKUP(E14,Courses!$A$5:$G$10,2,FALSE))</f>
        <v/>
      </c>
      <c r="G14" s="32" t="str">
        <f>IF(E14="","",VLOOKUP(E14,Courses!$A$5:$G$10,3,FALSE))</f>
        <v/>
      </c>
      <c r="H14" s="4"/>
      <c r="I14" s="4"/>
      <c r="J14" s="36" t="str">
        <f>IF(I14="","",VLOOKUP(E14,Courses!$A$5:$G$10,6,FALSE))</f>
        <v/>
      </c>
      <c r="K14" s="32">
        <f t="shared" si="0"/>
        <v>0</v>
      </c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28"/>
      <c r="D15" s="4"/>
      <c r="E15" s="4"/>
      <c r="F15" s="3" t="str">
        <f>IF(E15="","",VLOOKUP(E15,Courses!$A$5:$G$10,2,FALSE))</f>
        <v/>
      </c>
      <c r="G15" s="32" t="str">
        <f>IF(E15="","",VLOOKUP(E15,Courses!$A$5:$G$10,3,FALSE))</f>
        <v/>
      </c>
      <c r="H15" s="4"/>
      <c r="I15" s="4"/>
      <c r="J15" s="36" t="str">
        <f>IF(I15="","",VLOOKUP(E15,Courses!$A$5:$G$10,6,FALSE))</f>
        <v/>
      </c>
      <c r="K15" s="32">
        <f t="shared" si="0"/>
        <v>0</v>
      </c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28"/>
      <c r="D16" s="4"/>
      <c r="E16" s="4"/>
      <c r="F16" s="3" t="str">
        <f>IF(E16="","",VLOOKUP(E16,Courses!$A$5:$G$10,2,FALSE))</f>
        <v/>
      </c>
      <c r="G16" s="32" t="str">
        <f>IF(E16="","",VLOOKUP(E16,Courses!$A$5:$G$10,3,FALSE))</f>
        <v/>
      </c>
      <c r="H16" s="4"/>
      <c r="I16" s="4"/>
      <c r="J16" s="36" t="str">
        <f>IF(I16="","",VLOOKUP(E16,Courses!$A$5:$G$10,6,FALSE))</f>
        <v/>
      </c>
      <c r="K16" s="32">
        <f t="shared" si="0"/>
        <v>0</v>
      </c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28"/>
      <c r="D17" s="4"/>
      <c r="E17" s="4"/>
      <c r="F17" s="3" t="str">
        <f>IF(E17="","",VLOOKUP(E17,Courses!$A$5:$G$10,2,FALSE))</f>
        <v/>
      </c>
      <c r="G17" s="32" t="str">
        <f>IF(E17="","",VLOOKUP(E17,Courses!$A$5:$G$10,3,FALSE))</f>
        <v/>
      </c>
      <c r="H17" s="4"/>
      <c r="I17" s="4"/>
      <c r="J17" s="36" t="str">
        <f>IF(I17="","",VLOOKUP(E17,Courses!$A$5:$G$10,6,FALSE))</f>
        <v/>
      </c>
      <c r="K17" s="32">
        <f t="shared" si="0"/>
        <v>0</v>
      </c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28"/>
      <c r="D18" s="4"/>
      <c r="E18" s="4"/>
      <c r="F18" s="3" t="str">
        <f>IF(E18="","",VLOOKUP(E18,Courses!$A$5:$G$10,2,FALSE))</f>
        <v/>
      </c>
      <c r="G18" s="32" t="str">
        <f>IF(E18="","",VLOOKUP(E18,Courses!$A$5:$G$10,3,FALSE))</f>
        <v/>
      </c>
      <c r="H18" s="4"/>
      <c r="I18" s="4"/>
      <c r="J18" s="36" t="str">
        <f>IF(I18="","",VLOOKUP(E18,Courses!$A$5:$G$10,6,FALSE))</f>
        <v/>
      </c>
      <c r="K18" s="32">
        <f t="shared" si="0"/>
        <v>0</v>
      </c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28"/>
      <c r="D19" s="4"/>
      <c r="E19" s="4"/>
      <c r="F19" s="3" t="str">
        <f>IF(E19="","",VLOOKUP(E19,Courses!$A$5:$G$10,2,FALSE))</f>
        <v/>
      </c>
      <c r="G19" s="32" t="str">
        <f>IF(E19="","",VLOOKUP(E19,Courses!$A$5:$G$10,3,FALSE))</f>
        <v/>
      </c>
      <c r="H19" s="4"/>
      <c r="I19" s="4"/>
      <c r="J19" s="36" t="str">
        <f>IF(I19="","",VLOOKUP(E19,Courses!$A$5:$G$10,6,FALSE))</f>
        <v/>
      </c>
      <c r="K19" s="32">
        <f t="shared" si="0"/>
        <v>0</v>
      </c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28"/>
      <c r="D20" s="4"/>
      <c r="E20" s="4"/>
      <c r="F20" s="3" t="str">
        <f>IF(E20="","",VLOOKUP(E20,Courses!$A$5:$G$10,2,FALSE))</f>
        <v/>
      </c>
      <c r="G20" s="32" t="str">
        <f>IF(E20="","",VLOOKUP(E20,Courses!$A$5:$G$10,3,FALSE))</f>
        <v/>
      </c>
      <c r="H20" s="4"/>
      <c r="I20" s="4"/>
      <c r="J20" s="36" t="str">
        <f>IF(I20="","",VLOOKUP(E20,Courses!$A$5:$G$10,6,FALSE))</f>
        <v/>
      </c>
      <c r="K20" s="32">
        <f t="shared" si="0"/>
        <v>0</v>
      </c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28"/>
      <c r="D21" s="4"/>
      <c r="E21" s="4"/>
      <c r="F21" s="3" t="str">
        <f>IF(E21="","",VLOOKUP(E21,Courses!$A$5:$G$10,2,FALSE))</f>
        <v/>
      </c>
      <c r="G21" s="32" t="str">
        <f>IF(E21="","",VLOOKUP(E21,Courses!$A$5:$G$10,3,FALSE))</f>
        <v/>
      </c>
      <c r="H21" s="4"/>
      <c r="I21" s="4"/>
      <c r="J21" s="36" t="str">
        <f>IF(I21="","",VLOOKUP(E21,Courses!$A$5:$G$10,6,FALSE))</f>
        <v/>
      </c>
      <c r="K21" s="32">
        <f t="shared" si="0"/>
        <v>0</v>
      </c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28"/>
      <c r="D22" s="4"/>
      <c r="E22" s="4"/>
      <c r="F22" s="3" t="str">
        <f>IF(E22="","",VLOOKUP(E22,Courses!$A$5:$G$10,2,FALSE))</f>
        <v/>
      </c>
      <c r="G22" s="32" t="str">
        <f>IF(E22="","",VLOOKUP(E22,Courses!$A$5:$G$10,3,FALSE))</f>
        <v/>
      </c>
      <c r="H22" s="4"/>
      <c r="I22" s="4"/>
      <c r="J22" s="36" t="str">
        <f>IF(I22="","",VLOOKUP(E22,Courses!$A$5:$G$10,6,FALSE))</f>
        <v/>
      </c>
      <c r="K22" s="32">
        <f t="shared" si="0"/>
        <v>0</v>
      </c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28"/>
      <c r="D23" s="4"/>
      <c r="E23" s="4"/>
      <c r="F23" s="3" t="str">
        <f>IF(E23="","",VLOOKUP(E23,Courses!$A$5:$G$10,2,FALSE))</f>
        <v/>
      </c>
      <c r="G23" s="32" t="str">
        <f>IF(E23="","",VLOOKUP(E23,Courses!$A$5:$G$10,3,FALSE))</f>
        <v/>
      </c>
      <c r="H23" s="4"/>
      <c r="I23" s="4"/>
      <c r="J23" s="36" t="str">
        <f>IF(I23="","",VLOOKUP(E23,Courses!$A$5:$G$10,6,FALSE))</f>
        <v/>
      </c>
      <c r="K23" s="32">
        <f t="shared" si="0"/>
        <v>0</v>
      </c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28"/>
      <c r="D24" s="4"/>
      <c r="E24" s="4"/>
      <c r="F24" s="3" t="str">
        <f>IF(E24="","",VLOOKUP(E24,Courses!$A$5:$G$10,2,FALSE))</f>
        <v/>
      </c>
      <c r="G24" s="32" t="str">
        <f>IF(E24="","",VLOOKUP(E24,Courses!$A$5:$G$10,3,FALSE))</f>
        <v/>
      </c>
      <c r="H24" s="4"/>
      <c r="I24" s="4"/>
      <c r="J24" s="36" t="str">
        <f>IF(I24="","",VLOOKUP(E24,Courses!$A$5:$G$10,6,FALSE))</f>
        <v/>
      </c>
      <c r="K24" s="32">
        <f t="shared" si="0"/>
        <v>0</v>
      </c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28"/>
      <c r="D25" s="4"/>
      <c r="E25" s="4"/>
      <c r="F25" s="3" t="str">
        <f>IF(E25="","",VLOOKUP(E25,Courses!$A$5:$G$10,2,FALSE))</f>
        <v/>
      </c>
      <c r="G25" s="32" t="str">
        <f>IF(E25="","",VLOOKUP(E25,Courses!$A$5:$G$10,3,FALSE))</f>
        <v/>
      </c>
      <c r="H25" s="4"/>
      <c r="I25" s="4"/>
      <c r="J25" s="36" t="str">
        <f>IF(I25="","",VLOOKUP(E25,Courses!$A$5:$G$10,6,FALSE))</f>
        <v/>
      </c>
      <c r="K25" s="32">
        <f t="shared" si="0"/>
        <v>0</v>
      </c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28"/>
      <c r="D26" s="4"/>
      <c r="E26" s="4"/>
      <c r="F26" s="3" t="str">
        <f>IF(E26="","",VLOOKUP(E26,Courses!$A$5:$G$10,2,FALSE))</f>
        <v/>
      </c>
      <c r="G26" s="32" t="str">
        <f>IF(E26="","",VLOOKUP(E26,Courses!$A$5:$G$10,3,FALSE))</f>
        <v/>
      </c>
      <c r="H26" s="4"/>
      <c r="I26" s="4"/>
      <c r="J26" s="36" t="str">
        <f>IF(I26="","",VLOOKUP(E26,Courses!$A$5:$G$10,6,FALSE))</f>
        <v/>
      </c>
      <c r="K26" s="32">
        <f t="shared" si="0"/>
        <v>0</v>
      </c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/>
      <c r="B27" s="4"/>
      <c r="C27" s="28"/>
      <c r="D27" s="4"/>
      <c r="E27" s="4"/>
      <c r="F27" s="3" t="str">
        <f>IF(E27="","",VLOOKUP(E27,Courses!$A$5:$G$10,2,FALSE))</f>
        <v/>
      </c>
      <c r="G27" s="32" t="str">
        <f>IF(E27="","",VLOOKUP(E27,Courses!$A$5:$G$10,3,FALSE))</f>
        <v/>
      </c>
      <c r="H27" s="4"/>
      <c r="I27" s="4"/>
      <c r="J27" s="36" t="str">
        <f>IF(I27="","",VLOOKUP(E27,Courses!$A$5:$G$10,6,FALSE))</f>
        <v/>
      </c>
      <c r="K27" s="32">
        <f t="shared" si="0"/>
        <v>0</v>
      </c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/>
      <c r="B28" s="4"/>
      <c r="C28" s="28"/>
      <c r="D28" s="4"/>
      <c r="E28" s="4"/>
      <c r="F28" s="3" t="str">
        <f>IF(E28="","",VLOOKUP(E28,Courses!$A$5:$G$10,2,FALSE))</f>
        <v/>
      </c>
      <c r="G28" s="32" t="str">
        <f>IF(E28="","",VLOOKUP(E28,Courses!$A$5:$G$10,3,FALSE))</f>
        <v/>
      </c>
      <c r="H28" s="4"/>
      <c r="I28" s="4"/>
      <c r="J28" s="36" t="str">
        <f>IF(I28="","",VLOOKUP(E28,Courses!$A$5:$G$10,6,FALSE))</f>
        <v/>
      </c>
      <c r="K28" s="32">
        <f t="shared" si="0"/>
        <v>0</v>
      </c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"/>
      <c r="B29" s="4"/>
      <c r="C29" s="28"/>
      <c r="D29" s="4"/>
      <c r="E29" s="4"/>
      <c r="F29" s="3" t="str">
        <f>IF(E29="","",VLOOKUP(E29,Courses!$A$5:$G$10,2,FALSE))</f>
        <v/>
      </c>
      <c r="G29" s="32" t="str">
        <f>IF(E29="","",VLOOKUP(E29,Courses!$A$5:$G$10,3,FALSE))</f>
        <v/>
      </c>
      <c r="H29" s="4"/>
      <c r="I29" s="4"/>
      <c r="J29" s="36" t="str">
        <f>IF(I29="","",VLOOKUP(E29,Courses!$A$5:$G$10,6,FALSE))</f>
        <v/>
      </c>
      <c r="K29" s="32">
        <f t="shared" si="0"/>
        <v>0</v>
      </c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"/>
      <c r="B30" s="4"/>
      <c r="C30" s="28"/>
      <c r="D30" s="4"/>
      <c r="E30" s="4"/>
      <c r="F30" s="3" t="str">
        <f>IF(E30="","",VLOOKUP(E30,Courses!$A$5:$G$10,2,FALSE))</f>
        <v/>
      </c>
      <c r="G30" s="32" t="str">
        <f>IF(E30="","",VLOOKUP(E30,Courses!$A$5:$G$10,3,FALSE))</f>
        <v/>
      </c>
      <c r="H30" s="4"/>
      <c r="I30" s="4"/>
      <c r="J30" s="36" t="str">
        <f>IF(I30="","",VLOOKUP(E30,Courses!$A$5:$G$10,6,FALSE))</f>
        <v/>
      </c>
      <c r="K30" s="32">
        <f t="shared" si="0"/>
        <v>0</v>
      </c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4"/>
      <c r="B31" s="4"/>
      <c r="C31" s="28"/>
      <c r="D31" s="4"/>
      <c r="E31" s="4"/>
      <c r="F31" s="3" t="str">
        <f>IF(E31="","",VLOOKUP(E31,Courses!$A$5:$G$10,2,FALSE))</f>
        <v/>
      </c>
      <c r="G31" s="32" t="str">
        <f>IF(E31="","",VLOOKUP(E31,Courses!$A$5:$G$10,3,FALSE))</f>
        <v/>
      </c>
      <c r="H31" s="4"/>
      <c r="I31" s="4"/>
      <c r="J31" s="36" t="str">
        <f>IF(I31="","",VLOOKUP(E31,Courses!$A$5:$G$10,6,FALSE))</f>
        <v/>
      </c>
      <c r="K31" s="32">
        <f t="shared" si="0"/>
        <v>0</v>
      </c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4"/>
      <c r="B32" s="4"/>
      <c r="C32" s="28"/>
      <c r="D32" s="4"/>
      <c r="E32" s="4"/>
      <c r="F32" s="3" t="str">
        <f>IF(E32="","",VLOOKUP(E32,Courses!$A$5:$G$10,2,FALSE))</f>
        <v/>
      </c>
      <c r="G32" s="32" t="str">
        <f>IF(E32="","",VLOOKUP(E32,Courses!$A$5:$G$10,3,FALSE))</f>
        <v/>
      </c>
      <c r="H32" s="4"/>
      <c r="I32" s="4"/>
      <c r="J32" s="36" t="str">
        <f>IF(I32="","",VLOOKUP(E32,Courses!$A$5:$G$10,6,FALSE))</f>
        <v/>
      </c>
      <c r="K32" s="32">
        <f t="shared" si="0"/>
        <v>0</v>
      </c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"/>
      <c r="B33" s="4"/>
      <c r="C33" s="28"/>
      <c r="D33" s="4"/>
      <c r="E33" s="4"/>
      <c r="F33" s="3" t="str">
        <f>IF(E33="","",VLOOKUP(E33,Courses!$A$5:$G$10,2,FALSE))</f>
        <v/>
      </c>
      <c r="G33" s="32" t="str">
        <f>IF(E33="","",VLOOKUP(E33,Courses!$A$5:$G$10,3,FALSE))</f>
        <v/>
      </c>
      <c r="H33" s="4"/>
      <c r="I33" s="4"/>
      <c r="J33" s="36" t="str">
        <f>IF(I33="","",VLOOKUP(E33,Courses!$A$5:$G$10,6,FALSE))</f>
        <v/>
      </c>
      <c r="K33" s="32">
        <f t="shared" si="0"/>
        <v>0</v>
      </c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"/>
      <c r="B34" s="4"/>
      <c r="C34" s="28"/>
      <c r="D34" s="4"/>
      <c r="E34" s="4"/>
      <c r="F34" s="3" t="str">
        <f>IF(E34="","",VLOOKUP(E34,Courses!$A$5:$G$10,2,FALSE))</f>
        <v/>
      </c>
      <c r="G34" s="32" t="str">
        <f>IF(E34="","",VLOOKUP(E34,Courses!$A$5:$G$10,3,FALSE))</f>
        <v/>
      </c>
      <c r="H34" s="4"/>
      <c r="I34" s="4"/>
      <c r="J34" s="36" t="str">
        <f>IF(I34="","",VLOOKUP(E34,Courses!$A$5:$G$10,6,FALSE))</f>
        <v/>
      </c>
      <c r="K34" s="32">
        <f t="shared" si="0"/>
        <v>0</v>
      </c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4"/>
      <c r="B35" s="4"/>
      <c r="C35" s="28"/>
      <c r="D35" s="4"/>
      <c r="E35" s="4"/>
      <c r="F35" s="3" t="str">
        <f>IF(E35="","",VLOOKUP(E35,Courses!$A$5:$G$10,2,FALSE))</f>
        <v/>
      </c>
      <c r="G35" s="32" t="str">
        <f>IF(E35="","",VLOOKUP(E35,Courses!$A$5:$G$10,3,FALSE))</f>
        <v/>
      </c>
      <c r="H35" s="4"/>
      <c r="I35" s="4"/>
      <c r="J35" s="36" t="str">
        <f>IF(I35="","",VLOOKUP(E35,Courses!$A$5:$G$10,6,FALSE))</f>
        <v/>
      </c>
      <c r="K35" s="32">
        <f t="shared" si="0"/>
        <v>0</v>
      </c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"/>
      <c r="B36" s="4"/>
      <c r="C36" s="28"/>
      <c r="D36" s="4"/>
      <c r="E36" s="4"/>
      <c r="F36" s="3" t="str">
        <f>IF(E36="","",VLOOKUP(E36,Courses!$A$5:$G$10,2,FALSE))</f>
        <v/>
      </c>
      <c r="G36" s="32" t="str">
        <f>IF(E36="","",VLOOKUP(E36,Courses!$A$5:$G$10,3,FALSE))</f>
        <v/>
      </c>
      <c r="H36" s="4"/>
      <c r="I36" s="4"/>
      <c r="J36" s="36" t="str">
        <f>IF(I36="","",VLOOKUP(E36,Courses!$A$5:$G$10,6,FALSE))</f>
        <v/>
      </c>
      <c r="K36" s="32">
        <f t="shared" si="0"/>
        <v>0</v>
      </c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4"/>
      <c r="B37" s="4"/>
      <c r="C37" s="28"/>
      <c r="D37" s="4"/>
      <c r="E37" s="4"/>
      <c r="F37" s="3" t="str">
        <f>IF(E37="","",VLOOKUP(E37,Courses!$A$5:$G$10,2,FALSE))</f>
        <v/>
      </c>
      <c r="G37" s="32" t="str">
        <f>IF(E37="","",VLOOKUP(E37,Courses!$A$5:$G$10,3,FALSE))</f>
        <v/>
      </c>
      <c r="H37" s="4"/>
      <c r="I37" s="4"/>
      <c r="J37" s="36" t="str">
        <f>IF(I37="","",VLOOKUP(E37,Courses!$A$5:$G$10,6,FALSE))</f>
        <v/>
      </c>
      <c r="K37" s="32">
        <f t="shared" si="0"/>
        <v>0</v>
      </c>
      <c r="L37" s="4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"/>
      <c r="B38" s="4"/>
      <c r="C38" s="28"/>
      <c r="D38" s="4"/>
      <c r="E38" s="4"/>
      <c r="F38" s="3" t="str">
        <f>IF(E38="","",VLOOKUP(E38,Courses!$A$5:$G$10,2,FALSE))</f>
        <v/>
      </c>
      <c r="G38" s="32" t="str">
        <f>IF(E38="","",VLOOKUP(E38,Courses!$A$5:$G$10,3,FALSE))</f>
        <v/>
      </c>
      <c r="H38" s="4"/>
      <c r="I38" s="4"/>
      <c r="J38" s="36" t="str">
        <f>IF(I38="","",VLOOKUP(E38,Courses!$A$5:$G$10,6,FALSE))</f>
        <v/>
      </c>
      <c r="K38" s="32">
        <f t="shared" si="0"/>
        <v>0</v>
      </c>
      <c r="L38" s="4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4"/>
      <c r="B39" s="4"/>
      <c r="C39" s="28"/>
      <c r="D39" s="4"/>
      <c r="E39" s="4"/>
      <c r="F39" s="3" t="str">
        <f>IF(E39="","",VLOOKUP(E39,Courses!$A$5:$G$10,2,FALSE))</f>
        <v/>
      </c>
      <c r="G39" s="32" t="str">
        <f>IF(E39="","",VLOOKUP(E39,Courses!$A$5:$G$10,3,FALSE))</f>
        <v/>
      </c>
      <c r="H39" s="4"/>
      <c r="I39" s="4"/>
      <c r="J39" s="36" t="str">
        <f>IF(I39="","",VLOOKUP(E39,Courses!$A$5:$G$10,6,FALSE))</f>
        <v/>
      </c>
      <c r="K39" s="32">
        <f t="shared" si="0"/>
        <v>0</v>
      </c>
      <c r="L39" s="4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4"/>
      <c r="B40" s="4"/>
      <c r="C40" s="28"/>
      <c r="D40" s="4"/>
      <c r="E40" s="4"/>
      <c r="F40" s="3" t="str">
        <f>IF(E40="","",VLOOKUP(E40,Courses!$A$5:$G$10,2,FALSE))</f>
        <v/>
      </c>
      <c r="G40" s="32" t="str">
        <f>IF(E40="","",VLOOKUP(E40,Courses!$A$5:$G$10,3,FALSE))</f>
        <v/>
      </c>
      <c r="H40" s="4"/>
      <c r="I40" s="4"/>
      <c r="J40" s="36" t="str">
        <f>IF(I40="","",VLOOKUP(E40,Courses!$A$5:$G$10,6,FALSE))</f>
        <v/>
      </c>
      <c r="K40" s="32">
        <f t="shared" si="0"/>
        <v>0</v>
      </c>
      <c r="L40" s="4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"/>
      <c r="B41" s="4"/>
      <c r="C41" s="28"/>
      <c r="D41" s="4"/>
      <c r="E41" s="4"/>
      <c r="F41" s="3" t="str">
        <f>IF(E41="","",VLOOKUP(E41,Courses!$A$5:$G$10,2,FALSE))</f>
        <v/>
      </c>
      <c r="G41" s="32" t="str">
        <f>IF(E41="","",VLOOKUP(E41,Courses!$A$5:$G$10,3,FALSE))</f>
        <v/>
      </c>
      <c r="H41" s="4"/>
      <c r="I41" s="4"/>
      <c r="J41" s="36" t="str">
        <f>IF(I41="","",VLOOKUP(E41,Courses!$A$5:$G$10,6,FALSE))</f>
        <v/>
      </c>
      <c r="K41" s="32">
        <f t="shared" si="0"/>
        <v>0</v>
      </c>
      <c r="L41" s="4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4"/>
      <c r="B42" s="4"/>
      <c r="C42" s="28"/>
      <c r="D42" s="4"/>
      <c r="E42" s="4"/>
      <c r="F42" s="3" t="str">
        <f>IF(E42="","",VLOOKUP(E42,Courses!$A$5:$G$10,2,FALSE))</f>
        <v/>
      </c>
      <c r="G42" s="32" t="str">
        <f>IF(E42="","",VLOOKUP(E42,Courses!$A$5:$G$10,3,FALSE))</f>
        <v/>
      </c>
      <c r="H42" s="4"/>
      <c r="I42" s="4"/>
      <c r="J42" s="36" t="str">
        <f>IF(I42="","",VLOOKUP(E42,Courses!$A$5:$G$10,6,FALSE))</f>
        <v/>
      </c>
      <c r="K42" s="32">
        <f t="shared" si="0"/>
        <v>0</v>
      </c>
      <c r="L42" s="4"/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"/>
      <c r="B43" s="4"/>
      <c r="C43" s="28"/>
      <c r="D43" s="4"/>
      <c r="E43" s="4"/>
      <c r="F43" s="3" t="str">
        <f>IF(E43="","",VLOOKUP(E43,Courses!$A$5:$G$10,2,FALSE))</f>
        <v/>
      </c>
      <c r="G43" s="32" t="str">
        <f>IF(E43="","",VLOOKUP(E43,Courses!$A$5:$G$10,3,FALSE))</f>
        <v/>
      </c>
      <c r="H43" s="4"/>
      <c r="I43" s="4"/>
      <c r="J43" s="36" t="str">
        <f>IF(I43="","",VLOOKUP(E43,Courses!$A$5:$G$10,6,FALSE))</f>
        <v/>
      </c>
      <c r="K43" s="32">
        <f t="shared" si="0"/>
        <v>0</v>
      </c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4"/>
      <c r="B44" s="4"/>
      <c r="C44" s="28"/>
      <c r="D44" s="4"/>
      <c r="E44" s="4"/>
      <c r="F44" s="3" t="str">
        <f>IF(E44="","",VLOOKUP(E44,Courses!$A$5:$G$10,2,FALSE))</f>
        <v/>
      </c>
      <c r="G44" s="32" t="str">
        <f>IF(E44="","",VLOOKUP(E44,Courses!$A$5:$G$10,3,FALSE))</f>
        <v/>
      </c>
      <c r="H44" s="4"/>
      <c r="I44" s="4"/>
      <c r="J44" s="36" t="str">
        <f>IF(I44="","",VLOOKUP(E44,Courses!$A$5:$G$10,6,FALSE))</f>
        <v/>
      </c>
      <c r="K44" s="32">
        <f t="shared" si="0"/>
        <v>0</v>
      </c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"/>
      <c r="B45" s="4"/>
      <c r="C45" s="28"/>
      <c r="D45" s="4"/>
      <c r="E45" s="4"/>
      <c r="F45" s="3" t="str">
        <f>IF(E45="","",VLOOKUP(E45,Courses!$A$5:$G$10,2,FALSE))</f>
        <v/>
      </c>
      <c r="G45" s="32" t="str">
        <f>IF(E45="","",VLOOKUP(E45,Courses!$A$5:$G$10,3,FALSE))</f>
        <v/>
      </c>
      <c r="H45" s="4"/>
      <c r="I45" s="4"/>
      <c r="J45" s="36" t="str">
        <f>IF(I45="","",VLOOKUP(E45,Courses!$A$5:$G$10,6,FALSE))</f>
        <v/>
      </c>
      <c r="K45" s="32">
        <f t="shared" si="0"/>
        <v>0</v>
      </c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4"/>
      <c r="B46" s="4"/>
      <c r="C46" s="28"/>
      <c r="D46" s="4"/>
      <c r="E46" s="4"/>
      <c r="F46" s="3" t="str">
        <f>IF(E46="","",VLOOKUP(E46,Courses!$A$5:$G$10,2,FALSE))</f>
        <v/>
      </c>
      <c r="G46" s="32" t="str">
        <f>IF(E46="","",VLOOKUP(E46,Courses!$A$5:$G$10,3,FALSE))</f>
        <v/>
      </c>
      <c r="H46" s="4"/>
      <c r="I46" s="4"/>
      <c r="J46" s="36" t="str">
        <f>IF(I46="","",VLOOKUP(E46,Courses!$A$5:$G$10,6,FALSE))</f>
        <v/>
      </c>
      <c r="K46" s="32">
        <f t="shared" si="0"/>
        <v>0</v>
      </c>
      <c r="L46" s="4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4"/>
      <c r="B47" s="4"/>
      <c r="C47" s="28"/>
      <c r="D47" s="4"/>
      <c r="E47" s="4"/>
      <c r="F47" s="3" t="str">
        <f>IF(E47="","",VLOOKUP(E47,Courses!$A$5:$G$10,2,FALSE))</f>
        <v/>
      </c>
      <c r="G47" s="32" t="str">
        <f>IF(E47="","",VLOOKUP(E47,Courses!$A$5:$G$10,3,FALSE))</f>
        <v/>
      </c>
      <c r="H47" s="4"/>
      <c r="I47" s="4"/>
      <c r="J47" s="36" t="str">
        <f>IF(I47="","",VLOOKUP(E47,Courses!$A$5:$G$10,6,FALSE))</f>
        <v/>
      </c>
      <c r="K47" s="32">
        <f t="shared" si="0"/>
        <v>0</v>
      </c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4"/>
      <c r="B48" s="4"/>
      <c r="C48" s="28"/>
      <c r="D48" s="4"/>
      <c r="E48" s="4"/>
      <c r="F48" s="3" t="str">
        <f>IF(E48="","",VLOOKUP(E48,Courses!$A$5:$G$10,2,FALSE))</f>
        <v/>
      </c>
      <c r="G48" s="32" t="str">
        <f>IF(E48="","",VLOOKUP(E48,Courses!$A$5:$G$10,3,FALSE))</f>
        <v/>
      </c>
      <c r="H48" s="4"/>
      <c r="I48" s="4"/>
      <c r="J48" s="36" t="str">
        <f>IF(I48="","",VLOOKUP(E48,Courses!$A$5:$G$10,6,FALSE))</f>
        <v/>
      </c>
      <c r="K48" s="32">
        <f t="shared" si="0"/>
        <v>0</v>
      </c>
      <c r="L48" s="4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4"/>
      <c r="B49" s="4"/>
      <c r="C49" s="28"/>
      <c r="D49" s="4"/>
      <c r="E49" s="4"/>
      <c r="F49" s="3" t="str">
        <f>IF(E49="","",VLOOKUP(E49,Courses!$A$5:$G$10,2,FALSE))</f>
        <v/>
      </c>
      <c r="G49" s="32" t="str">
        <f>IF(E49="","",VLOOKUP(E49,Courses!$A$5:$G$10,3,FALSE))</f>
        <v/>
      </c>
      <c r="H49" s="4"/>
      <c r="I49" s="4"/>
      <c r="J49" s="36" t="str">
        <f>IF(I49="","",VLOOKUP(E49,Courses!$A$5:$G$10,6,FALSE))</f>
        <v/>
      </c>
      <c r="K49" s="32">
        <f t="shared" si="0"/>
        <v>0</v>
      </c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4"/>
      <c r="B50" s="4"/>
      <c r="C50" s="28"/>
      <c r="D50" s="4"/>
      <c r="E50" s="4"/>
      <c r="F50" s="3" t="str">
        <f>IF(E50="","",VLOOKUP(E50,Courses!$A$5:$G$10,2,FALSE))</f>
        <v/>
      </c>
      <c r="G50" s="32" t="str">
        <f>IF(E50="","",VLOOKUP(E50,Courses!$A$5:$G$10,3,FALSE))</f>
        <v/>
      </c>
      <c r="H50" s="4"/>
      <c r="I50" s="4"/>
      <c r="J50" s="36" t="str">
        <f>IF(I50="","",VLOOKUP(E50,Courses!$A$5:$G$10,6,FALSE))</f>
        <v/>
      </c>
      <c r="K50" s="32">
        <f t="shared" si="0"/>
        <v>0</v>
      </c>
      <c r="L50" s="4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4"/>
      <c r="B51" s="4"/>
      <c r="C51" s="28"/>
      <c r="D51" s="4"/>
      <c r="E51" s="4"/>
      <c r="F51" s="3" t="str">
        <f>IF(E51="","",VLOOKUP(E51,Courses!$A$5:$G$10,2,FALSE))</f>
        <v/>
      </c>
      <c r="G51" s="32" t="str">
        <f>IF(E51="","",VLOOKUP(E51,Courses!$A$5:$G$10,3,FALSE))</f>
        <v/>
      </c>
      <c r="H51" s="4"/>
      <c r="I51" s="4"/>
      <c r="J51" s="36" t="str">
        <f>IF(I51="","",VLOOKUP(E51,Courses!$A$5:$G$10,6,FALSE))</f>
        <v/>
      </c>
      <c r="K51" s="32">
        <f t="shared" si="0"/>
        <v>0</v>
      </c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4"/>
      <c r="B52" s="4"/>
      <c r="C52" s="28"/>
      <c r="D52" s="4"/>
      <c r="E52" s="4"/>
      <c r="F52" s="3" t="str">
        <f>IF(E52="","",VLOOKUP(E52,Courses!$A$5:$G$10,2,FALSE))</f>
        <v/>
      </c>
      <c r="G52" s="32" t="str">
        <f>IF(E52="","",VLOOKUP(E52,Courses!$A$5:$G$10,3,FALSE))</f>
        <v/>
      </c>
      <c r="H52" s="4"/>
      <c r="I52" s="4"/>
      <c r="J52" s="36" t="str">
        <f>IF(I52="","",VLOOKUP(E52,Courses!$A$5:$G$10,6,FALSE))</f>
        <v/>
      </c>
      <c r="K52" s="32">
        <f t="shared" si="0"/>
        <v>0</v>
      </c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4"/>
      <c r="B53" s="4"/>
      <c r="C53" s="28"/>
      <c r="D53" s="4"/>
      <c r="E53" s="4"/>
      <c r="F53" s="3" t="str">
        <f>IF(E53="","",VLOOKUP(E53,Courses!$A$5:$G$10,2,FALSE))</f>
        <v/>
      </c>
      <c r="G53" s="32" t="str">
        <f>IF(E53="","",VLOOKUP(E53,Courses!$A$5:$G$10,3,FALSE))</f>
        <v/>
      </c>
      <c r="H53" s="4"/>
      <c r="I53" s="4"/>
      <c r="J53" s="36" t="str">
        <f>IF(I53="","",VLOOKUP(E53,Courses!$A$5:$G$10,6,FALSE))</f>
        <v/>
      </c>
      <c r="K53" s="32">
        <f t="shared" si="0"/>
        <v>0</v>
      </c>
      <c r="L53" s="4"/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4"/>
      <c r="B54" s="4"/>
      <c r="C54" s="28"/>
      <c r="D54" s="4"/>
      <c r="E54" s="4"/>
      <c r="F54" s="3" t="str">
        <f>IF(E54="","",VLOOKUP(E54,Courses!$A$5:$G$10,2,FALSE))</f>
        <v/>
      </c>
      <c r="G54" s="32" t="str">
        <f>IF(E54="","",VLOOKUP(E54,Courses!$A$5:$G$10,3,FALSE))</f>
        <v/>
      </c>
      <c r="H54" s="4"/>
      <c r="I54" s="4"/>
      <c r="J54" s="36" t="str">
        <f>IF(I54="","",VLOOKUP(E54,Courses!$A$5:$G$10,6,FALSE))</f>
        <v/>
      </c>
      <c r="K54" s="32">
        <f t="shared" si="0"/>
        <v>0</v>
      </c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4"/>
      <c r="B55" s="4"/>
      <c r="C55" s="28"/>
      <c r="D55" s="4"/>
      <c r="E55" s="4"/>
      <c r="F55" s="3" t="str">
        <f>IF(E55="","",VLOOKUP(E55,Courses!$A$5:$G$10,2,FALSE))</f>
        <v/>
      </c>
      <c r="G55" s="32" t="str">
        <f>IF(E55="","",VLOOKUP(E55,Courses!$A$5:$G$10,3,FALSE))</f>
        <v/>
      </c>
      <c r="H55" s="4"/>
      <c r="I55" s="4"/>
      <c r="J55" s="36" t="str">
        <f>IF(I55="","",VLOOKUP(E55,Courses!$A$5:$G$10,6,FALSE))</f>
        <v/>
      </c>
      <c r="K55" s="32">
        <f t="shared" si="0"/>
        <v>0</v>
      </c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4"/>
      <c r="B56" s="4"/>
      <c r="C56" s="28"/>
      <c r="D56" s="4"/>
      <c r="E56" s="4"/>
      <c r="F56" s="3" t="str">
        <f>IF(E56="","",VLOOKUP(E56,Courses!$A$5:$G$10,2,FALSE))</f>
        <v/>
      </c>
      <c r="G56" s="32" t="str">
        <f>IF(E56="","",VLOOKUP(E56,Courses!$A$5:$G$10,3,FALSE))</f>
        <v/>
      </c>
      <c r="H56" s="4"/>
      <c r="I56" s="4"/>
      <c r="J56" s="36" t="str">
        <f>IF(I56="","",VLOOKUP(E56,Courses!$A$5:$G$10,6,FALSE))</f>
        <v/>
      </c>
      <c r="K56" s="32">
        <f t="shared" si="0"/>
        <v>0</v>
      </c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4"/>
      <c r="B57" s="4"/>
      <c r="C57" s="28"/>
      <c r="D57" s="4"/>
      <c r="E57" s="4"/>
      <c r="F57" s="3" t="str">
        <f>IF(E57="","",VLOOKUP(E57,Courses!$A$5:$G$10,2,FALSE))</f>
        <v/>
      </c>
      <c r="G57" s="32" t="str">
        <f>IF(E57="","",VLOOKUP(E57,Courses!$A$5:$G$10,3,FALSE))</f>
        <v/>
      </c>
      <c r="H57" s="4"/>
      <c r="I57" s="4"/>
      <c r="J57" s="36" t="str">
        <f>IF(I57="","",VLOOKUP(E57,Courses!$A$5:$G$10,6,FALSE))</f>
        <v/>
      </c>
      <c r="K57" s="32">
        <f t="shared" si="0"/>
        <v>0</v>
      </c>
      <c r="L57" s="4"/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4"/>
      <c r="B58" s="4"/>
      <c r="C58" s="28"/>
      <c r="D58" s="4"/>
      <c r="E58" s="4"/>
      <c r="F58" s="3" t="str">
        <f>IF(E58="","",VLOOKUP(E58,Courses!$A$5:$G$10,2,FALSE))</f>
        <v/>
      </c>
      <c r="G58" s="32" t="str">
        <f>IF(E58="","",VLOOKUP(E58,Courses!$A$5:$G$10,3,FALSE))</f>
        <v/>
      </c>
      <c r="H58" s="4"/>
      <c r="I58" s="4"/>
      <c r="J58" s="36" t="str">
        <f>IF(I58="","",VLOOKUP(E58,Courses!$A$5:$G$10,6,FALSE))</f>
        <v/>
      </c>
      <c r="K58" s="32">
        <f t="shared" si="0"/>
        <v>0</v>
      </c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4"/>
      <c r="B59" s="4"/>
      <c r="C59" s="28"/>
      <c r="D59" s="4"/>
      <c r="E59" s="4"/>
      <c r="F59" s="3" t="str">
        <f>IF(E59="","",VLOOKUP(E59,Courses!$A$5:$G$10,2,FALSE))</f>
        <v/>
      </c>
      <c r="G59" s="32" t="str">
        <f>IF(E59="","",VLOOKUP(E59,Courses!$A$5:$G$10,3,FALSE))</f>
        <v/>
      </c>
      <c r="H59" s="4"/>
      <c r="I59" s="4"/>
      <c r="J59" s="36" t="str">
        <f>IF(I59="","",VLOOKUP(E59,Courses!$A$5:$G$10,6,FALSE))</f>
        <v/>
      </c>
      <c r="K59" s="32">
        <f t="shared" si="0"/>
        <v>0</v>
      </c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4"/>
      <c r="B60" s="4"/>
      <c r="C60" s="28"/>
      <c r="D60" s="4"/>
      <c r="E60" s="4"/>
      <c r="F60" s="3" t="str">
        <f>IF(E60="","",VLOOKUP(E60,Courses!$A$5:$G$10,2,FALSE))</f>
        <v/>
      </c>
      <c r="G60" s="32" t="str">
        <f>IF(E60="","",VLOOKUP(E60,Courses!$A$5:$G$10,3,FALSE))</f>
        <v/>
      </c>
      <c r="H60" s="4"/>
      <c r="I60" s="4"/>
      <c r="J60" s="36" t="str">
        <f>IF(I60="","",VLOOKUP(E60,Courses!$A$5:$G$10,6,FALSE))</f>
        <v/>
      </c>
      <c r="K60" s="32">
        <f t="shared" si="0"/>
        <v>0</v>
      </c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4"/>
      <c r="B61" s="4"/>
      <c r="C61" s="28"/>
      <c r="D61" s="4"/>
      <c r="E61" s="4"/>
      <c r="F61" s="3" t="str">
        <f>IF(E61="","",VLOOKUP(E61,Courses!$A$5:$G$10,2,FALSE))</f>
        <v/>
      </c>
      <c r="G61" s="32" t="str">
        <f>IF(E61="","",VLOOKUP(E61,Courses!$A$5:$G$10,3,FALSE))</f>
        <v/>
      </c>
      <c r="H61" s="4"/>
      <c r="I61" s="4"/>
      <c r="J61" s="36" t="str">
        <f>IF(I61="","",VLOOKUP(E61,Courses!$A$5:$G$10,6,FALSE))</f>
        <v/>
      </c>
      <c r="K61" s="32">
        <f t="shared" si="0"/>
        <v>0</v>
      </c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4"/>
      <c r="B62" s="4"/>
      <c r="C62" s="28"/>
      <c r="D62" s="4"/>
      <c r="E62" s="4"/>
      <c r="F62" s="3" t="str">
        <f>IF(E62="","",VLOOKUP(E62,Courses!$A$5:$G$10,2,FALSE))</f>
        <v/>
      </c>
      <c r="G62" s="32" t="str">
        <f>IF(E62="","",VLOOKUP(E62,Courses!$A$5:$G$10,3,FALSE))</f>
        <v/>
      </c>
      <c r="H62" s="4"/>
      <c r="I62" s="4"/>
      <c r="J62" s="36" t="str">
        <f>IF(I62="","",VLOOKUP(E62,Courses!$A$5:$G$10,6,FALSE))</f>
        <v/>
      </c>
      <c r="K62" s="32">
        <f t="shared" si="0"/>
        <v>0</v>
      </c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4"/>
      <c r="B63" s="4"/>
      <c r="C63" s="28"/>
      <c r="D63" s="4"/>
      <c r="E63" s="4"/>
      <c r="F63" s="3" t="str">
        <f>IF(E63="","",VLOOKUP(E63,Courses!$A$5:$G$10,2,FALSE))</f>
        <v/>
      </c>
      <c r="G63" s="32" t="str">
        <f>IF(E63="","",VLOOKUP(E63,Courses!$A$5:$G$10,3,FALSE))</f>
        <v/>
      </c>
      <c r="H63" s="4"/>
      <c r="I63" s="4"/>
      <c r="J63" s="36" t="str">
        <f>IF(I63="","",VLOOKUP(E63,Courses!$A$5:$G$10,6,FALSE))</f>
        <v/>
      </c>
      <c r="K63" s="32">
        <f t="shared" si="0"/>
        <v>0</v>
      </c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4"/>
      <c r="B64" s="4"/>
      <c r="C64" s="28"/>
      <c r="D64" s="4"/>
      <c r="E64" s="4"/>
      <c r="F64" s="3" t="str">
        <f>IF(E64="","",VLOOKUP(E64,Courses!$A$5:$G$10,2,FALSE))</f>
        <v/>
      </c>
      <c r="G64" s="32" t="str">
        <f>IF(E64="","",VLOOKUP(E64,Courses!$A$5:$G$10,3,FALSE))</f>
        <v/>
      </c>
      <c r="H64" s="4"/>
      <c r="I64" s="4"/>
      <c r="J64" s="36" t="str">
        <f>IF(I64="","",VLOOKUP(E64,Courses!$A$5:$G$10,6,FALSE))</f>
        <v/>
      </c>
      <c r="K64" s="32">
        <f t="shared" si="0"/>
        <v>0</v>
      </c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4"/>
      <c r="B65" s="4"/>
      <c r="C65" s="28"/>
      <c r="D65" s="4"/>
      <c r="E65" s="4"/>
      <c r="F65" s="3" t="str">
        <f>IF(E65="","",VLOOKUP(E65,Courses!$A$5:$G$10,2,FALSE))</f>
        <v/>
      </c>
      <c r="G65" s="32" t="str">
        <f>IF(E65="","",VLOOKUP(E65,Courses!$A$5:$G$10,3,FALSE))</f>
        <v/>
      </c>
      <c r="H65" s="4"/>
      <c r="I65" s="4"/>
      <c r="J65" s="36" t="str">
        <f>IF(I65="","",VLOOKUP(E65,Courses!$A$5:$G$10,6,FALSE))</f>
        <v/>
      </c>
      <c r="K65" s="32">
        <f t="shared" si="0"/>
        <v>0</v>
      </c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4"/>
      <c r="B66" s="4"/>
      <c r="C66" s="28"/>
      <c r="D66" s="4"/>
      <c r="E66" s="4"/>
      <c r="F66" s="3" t="str">
        <f>IF(E66="","",VLOOKUP(E66,Courses!$A$5:$G$10,2,FALSE))</f>
        <v/>
      </c>
      <c r="G66" s="32" t="str">
        <f>IF(E66="","",VLOOKUP(E66,Courses!$A$5:$G$10,3,FALSE))</f>
        <v/>
      </c>
      <c r="H66" s="4"/>
      <c r="I66" s="4"/>
      <c r="J66" s="36" t="str">
        <f>IF(I66="","",VLOOKUP(E66,Courses!$A$5:$G$10,6,FALSE))</f>
        <v/>
      </c>
      <c r="K66" s="32">
        <f t="shared" si="0"/>
        <v>0</v>
      </c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4"/>
      <c r="B67" s="4"/>
      <c r="C67" s="28"/>
      <c r="D67" s="4"/>
      <c r="E67" s="4"/>
      <c r="F67" s="3" t="str">
        <f>IF(E67="","",VLOOKUP(E67,Courses!$A$5:$G$10,2,FALSE))</f>
        <v/>
      </c>
      <c r="G67" s="32" t="str">
        <f>IF(E67="","",VLOOKUP(E67,Courses!$A$5:$G$10,3,FALSE))</f>
        <v/>
      </c>
      <c r="H67" s="4"/>
      <c r="I67" s="4"/>
      <c r="J67" s="36" t="str">
        <f>IF(I67="","",VLOOKUP(E67,Courses!$A$5:$G$10,6,FALSE))</f>
        <v/>
      </c>
      <c r="K67" s="32">
        <f t="shared" si="0"/>
        <v>0</v>
      </c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4"/>
      <c r="B68" s="4"/>
      <c r="C68" s="28"/>
      <c r="D68" s="4"/>
      <c r="E68" s="4"/>
      <c r="F68" s="3" t="str">
        <f>IF(E68="","",VLOOKUP(E68,Courses!$A$5:$G$10,2,FALSE))</f>
        <v/>
      </c>
      <c r="G68" s="32" t="str">
        <f>IF(E68="","",VLOOKUP(E68,Courses!$A$5:$G$10,3,FALSE))</f>
        <v/>
      </c>
      <c r="H68" s="4"/>
      <c r="I68" s="4"/>
      <c r="J68" s="36" t="str">
        <f>IF(I68="","",VLOOKUP(E68,Courses!$A$5:$G$10,6,FALSE))</f>
        <v/>
      </c>
      <c r="K68" s="32">
        <f t="shared" si="0"/>
        <v>0</v>
      </c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4"/>
      <c r="B69" s="4"/>
      <c r="C69" s="28"/>
      <c r="D69" s="4"/>
      <c r="E69" s="4"/>
      <c r="F69" s="3" t="str">
        <f>IF(E69="","",VLOOKUP(E69,Courses!$A$5:$G$10,2,FALSE))</f>
        <v/>
      </c>
      <c r="G69" s="32" t="str">
        <f>IF(E69="","",VLOOKUP(E69,Courses!$A$5:$G$10,3,FALSE))</f>
        <v/>
      </c>
      <c r="H69" s="4"/>
      <c r="I69" s="4"/>
      <c r="J69" s="36" t="str">
        <f>IF(I69="","",VLOOKUP(E69,Courses!$A$5:$G$10,6,FALSE))</f>
        <v/>
      </c>
      <c r="K69" s="32">
        <f t="shared" ref="K69:K132" si="1">IF(AND(H69="Paid",I69&lt;&gt;""),G69*J69,0)</f>
        <v>0</v>
      </c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4"/>
      <c r="B70" s="4"/>
      <c r="C70" s="28"/>
      <c r="D70" s="4"/>
      <c r="E70" s="4"/>
      <c r="F70" s="3" t="str">
        <f>IF(E70="","",VLOOKUP(E70,Courses!$A$5:$G$10,2,FALSE))</f>
        <v/>
      </c>
      <c r="G70" s="32" t="str">
        <f>IF(E70="","",VLOOKUP(E70,Courses!$A$5:$G$10,3,FALSE))</f>
        <v/>
      </c>
      <c r="H70" s="4"/>
      <c r="I70" s="4"/>
      <c r="J70" s="36" t="str">
        <f>IF(I70="","",VLOOKUP(E70,Courses!$A$5:$G$10,6,FALSE))</f>
        <v/>
      </c>
      <c r="K70" s="32">
        <f t="shared" si="1"/>
        <v>0</v>
      </c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4"/>
      <c r="B71" s="4"/>
      <c r="C71" s="28"/>
      <c r="D71" s="4"/>
      <c r="E71" s="4"/>
      <c r="F71" s="3" t="str">
        <f>IF(E71="","",VLOOKUP(E71,Courses!$A$5:$G$10,2,FALSE))</f>
        <v/>
      </c>
      <c r="G71" s="32" t="str">
        <f>IF(E71="","",VLOOKUP(E71,Courses!$A$5:$G$10,3,FALSE))</f>
        <v/>
      </c>
      <c r="H71" s="4"/>
      <c r="I71" s="4"/>
      <c r="J71" s="36" t="str">
        <f>IF(I71="","",VLOOKUP(E71,Courses!$A$5:$G$10,6,FALSE))</f>
        <v/>
      </c>
      <c r="K71" s="32">
        <f t="shared" si="1"/>
        <v>0</v>
      </c>
      <c r="L71" s="4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4"/>
      <c r="B72" s="4"/>
      <c r="C72" s="28"/>
      <c r="D72" s="4"/>
      <c r="E72" s="4"/>
      <c r="F72" s="3" t="str">
        <f>IF(E72="","",VLOOKUP(E72,Courses!$A$5:$G$10,2,FALSE))</f>
        <v/>
      </c>
      <c r="G72" s="32" t="str">
        <f>IF(E72="","",VLOOKUP(E72,Courses!$A$5:$G$10,3,FALSE))</f>
        <v/>
      </c>
      <c r="H72" s="4"/>
      <c r="I72" s="4"/>
      <c r="J72" s="36" t="str">
        <f>IF(I72="","",VLOOKUP(E72,Courses!$A$5:$G$10,6,FALSE))</f>
        <v/>
      </c>
      <c r="K72" s="32">
        <f t="shared" si="1"/>
        <v>0</v>
      </c>
      <c r="L72" s="4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4"/>
      <c r="B73" s="4"/>
      <c r="C73" s="28"/>
      <c r="D73" s="4"/>
      <c r="E73" s="4"/>
      <c r="F73" s="3" t="str">
        <f>IF(E73="","",VLOOKUP(E73,Courses!$A$5:$G$10,2,FALSE))</f>
        <v/>
      </c>
      <c r="G73" s="32" t="str">
        <f>IF(E73="","",VLOOKUP(E73,Courses!$A$5:$G$10,3,FALSE))</f>
        <v/>
      </c>
      <c r="H73" s="4"/>
      <c r="I73" s="4"/>
      <c r="J73" s="36" t="str">
        <f>IF(I73="","",VLOOKUP(E73,Courses!$A$5:$G$10,6,FALSE))</f>
        <v/>
      </c>
      <c r="K73" s="32">
        <f t="shared" si="1"/>
        <v>0</v>
      </c>
      <c r="L73" s="4"/>
      <c r="M73" s="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4"/>
      <c r="B74" s="4"/>
      <c r="C74" s="28"/>
      <c r="D74" s="4"/>
      <c r="E74" s="4"/>
      <c r="F74" s="3" t="str">
        <f>IF(E74="","",VLOOKUP(E74,Courses!$A$5:$G$10,2,FALSE))</f>
        <v/>
      </c>
      <c r="G74" s="32" t="str">
        <f>IF(E74="","",VLOOKUP(E74,Courses!$A$5:$G$10,3,FALSE))</f>
        <v/>
      </c>
      <c r="H74" s="4"/>
      <c r="I74" s="4"/>
      <c r="J74" s="36" t="str">
        <f>IF(I74="","",VLOOKUP(E74,Courses!$A$5:$G$10,6,FALSE))</f>
        <v/>
      </c>
      <c r="K74" s="32">
        <f t="shared" si="1"/>
        <v>0</v>
      </c>
      <c r="L74" s="4"/>
      <c r="M74" s="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4"/>
      <c r="B75" s="4"/>
      <c r="C75" s="28"/>
      <c r="D75" s="4"/>
      <c r="E75" s="4"/>
      <c r="F75" s="3" t="str">
        <f>IF(E75="","",VLOOKUP(E75,Courses!$A$5:$G$10,2,FALSE))</f>
        <v/>
      </c>
      <c r="G75" s="32" t="str">
        <f>IF(E75="","",VLOOKUP(E75,Courses!$A$5:$G$10,3,FALSE))</f>
        <v/>
      </c>
      <c r="H75" s="4"/>
      <c r="I75" s="4"/>
      <c r="J75" s="36" t="str">
        <f>IF(I75="","",VLOOKUP(E75,Courses!$A$5:$G$10,6,FALSE))</f>
        <v/>
      </c>
      <c r="K75" s="32">
        <f t="shared" si="1"/>
        <v>0</v>
      </c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4"/>
      <c r="B76" s="4"/>
      <c r="C76" s="28"/>
      <c r="D76" s="4"/>
      <c r="E76" s="4"/>
      <c r="F76" s="3" t="str">
        <f>IF(E76="","",VLOOKUP(E76,Courses!$A$5:$G$10,2,FALSE))</f>
        <v/>
      </c>
      <c r="G76" s="32" t="str">
        <f>IF(E76="","",VLOOKUP(E76,Courses!$A$5:$G$10,3,FALSE))</f>
        <v/>
      </c>
      <c r="H76" s="4"/>
      <c r="I76" s="4"/>
      <c r="J76" s="36" t="str">
        <f>IF(I76="","",VLOOKUP(E76,Courses!$A$5:$G$10,6,FALSE))</f>
        <v/>
      </c>
      <c r="K76" s="32">
        <f t="shared" si="1"/>
        <v>0</v>
      </c>
      <c r="L76" s="4"/>
      <c r="M76" s="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4"/>
      <c r="B77" s="4"/>
      <c r="C77" s="28"/>
      <c r="D77" s="4"/>
      <c r="E77" s="4"/>
      <c r="F77" s="3" t="str">
        <f>IF(E77="","",VLOOKUP(E77,Courses!$A$5:$G$10,2,FALSE))</f>
        <v/>
      </c>
      <c r="G77" s="32" t="str">
        <f>IF(E77="","",VLOOKUP(E77,Courses!$A$5:$G$10,3,FALSE))</f>
        <v/>
      </c>
      <c r="H77" s="4"/>
      <c r="I77" s="4"/>
      <c r="J77" s="36" t="str">
        <f>IF(I77="","",VLOOKUP(E77,Courses!$A$5:$G$10,6,FALSE))</f>
        <v/>
      </c>
      <c r="K77" s="32">
        <f t="shared" si="1"/>
        <v>0</v>
      </c>
      <c r="L77" s="4"/>
      <c r="M77" s="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4"/>
      <c r="B78" s="4"/>
      <c r="C78" s="28"/>
      <c r="D78" s="4"/>
      <c r="E78" s="4"/>
      <c r="F78" s="3" t="str">
        <f>IF(E78="","",VLOOKUP(E78,Courses!$A$5:$G$10,2,FALSE))</f>
        <v/>
      </c>
      <c r="G78" s="32" t="str">
        <f>IF(E78="","",VLOOKUP(E78,Courses!$A$5:$G$10,3,FALSE))</f>
        <v/>
      </c>
      <c r="H78" s="4"/>
      <c r="I78" s="4"/>
      <c r="J78" s="36" t="str">
        <f>IF(I78="","",VLOOKUP(E78,Courses!$A$5:$G$10,6,FALSE))</f>
        <v/>
      </c>
      <c r="K78" s="32">
        <f t="shared" si="1"/>
        <v>0</v>
      </c>
      <c r="L78" s="4"/>
      <c r="M78" s="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4"/>
      <c r="B79" s="4"/>
      <c r="C79" s="28"/>
      <c r="D79" s="4"/>
      <c r="E79" s="4"/>
      <c r="F79" s="3" t="str">
        <f>IF(E79="","",VLOOKUP(E79,Courses!$A$5:$G$10,2,FALSE))</f>
        <v/>
      </c>
      <c r="G79" s="32" t="str">
        <f>IF(E79="","",VLOOKUP(E79,Courses!$A$5:$G$10,3,FALSE))</f>
        <v/>
      </c>
      <c r="H79" s="4"/>
      <c r="I79" s="4"/>
      <c r="J79" s="36" t="str">
        <f>IF(I79="","",VLOOKUP(E79,Courses!$A$5:$G$10,6,FALSE))</f>
        <v/>
      </c>
      <c r="K79" s="32">
        <f t="shared" si="1"/>
        <v>0</v>
      </c>
      <c r="L79" s="4"/>
      <c r="M79" s="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4"/>
      <c r="B80" s="4"/>
      <c r="C80" s="28"/>
      <c r="D80" s="4"/>
      <c r="E80" s="4"/>
      <c r="F80" s="3" t="str">
        <f>IF(E80="","",VLOOKUP(E80,Courses!$A$5:$G$10,2,FALSE))</f>
        <v/>
      </c>
      <c r="G80" s="32" t="str">
        <f>IF(E80="","",VLOOKUP(E80,Courses!$A$5:$G$10,3,FALSE))</f>
        <v/>
      </c>
      <c r="H80" s="4"/>
      <c r="I80" s="4"/>
      <c r="J80" s="36" t="str">
        <f>IF(I80="","",VLOOKUP(E80,Courses!$A$5:$G$10,6,FALSE))</f>
        <v/>
      </c>
      <c r="K80" s="32">
        <f t="shared" si="1"/>
        <v>0</v>
      </c>
      <c r="L80" s="4"/>
      <c r="M80" s="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4"/>
      <c r="B81" s="4"/>
      <c r="C81" s="28"/>
      <c r="D81" s="4"/>
      <c r="E81" s="4"/>
      <c r="F81" s="3" t="str">
        <f>IF(E81="","",VLOOKUP(E81,Courses!$A$5:$G$10,2,FALSE))</f>
        <v/>
      </c>
      <c r="G81" s="32" t="str">
        <f>IF(E81="","",VLOOKUP(E81,Courses!$A$5:$G$10,3,FALSE))</f>
        <v/>
      </c>
      <c r="H81" s="4"/>
      <c r="I81" s="4"/>
      <c r="J81" s="36" t="str">
        <f>IF(I81="","",VLOOKUP(E81,Courses!$A$5:$G$10,6,FALSE))</f>
        <v/>
      </c>
      <c r="K81" s="32">
        <f t="shared" si="1"/>
        <v>0</v>
      </c>
      <c r="L81" s="4"/>
      <c r="M81" s="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4"/>
      <c r="B82" s="4"/>
      <c r="C82" s="28"/>
      <c r="D82" s="4"/>
      <c r="E82" s="4"/>
      <c r="F82" s="3" t="str">
        <f>IF(E82="","",VLOOKUP(E82,Courses!$A$5:$G$10,2,FALSE))</f>
        <v/>
      </c>
      <c r="G82" s="32" t="str">
        <f>IF(E82="","",VLOOKUP(E82,Courses!$A$5:$G$10,3,FALSE))</f>
        <v/>
      </c>
      <c r="H82" s="4"/>
      <c r="I82" s="4"/>
      <c r="J82" s="36" t="str">
        <f>IF(I82="","",VLOOKUP(E82,Courses!$A$5:$G$10,6,FALSE))</f>
        <v/>
      </c>
      <c r="K82" s="32">
        <f t="shared" si="1"/>
        <v>0</v>
      </c>
      <c r="L82" s="4"/>
      <c r="M82" s="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4"/>
      <c r="B83" s="4"/>
      <c r="C83" s="28"/>
      <c r="D83" s="4"/>
      <c r="E83" s="4"/>
      <c r="F83" s="3" t="str">
        <f>IF(E83="","",VLOOKUP(E83,Courses!$A$5:$G$10,2,FALSE))</f>
        <v/>
      </c>
      <c r="G83" s="32" t="str">
        <f>IF(E83="","",VLOOKUP(E83,Courses!$A$5:$G$10,3,FALSE))</f>
        <v/>
      </c>
      <c r="H83" s="4"/>
      <c r="I83" s="4"/>
      <c r="J83" s="36" t="str">
        <f>IF(I83="","",VLOOKUP(E83,Courses!$A$5:$G$10,6,FALSE))</f>
        <v/>
      </c>
      <c r="K83" s="32">
        <f t="shared" si="1"/>
        <v>0</v>
      </c>
      <c r="L83" s="4"/>
      <c r="M83" s="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4"/>
      <c r="B84" s="4"/>
      <c r="C84" s="28"/>
      <c r="D84" s="4"/>
      <c r="E84" s="4"/>
      <c r="F84" s="3" t="str">
        <f>IF(E84="","",VLOOKUP(E84,Courses!$A$5:$G$10,2,FALSE))</f>
        <v/>
      </c>
      <c r="G84" s="32" t="str">
        <f>IF(E84="","",VLOOKUP(E84,Courses!$A$5:$G$10,3,FALSE))</f>
        <v/>
      </c>
      <c r="H84" s="4"/>
      <c r="I84" s="4"/>
      <c r="J84" s="36" t="str">
        <f>IF(I84="","",VLOOKUP(E84,Courses!$A$5:$G$10,6,FALSE))</f>
        <v/>
      </c>
      <c r="K84" s="32">
        <f t="shared" si="1"/>
        <v>0</v>
      </c>
      <c r="L84" s="4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4"/>
      <c r="B85" s="4"/>
      <c r="C85" s="28"/>
      <c r="D85" s="4"/>
      <c r="E85" s="4"/>
      <c r="F85" s="3" t="str">
        <f>IF(E85="","",VLOOKUP(E85,Courses!$A$5:$G$10,2,FALSE))</f>
        <v/>
      </c>
      <c r="G85" s="32" t="str">
        <f>IF(E85="","",VLOOKUP(E85,Courses!$A$5:$G$10,3,FALSE))</f>
        <v/>
      </c>
      <c r="H85" s="4"/>
      <c r="I85" s="4"/>
      <c r="J85" s="36" t="str">
        <f>IF(I85="","",VLOOKUP(E85,Courses!$A$5:$G$10,6,FALSE))</f>
        <v/>
      </c>
      <c r="K85" s="32">
        <f t="shared" si="1"/>
        <v>0</v>
      </c>
      <c r="L85" s="4"/>
      <c r="M85" s="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4"/>
      <c r="B86" s="4"/>
      <c r="C86" s="28"/>
      <c r="D86" s="4"/>
      <c r="E86" s="4"/>
      <c r="F86" s="3" t="str">
        <f>IF(E86="","",VLOOKUP(E86,Courses!$A$5:$G$10,2,FALSE))</f>
        <v/>
      </c>
      <c r="G86" s="32" t="str">
        <f>IF(E86="","",VLOOKUP(E86,Courses!$A$5:$G$10,3,FALSE))</f>
        <v/>
      </c>
      <c r="H86" s="4"/>
      <c r="I86" s="4"/>
      <c r="J86" s="36" t="str">
        <f>IF(I86="","",VLOOKUP(E86,Courses!$A$5:$G$10,6,FALSE))</f>
        <v/>
      </c>
      <c r="K86" s="32">
        <f t="shared" si="1"/>
        <v>0</v>
      </c>
      <c r="L86" s="4"/>
      <c r="M86" s="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4"/>
      <c r="B87" s="4"/>
      <c r="C87" s="28"/>
      <c r="D87" s="4"/>
      <c r="E87" s="4"/>
      <c r="F87" s="3" t="str">
        <f>IF(E87="","",VLOOKUP(E87,Courses!$A$5:$G$10,2,FALSE))</f>
        <v/>
      </c>
      <c r="G87" s="32" t="str">
        <f>IF(E87="","",VLOOKUP(E87,Courses!$A$5:$G$10,3,FALSE))</f>
        <v/>
      </c>
      <c r="H87" s="4"/>
      <c r="I87" s="4"/>
      <c r="J87" s="36" t="str">
        <f>IF(I87="","",VLOOKUP(E87,Courses!$A$5:$G$10,6,FALSE))</f>
        <v/>
      </c>
      <c r="K87" s="32">
        <f t="shared" si="1"/>
        <v>0</v>
      </c>
      <c r="L87" s="4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4"/>
      <c r="B88" s="4"/>
      <c r="C88" s="28"/>
      <c r="D88" s="4"/>
      <c r="E88" s="4"/>
      <c r="F88" s="3" t="str">
        <f>IF(E88="","",VLOOKUP(E88,Courses!$A$5:$G$10,2,FALSE))</f>
        <v/>
      </c>
      <c r="G88" s="32" t="str">
        <f>IF(E88="","",VLOOKUP(E88,Courses!$A$5:$G$10,3,FALSE))</f>
        <v/>
      </c>
      <c r="H88" s="4"/>
      <c r="I88" s="4"/>
      <c r="J88" s="36" t="str">
        <f>IF(I88="","",VLOOKUP(E88,Courses!$A$5:$G$10,6,FALSE))</f>
        <v/>
      </c>
      <c r="K88" s="32">
        <f t="shared" si="1"/>
        <v>0</v>
      </c>
      <c r="L88" s="4"/>
      <c r="M88" s="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4"/>
      <c r="B89" s="4"/>
      <c r="C89" s="28"/>
      <c r="D89" s="4"/>
      <c r="E89" s="4"/>
      <c r="F89" s="3" t="str">
        <f>IF(E89="","",VLOOKUP(E89,Courses!$A$5:$G$10,2,FALSE))</f>
        <v/>
      </c>
      <c r="G89" s="32" t="str">
        <f>IF(E89="","",VLOOKUP(E89,Courses!$A$5:$G$10,3,FALSE))</f>
        <v/>
      </c>
      <c r="H89" s="4"/>
      <c r="I89" s="4"/>
      <c r="J89" s="36" t="str">
        <f>IF(I89="","",VLOOKUP(E89,Courses!$A$5:$G$10,6,FALSE))</f>
        <v/>
      </c>
      <c r="K89" s="32">
        <f t="shared" si="1"/>
        <v>0</v>
      </c>
      <c r="L89" s="4"/>
      <c r="M89" s="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4"/>
      <c r="B90" s="4"/>
      <c r="C90" s="28"/>
      <c r="D90" s="4"/>
      <c r="E90" s="4"/>
      <c r="F90" s="3" t="str">
        <f>IF(E90="","",VLOOKUP(E90,Courses!$A$5:$G$10,2,FALSE))</f>
        <v/>
      </c>
      <c r="G90" s="32" t="str">
        <f>IF(E90="","",VLOOKUP(E90,Courses!$A$5:$G$10,3,FALSE))</f>
        <v/>
      </c>
      <c r="H90" s="4"/>
      <c r="I90" s="4"/>
      <c r="J90" s="36" t="str">
        <f>IF(I90="","",VLOOKUP(E90,Courses!$A$5:$G$10,6,FALSE))</f>
        <v/>
      </c>
      <c r="K90" s="32">
        <f t="shared" si="1"/>
        <v>0</v>
      </c>
      <c r="L90" s="4"/>
      <c r="M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4"/>
      <c r="B91" s="4"/>
      <c r="C91" s="28"/>
      <c r="D91" s="4"/>
      <c r="E91" s="4"/>
      <c r="F91" s="3" t="str">
        <f>IF(E91="","",VLOOKUP(E91,Courses!$A$5:$G$10,2,FALSE))</f>
        <v/>
      </c>
      <c r="G91" s="32" t="str">
        <f>IF(E91="","",VLOOKUP(E91,Courses!$A$5:$G$10,3,FALSE))</f>
        <v/>
      </c>
      <c r="H91" s="4"/>
      <c r="I91" s="4"/>
      <c r="J91" s="36" t="str">
        <f>IF(I91="","",VLOOKUP(E91,Courses!$A$5:$G$10,6,FALSE))</f>
        <v/>
      </c>
      <c r="K91" s="32">
        <f t="shared" si="1"/>
        <v>0</v>
      </c>
      <c r="L91" s="4"/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4"/>
      <c r="B92" s="4"/>
      <c r="C92" s="28"/>
      <c r="D92" s="4"/>
      <c r="E92" s="4"/>
      <c r="F92" s="3" t="str">
        <f>IF(E92="","",VLOOKUP(E92,Courses!$A$5:$G$10,2,FALSE))</f>
        <v/>
      </c>
      <c r="G92" s="32" t="str">
        <f>IF(E92="","",VLOOKUP(E92,Courses!$A$5:$G$10,3,FALSE))</f>
        <v/>
      </c>
      <c r="H92" s="4"/>
      <c r="I92" s="4"/>
      <c r="J92" s="36" t="str">
        <f>IF(I92="","",VLOOKUP(E92,Courses!$A$5:$G$10,6,FALSE))</f>
        <v/>
      </c>
      <c r="K92" s="32">
        <f t="shared" si="1"/>
        <v>0</v>
      </c>
      <c r="L92" s="4"/>
      <c r="M92" s="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4"/>
      <c r="B93" s="4"/>
      <c r="C93" s="28"/>
      <c r="D93" s="4"/>
      <c r="E93" s="4"/>
      <c r="F93" s="3" t="str">
        <f>IF(E93="","",VLOOKUP(E93,Courses!$A$5:$G$10,2,FALSE))</f>
        <v/>
      </c>
      <c r="G93" s="32" t="str">
        <f>IF(E93="","",VLOOKUP(E93,Courses!$A$5:$G$10,3,FALSE))</f>
        <v/>
      </c>
      <c r="H93" s="4"/>
      <c r="I93" s="4"/>
      <c r="J93" s="36" t="str">
        <f>IF(I93="","",VLOOKUP(E93,Courses!$A$5:$G$10,6,FALSE))</f>
        <v/>
      </c>
      <c r="K93" s="32">
        <f t="shared" si="1"/>
        <v>0</v>
      </c>
      <c r="L93" s="4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4"/>
      <c r="B94" s="4"/>
      <c r="C94" s="28"/>
      <c r="D94" s="4"/>
      <c r="E94" s="4"/>
      <c r="F94" s="3" t="str">
        <f>IF(E94="","",VLOOKUP(E94,Courses!$A$5:$G$10,2,FALSE))</f>
        <v/>
      </c>
      <c r="G94" s="32" t="str">
        <f>IF(E94="","",VLOOKUP(E94,Courses!$A$5:$G$10,3,FALSE))</f>
        <v/>
      </c>
      <c r="H94" s="4"/>
      <c r="I94" s="4"/>
      <c r="J94" s="36" t="str">
        <f>IF(I94="","",VLOOKUP(E94,Courses!$A$5:$G$10,6,FALSE))</f>
        <v/>
      </c>
      <c r="K94" s="32">
        <f t="shared" si="1"/>
        <v>0</v>
      </c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4"/>
      <c r="B95" s="4"/>
      <c r="C95" s="28"/>
      <c r="D95" s="4"/>
      <c r="E95" s="4"/>
      <c r="F95" s="3" t="str">
        <f>IF(E95="","",VLOOKUP(E95,Courses!$A$5:$G$10,2,FALSE))</f>
        <v/>
      </c>
      <c r="G95" s="32" t="str">
        <f>IF(E95="","",VLOOKUP(E95,Courses!$A$5:$G$10,3,FALSE))</f>
        <v/>
      </c>
      <c r="H95" s="4"/>
      <c r="I95" s="4"/>
      <c r="J95" s="36" t="str">
        <f>IF(I95="","",VLOOKUP(E95,Courses!$A$5:$G$10,6,FALSE))</f>
        <v/>
      </c>
      <c r="K95" s="32">
        <f t="shared" si="1"/>
        <v>0</v>
      </c>
      <c r="L95" s="4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4"/>
      <c r="B96" s="4"/>
      <c r="C96" s="28"/>
      <c r="D96" s="4"/>
      <c r="E96" s="4"/>
      <c r="F96" s="3" t="str">
        <f>IF(E96="","",VLOOKUP(E96,Courses!$A$5:$G$10,2,FALSE))</f>
        <v/>
      </c>
      <c r="G96" s="32" t="str">
        <f>IF(E96="","",VLOOKUP(E96,Courses!$A$5:$G$10,3,FALSE))</f>
        <v/>
      </c>
      <c r="H96" s="4"/>
      <c r="I96" s="4"/>
      <c r="J96" s="36" t="str">
        <f>IF(I96="","",VLOOKUP(E96,Courses!$A$5:$G$10,6,FALSE))</f>
        <v/>
      </c>
      <c r="K96" s="32">
        <f t="shared" si="1"/>
        <v>0</v>
      </c>
      <c r="L96" s="4"/>
      <c r="M96" s="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4"/>
      <c r="B97" s="4"/>
      <c r="C97" s="28"/>
      <c r="D97" s="4"/>
      <c r="E97" s="4"/>
      <c r="F97" s="3" t="str">
        <f>IF(E97="","",VLOOKUP(E97,Courses!$A$5:$G$10,2,FALSE))</f>
        <v/>
      </c>
      <c r="G97" s="32" t="str">
        <f>IF(E97="","",VLOOKUP(E97,Courses!$A$5:$G$10,3,FALSE))</f>
        <v/>
      </c>
      <c r="H97" s="4"/>
      <c r="I97" s="4"/>
      <c r="J97" s="36" t="str">
        <f>IF(I97="","",VLOOKUP(E97,Courses!$A$5:$G$10,6,FALSE))</f>
        <v/>
      </c>
      <c r="K97" s="32">
        <f t="shared" si="1"/>
        <v>0</v>
      </c>
      <c r="L97" s="4"/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4"/>
      <c r="B98" s="4"/>
      <c r="C98" s="28"/>
      <c r="D98" s="4"/>
      <c r="E98" s="4"/>
      <c r="F98" s="3" t="str">
        <f>IF(E98="","",VLOOKUP(E98,Courses!$A$5:$G$10,2,FALSE))</f>
        <v/>
      </c>
      <c r="G98" s="32" t="str">
        <f>IF(E98="","",VLOOKUP(E98,Courses!$A$5:$G$10,3,FALSE))</f>
        <v/>
      </c>
      <c r="H98" s="4"/>
      <c r="I98" s="4"/>
      <c r="J98" s="36" t="str">
        <f>IF(I98="","",VLOOKUP(E98,Courses!$A$5:$G$10,6,FALSE))</f>
        <v/>
      </c>
      <c r="K98" s="32">
        <f t="shared" si="1"/>
        <v>0</v>
      </c>
      <c r="L98" s="4"/>
      <c r="M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4"/>
      <c r="B99" s="4"/>
      <c r="C99" s="28"/>
      <c r="D99" s="4"/>
      <c r="E99" s="4"/>
      <c r="F99" s="3" t="str">
        <f>IF(E99="","",VLOOKUP(E99,Courses!$A$5:$G$10,2,FALSE))</f>
        <v/>
      </c>
      <c r="G99" s="32" t="str">
        <f>IF(E99="","",VLOOKUP(E99,Courses!$A$5:$G$10,3,FALSE))</f>
        <v/>
      </c>
      <c r="H99" s="4"/>
      <c r="I99" s="4"/>
      <c r="J99" s="36" t="str">
        <f>IF(I99="","",VLOOKUP(E99,Courses!$A$5:$G$10,6,FALSE))</f>
        <v/>
      </c>
      <c r="K99" s="32">
        <f t="shared" si="1"/>
        <v>0</v>
      </c>
      <c r="L99" s="4"/>
      <c r="M99" s="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4"/>
      <c r="B100" s="4"/>
      <c r="C100" s="28"/>
      <c r="D100" s="4"/>
      <c r="E100" s="4"/>
      <c r="F100" s="3" t="str">
        <f>IF(E100="","",VLOOKUP(E100,Courses!$A$5:$G$10,2,FALSE))</f>
        <v/>
      </c>
      <c r="G100" s="32" t="str">
        <f>IF(E100="","",VLOOKUP(E100,Courses!$A$5:$G$10,3,FALSE))</f>
        <v/>
      </c>
      <c r="H100" s="4"/>
      <c r="I100" s="4"/>
      <c r="J100" s="36" t="str">
        <f>IF(I100="","",VLOOKUP(E100,Courses!$A$5:$G$10,6,FALSE))</f>
        <v/>
      </c>
      <c r="K100" s="32">
        <f t="shared" si="1"/>
        <v>0</v>
      </c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4"/>
      <c r="B101" s="4"/>
      <c r="C101" s="28"/>
      <c r="D101" s="4"/>
      <c r="E101" s="4"/>
      <c r="F101" s="3" t="str">
        <f>IF(E101="","",VLOOKUP(E101,Courses!$A$5:$G$10,2,FALSE))</f>
        <v/>
      </c>
      <c r="G101" s="32" t="str">
        <f>IF(E101="","",VLOOKUP(E101,Courses!$A$5:$G$10,3,FALSE))</f>
        <v/>
      </c>
      <c r="H101" s="4"/>
      <c r="I101" s="4"/>
      <c r="J101" s="36" t="str">
        <f>IF(I101="","",VLOOKUP(E101,Courses!$A$5:$G$10,6,FALSE))</f>
        <v/>
      </c>
      <c r="K101" s="32">
        <f t="shared" si="1"/>
        <v>0</v>
      </c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4"/>
      <c r="B102" s="4"/>
      <c r="C102" s="28"/>
      <c r="D102" s="4"/>
      <c r="E102" s="4"/>
      <c r="F102" s="3" t="str">
        <f>IF(E102="","",VLOOKUP(E102,Courses!$A$5:$G$10,2,FALSE))</f>
        <v/>
      </c>
      <c r="G102" s="32" t="str">
        <f>IF(E102="","",VLOOKUP(E102,Courses!$A$5:$G$10,3,FALSE))</f>
        <v/>
      </c>
      <c r="H102" s="4"/>
      <c r="I102" s="4"/>
      <c r="J102" s="36" t="str">
        <f>IF(I102="","",VLOOKUP(E102,Courses!$A$5:$G$10,6,FALSE))</f>
        <v/>
      </c>
      <c r="K102" s="32">
        <f t="shared" si="1"/>
        <v>0</v>
      </c>
      <c r="L102" s="4"/>
      <c r="M102" s="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4"/>
      <c r="B103" s="4"/>
      <c r="C103" s="28"/>
      <c r="D103" s="4"/>
      <c r="E103" s="4"/>
      <c r="F103" s="3" t="str">
        <f>IF(E103="","",VLOOKUP(E103,Courses!$A$5:$G$10,2,FALSE))</f>
        <v/>
      </c>
      <c r="G103" s="32" t="str">
        <f>IF(E103="","",VLOOKUP(E103,Courses!$A$5:$G$10,3,FALSE))</f>
        <v/>
      </c>
      <c r="H103" s="4"/>
      <c r="I103" s="4"/>
      <c r="J103" s="36" t="str">
        <f>IF(I103="","",VLOOKUP(E103,Courses!$A$5:$G$10,6,FALSE))</f>
        <v/>
      </c>
      <c r="K103" s="32">
        <f t="shared" si="1"/>
        <v>0</v>
      </c>
      <c r="L103" s="4"/>
      <c r="M103" s="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4"/>
      <c r="B104" s="4"/>
      <c r="C104" s="28"/>
      <c r="D104" s="4"/>
      <c r="E104" s="4"/>
      <c r="F104" s="3" t="str">
        <f>IF(E104="","",VLOOKUP(E104,Courses!$A$5:$G$10,2,FALSE))</f>
        <v/>
      </c>
      <c r="G104" s="32" t="str">
        <f>IF(E104="","",VLOOKUP(E104,Courses!$A$5:$G$10,3,FALSE))</f>
        <v/>
      </c>
      <c r="H104" s="4"/>
      <c r="I104" s="4"/>
      <c r="J104" s="36" t="str">
        <f>IF(I104="","",VLOOKUP(E104,Courses!$A$5:$G$10,6,FALSE))</f>
        <v/>
      </c>
      <c r="K104" s="32">
        <f t="shared" si="1"/>
        <v>0</v>
      </c>
      <c r="L104" s="4"/>
      <c r="M104" s="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4"/>
      <c r="B105" s="4"/>
      <c r="C105" s="28"/>
      <c r="D105" s="4"/>
      <c r="E105" s="4"/>
      <c r="F105" s="3" t="str">
        <f>IF(E105="","",VLOOKUP(E105,Courses!$A$5:$G$10,2,FALSE))</f>
        <v/>
      </c>
      <c r="G105" s="32" t="str">
        <f>IF(E105="","",VLOOKUP(E105,Courses!$A$5:$G$10,3,FALSE))</f>
        <v/>
      </c>
      <c r="H105" s="4"/>
      <c r="I105" s="4"/>
      <c r="J105" s="36" t="str">
        <f>IF(I105="","",VLOOKUP(E105,Courses!$A$5:$G$10,6,FALSE))</f>
        <v/>
      </c>
      <c r="K105" s="32">
        <f t="shared" si="1"/>
        <v>0</v>
      </c>
      <c r="L105" s="4"/>
      <c r="M105" s="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4"/>
      <c r="B106" s="4"/>
      <c r="C106" s="28"/>
      <c r="D106" s="4"/>
      <c r="E106" s="4"/>
      <c r="F106" s="3" t="str">
        <f>IF(E106="","",VLOOKUP(E106,Courses!$A$5:$G$10,2,FALSE))</f>
        <v/>
      </c>
      <c r="G106" s="32" t="str">
        <f>IF(E106="","",VLOOKUP(E106,Courses!$A$5:$G$10,3,FALSE))</f>
        <v/>
      </c>
      <c r="H106" s="4"/>
      <c r="I106" s="4"/>
      <c r="J106" s="36" t="str">
        <f>IF(I106="","",VLOOKUP(E106,Courses!$A$5:$G$10,6,FALSE))</f>
        <v/>
      </c>
      <c r="K106" s="32">
        <f t="shared" si="1"/>
        <v>0</v>
      </c>
      <c r="L106" s="4"/>
      <c r="M106" s="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4"/>
      <c r="B107" s="4"/>
      <c r="C107" s="28"/>
      <c r="D107" s="4"/>
      <c r="E107" s="4"/>
      <c r="F107" s="3" t="str">
        <f>IF(E107="","",VLOOKUP(E107,Courses!$A$5:$G$10,2,FALSE))</f>
        <v/>
      </c>
      <c r="G107" s="32" t="str">
        <f>IF(E107="","",VLOOKUP(E107,Courses!$A$5:$G$10,3,FALSE))</f>
        <v/>
      </c>
      <c r="H107" s="4"/>
      <c r="I107" s="4"/>
      <c r="J107" s="36" t="str">
        <f>IF(I107="","",VLOOKUP(E107,Courses!$A$5:$G$10,6,FALSE))</f>
        <v/>
      </c>
      <c r="K107" s="32">
        <f t="shared" si="1"/>
        <v>0</v>
      </c>
      <c r="L107" s="4"/>
      <c r="M107" s="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4"/>
      <c r="B108" s="4"/>
      <c r="C108" s="28"/>
      <c r="D108" s="4"/>
      <c r="E108" s="4"/>
      <c r="F108" s="3" t="str">
        <f>IF(E108="","",VLOOKUP(E108,Courses!$A$5:$G$10,2,FALSE))</f>
        <v/>
      </c>
      <c r="G108" s="32" t="str">
        <f>IF(E108="","",VLOOKUP(E108,Courses!$A$5:$G$10,3,FALSE))</f>
        <v/>
      </c>
      <c r="H108" s="4"/>
      <c r="I108" s="4"/>
      <c r="J108" s="36" t="str">
        <f>IF(I108="","",VLOOKUP(E108,Courses!$A$5:$G$10,6,FALSE))</f>
        <v/>
      </c>
      <c r="K108" s="32">
        <f t="shared" si="1"/>
        <v>0</v>
      </c>
      <c r="L108" s="4"/>
      <c r="M108" s="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4"/>
      <c r="B109" s="4"/>
      <c r="C109" s="28"/>
      <c r="D109" s="4"/>
      <c r="E109" s="4"/>
      <c r="F109" s="3" t="str">
        <f>IF(E109="","",VLOOKUP(E109,Courses!$A$5:$G$10,2,FALSE))</f>
        <v/>
      </c>
      <c r="G109" s="32" t="str">
        <f>IF(E109="","",VLOOKUP(E109,Courses!$A$5:$G$10,3,FALSE))</f>
        <v/>
      </c>
      <c r="H109" s="4"/>
      <c r="I109" s="4"/>
      <c r="J109" s="36" t="str">
        <f>IF(I109="","",VLOOKUP(E109,Courses!$A$5:$G$10,6,FALSE))</f>
        <v/>
      </c>
      <c r="K109" s="32">
        <f t="shared" si="1"/>
        <v>0</v>
      </c>
      <c r="L109" s="4"/>
      <c r="M109" s="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4"/>
      <c r="B110" s="4"/>
      <c r="C110" s="28"/>
      <c r="D110" s="4"/>
      <c r="E110" s="4"/>
      <c r="F110" s="3" t="str">
        <f>IF(E110="","",VLOOKUP(E110,Courses!$A$5:$G$10,2,FALSE))</f>
        <v/>
      </c>
      <c r="G110" s="32" t="str">
        <f>IF(E110="","",VLOOKUP(E110,Courses!$A$5:$G$10,3,FALSE))</f>
        <v/>
      </c>
      <c r="H110" s="4"/>
      <c r="I110" s="4"/>
      <c r="J110" s="36" t="str">
        <f>IF(I110="","",VLOOKUP(E110,Courses!$A$5:$G$10,6,FALSE))</f>
        <v/>
      </c>
      <c r="K110" s="32">
        <f t="shared" si="1"/>
        <v>0</v>
      </c>
      <c r="L110" s="4"/>
      <c r="M110" s="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4"/>
      <c r="B111" s="4"/>
      <c r="C111" s="28"/>
      <c r="D111" s="4"/>
      <c r="E111" s="4"/>
      <c r="F111" s="3" t="str">
        <f>IF(E111="","",VLOOKUP(E111,Courses!$A$5:$G$10,2,FALSE))</f>
        <v/>
      </c>
      <c r="G111" s="32" t="str">
        <f>IF(E111="","",VLOOKUP(E111,Courses!$A$5:$G$10,3,FALSE))</f>
        <v/>
      </c>
      <c r="H111" s="4"/>
      <c r="I111" s="4"/>
      <c r="J111" s="36" t="str">
        <f>IF(I111="","",VLOOKUP(E111,Courses!$A$5:$G$10,6,FALSE))</f>
        <v/>
      </c>
      <c r="K111" s="32">
        <f t="shared" si="1"/>
        <v>0</v>
      </c>
      <c r="L111" s="4"/>
      <c r="M111" s="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4"/>
      <c r="B112" s="4"/>
      <c r="C112" s="28"/>
      <c r="D112" s="4"/>
      <c r="E112" s="4"/>
      <c r="F112" s="3" t="str">
        <f>IF(E112="","",VLOOKUP(E112,Courses!$A$5:$G$10,2,FALSE))</f>
        <v/>
      </c>
      <c r="G112" s="32" t="str">
        <f>IF(E112="","",VLOOKUP(E112,Courses!$A$5:$G$10,3,FALSE))</f>
        <v/>
      </c>
      <c r="H112" s="4"/>
      <c r="I112" s="4"/>
      <c r="J112" s="36" t="str">
        <f>IF(I112="","",VLOOKUP(E112,Courses!$A$5:$G$10,6,FALSE))</f>
        <v/>
      </c>
      <c r="K112" s="32">
        <f t="shared" si="1"/>
        <v>0</v>
      </c>
      <c r="L112" s="4"/>
      <c r="M112" s="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4"/>
      <c r="B113" s="4"/>
      <c r="C113" s="28"/>
      <c r="D113" s="4"/>
      <c r="E113" s="4"/>
      <c r="F113" s="3" t="str">
        <f>IF(E113="","",VLOOKUP(E113,Courses!$A$5:$G$10,2,FALSE))</f>
        <v/>
      </c>
      <c r="G113" s="32" t="str">
        <f>IF(E113="","",VLOOKUP(E113,Courses!$A$5:$G$10,3,FALSE))</f>
        <v/>
      </c>
      <c r="H113" s="4"/>
      <c r="I113" s="4"/>
      <c r="J113" s="36" t="str">
        <f>IF(I113="","",VLOOKUP(E113,Courses!$A$5:$G$10,6,FALSE))</f>
        <v/>
      </c>
      <c r="K113" s="32">
        <f t="shared" si="1"/>
        <v>0</v>
      </c>
      <c r="L113" s="4"/>
      <c r="M113" s="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4"/>
      <c r="B114" s="4"/>
      <c r="C114" s="28"/>
      <c r="D114" s="4"/>
      <c r="E114" s="4"/>
      <c r="F114" s="3" t="str">
        <f>IF(E114="","",VLOOKUP(E114,Courses!$A$5:$G$10,2,FALSE))</f>
        <v/>
      </c>
      <c r="G114" s="32" t="str">
        <f>IF(E114="","",VLOOKUP(E114,Courses!$A$5:$G$10,3,FALSE))</f>
        <v/>
      </c>
      <c r="H114" s="4"/>
      <c r="I114" s="4"/>
      <c r="J114" s="36" t="str">
        <f>IF(I114="","",VLOOKUP(E114,Courses!$A$5:$G$10,6,FALSE))</f>
        <v/>
      </c>
      <c r="K114" s="32">
        <f t="shared" si="1"/>
        <v>0</v>
      </c>
      <c r="L114" s="4"/>
      <c r="M114" s="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4"/>
      <c r="B115" s="4"/>
      <c r="C115" s="28"/>
      <c r="D115" s="4"/>
      <c r="E115" s="4"/>
      <c r="F115" s="3" t="str">
        <f>IF(E115="","",VLOOKUP(E115,Courses!$A$5:$G$10,2,FALSE))</f>
        <v/>
      </c>
      <c r="G115" s="32" t="str">
        <f>IF(E115="","",VLOOKUP(E115,Courses!$A$5:$G$10,3,FALSE))</f>
        <v/>
      </c>
      <c r="H115" s="4"/>
      <c r="I115" s="4"/>
      <c r="J115" s="36" t="str">
        <f>IF(I115="","",VLOOKUP(E115,Courses!$A$5:$G$10,6,FALSE))</f>
        <v/>
      </c>
      <c r="K115" s="32">
        <f t="shared" si="1"/>
        <v>0</v>
      </c>
      <c r="L115" s="4"/>
      <c r="M115" s="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4"/>
      <c r="B116" s="4"/>
      <c r="C116" s="28"/>
      <c r="D116" s="4"/>
      <c r="E116" s="4"/>
      <c r="F116" s="3" t="str">
        <f>IF(E116="","",VLOOKUP(E116,Courses!$A$5:$G$10,2,FALSE))</f>
        <v/>
      </c>
      <c r="G116" s="32" t="str">
        <f>IF(E116="","",VLOOKUP(E116,Courses!$A$5:$G$10,3,FALSE))</f>
        <v/>
      </c>
      <c r="H116" s="4"/>
      <c r="I116" s="4"/>
      <c r="J116" s="36" t="str">
        <f>IF(I116="","",VLOOKUP(E116,Courses!$A$5:$G$10,6,FALSE))</f>
        <v/>
      </c>
      <c r="K116" s="32">
        <f t="shared" si="1"/>
        <v>0</v>
      </c>
      <c r="L116" s="4"/>
      <c r="M116" s="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4"/>
      <c r="B117" s="4"/>
      <c r="C117" s="28"/>
      <c r="D117" s="4"/>
      <c r="E117" s="4"/>
      <c r="F117" s="3" t="str">
        <f>IF(E117="","",VLOOKUP(E117,Courses!$A$5:$G$10,2,FALSE))</f>
        <v/>
      </c>
      <c r="G117" s="32" t="str">
        <f>IF(E117="","",VLOOKUP(E117,Courses!$A$5:$G$10,3,FALSE))</f>
        <v/>
      </c>
      <c r="H117" s="4"/>
      <c r="I117" s="4"/>
      <c r="J117" s="36" t="str">
        <f>IF(I117="","",VLOOKUP(E117,Courses!$A$5:$G$10,6,FALSE))</f>
        <v/>
      </c>
      <c r="K117" s="32">
        <f t="shared" si="1"/>
        <v>0</v>
      </c>
      <c r="L117" s="4"/>
      <c r="M117" s="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4"/>
      <c r="B118" s="4"/>
      <c r="C118" s="28"/>
      <c r="D118" s="4"/>
      <c r="E118" s="4"/>
      <c r="F118" s="3" t="str">
        <f>IF(E118="","",VLOOKUP(E118,Courses!$A$5:$G$10,2,FALSE))</f>
        <v/>
      </c>
      <c r="G118" s="32" t="str">
        <f>IF(E118="","",VLOOKUP(E118,Courses!$A$5:$G$10,3,FALSE))</f>
        <v/>
      </c>
      <c r="H118" s="4"/>
      <c r="I118" s="4"/>
      <c r="J118" s="36" t="str">
        <f>IF(I118="","",VLOOKUP(E118,Courses!$A$5:$G$10,6,FALSE))</f>
        <v/>
      </c>
      <c r="K118" s="32">
        <f t="shared" si="1"/>
        <v>0</v>
      </c>
      <c r="L118" s="4"/>
      <c r="M118" s="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4"/>
      <c r="B119" s="4"/>
      <c r="C119" s="28"/>
      <c r="D119" s="4"/>
      <c r="E119" s="4"/>
      <c r="F119" s="3" t="str">
        <f>IF(E119="","",VLOOKUP(E119,Courses!$A$5:$G$10,2,FALSE))</f>
        <v/>
      </c>
      <c r="G119" s="32" t="str">
        <f>IF(E119="","",VLOOKUP(E119,Courses!$A$5:$G$10,3,FALSE))</f>
        <v/>
      </c>
      <c r="H119" s="4"/>
      <c r="I119" s="4"/>
      <c r="J119" s="36" t="str">
        <f>IF(I119="","",VLOOKUP(E119,Courses!$A$5:$G$10,6,FALSE))</f>
        <v/>
      </c>
      <c r="K119" s="32">
        <f t="shared" si="1"/>
        <v>0</v>
      </c>
      <c r="L119" s="4"/>
      <c r="M119" s="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4"/>
      <c r="B120" s="4"/>
      <c r="C120" s="28"/>
      <c r="D120" s="4"/>
      <c r="E120" s="4"/>
      <c r="F120" s="3" t="str">
        <f>IF(E120="","",VLOOKUP(E120,Courses!$A$5:$G$10,2,FALSE))</f>
        <v/>
      </c>
      <c r="G120" s="32" t="str">
        <f>IF(E120="","",VLOOKUP(E120,Courses!$A$5:$G$10,3,FALSE))</f>
        <v/>
      </c>
      <c r="H120" s="4"/>
      <c r="I120" s="4"/>
      <c r="J120" s="36" t="str">
        <f>IF(I120="","",VLOOKUP(E120,Courses!$A$5:$G$10,6,FALSE))</f>
        <v/>
      </c>
      <c r="K120" s="32">
        <f t="shared" si="1"/>
        <v>0</v>
      </c>
      <c r="L120" s="4"/>
      <c r="M120" s="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4"/>
      <c r="B121" s="4"/>
      <c r="C121" s="28"/>
      <c r="D121" s="4"/>
      <c r="E121" s="4"/>
      <c r="F121" s="3" t="str">
        <f>IF(E121="","",VLOOKUP(E121,Courses!$A$5:$G$10,2,FALSE))</f>
        <v/>
      </c>
      <c r="G121" s="32" t="str">
        <f>IF(E121="","",VLOOKUP(E121,Courses!$A$5:$G$10,3,FALSE))</f>
        <v/>
      </c>
      <c r="H121" s="4"/>
      <c r="I121" s="4"/>
      <c r="J121" s="36" t="str">
        <f>IF(I121="","",VLOOKUP(E121,Courses!$A$5:$G$10,6,FALSE))</f>
        <v/>
      </c>
      <c r="K121" s="32">
        <f t="shared" si="1"/>
        <v>0</v>
      </c>
      <c r="L121" s="4"/>
      <c r="M121" s="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4"/>
      <c r="B122" s="4"/>
      <c r="C122" s="28"/>
      <c r="D122" s="4"/>
      <c r="E122" s="4"/>
      <c r="F122" s="3" t="str">
        <f>IF(E122="","",VLOOKUP(E122,Courses!$A$5:$G$10,2,FALSE))</f>
        <v/>
      </c>
      <c r="G122" s="32" t="str">
        <f>IF(E122="","",VLOOKUP(E122,Courses!$A$5:$G$10,3,FALSE))</f>
        <v/>
      </c>
      <c r="H122" s="4"/>
      <c r="I122" s="4"/>
      <c r="J122" s="36" t="str">
        <f>IF(I122="","",VLOOKUP(E122,Courses!$A$5:$G$10,6,FALSE))</f>
        <v/>
      </c>
      <c r="K122" s="32">
        <f t="shared" si="1"/>
        <v>0</v>
      </c>
      <c r="L122" s="4"/>
      <c r="M122" s="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4"/>
      <c r="B123" s="4"/>
      <c r="C123" s="28"/>
      <c r="D123" s="4"/>
      <c r="E123" s="4"/>
      <c r="F123" s="3" t="str">
        <f>IF(E123="","",VLOOKUP(E123,Courses!$A$5:$G$10,2,FALSE))</f>
        <v/>
      </c>
      <c r="G123" s="32" t="str">
        <f>IF(E123="","",VLOOKUP(E123,Courses!$A$5:$G$10,3,FALSE))</f>
        <v/>
      </c>
      <c r="H123" s="4"/>
      <c r="I123" s="4"/>
      <c r="J123" s="36" t="str">
        <f>IF(I123="","",VLOOKUP(E123,Courses!$A$5:$G$10,6,FALSE))</f>
        <v/>
      </c>
      <c r="K123" s="32">
        <f t="shared" si="1"/>
        <v>0</v>
      </c>
      <c r="L123" s="4"/>
      <c r="M123" s="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4"/>
      <c r="B124" s="4"/>
      <c r="C124" s="28"/>
      <c r="D124" s="4"/>
      <c r="E124" s="4"/>
      <c r="F124" s="3" t="str">
        <f>IF(E124="","",VLOOKUP(E124,Courses!$A$5:$G$10,2,FALSE))</f>
        <v/>
      </c>
      <c r="G124" s="32" t="str">
        <f>IF(E124="","",VLOOKUP(E124,Courses!$A$5:$G$10,3,FALSE))</f>
        <v/>
      </c>
      <c r="H124" s="4"/>
      <c r="I124" s="4"/>
      <c r="J124" s="36" t="str">
        <f>IF(I124="","",VLOOKUP(E124,Courses!$A$5:$G$10,6,FALSE))</f>
        <v/>
      </c>
      <c r="K124" s="32">
        <f t="shared" si="1"/>
        <v>0</v>
      </c>
      <c r="L124" s="4"/>
      <c r="M124" s="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4"/>
      <c r="B125" s="4"/>
      <c r="C125" s="28"/>
      <c r="D125" s="4"/>
      <c r="E125" s="4"/>
      <c r="F125" s="3" t="str">
        <f>IF(E125="","",VLOOKUP(E125,Courses!$A$5:$G$10,2,FALSE))</f>
        <v/>
      </c>
      <c r="G125" s="32" t="str">
        <f>IF(E125="","",VLOOKUP(E125,Courses!$A$5:$G$10,3,FALSE))</f>
        <v/>
      </c>
      <c r="H125" s="4"/>
      <c r="I125" s="4"/>
      <c r="J125" s="36" t="str">
        <f>IF(I125="","",VLOOKUP(E125,Courses!$A$5:$G$10,6,FALSE))</f>
        <v/>
      </c>
      <c r="K125" s="32">
        <f t="shared" si="1"/>
        <v>0</v>
      </c>
      <c r="L125" s="4"/>
      <c r="M125" s="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4"/>
      <c r="B126" s="4"/>
      <c r="C126" s="28"/>
      <c r="D126" s="4"/>
      <c r="E126" s="4"/>
      <c r="F126" s="3" t="str">
        <f>IF(E126="","",VLOOKUP(E126,Courses!$A$5:$G$10,2,FALSE))</f>
        <v/>
      </c>
      <c r="G126" s="32" t="str">
        <f>IF(E126="","",VLOOKUP(E126,Courses!$A$5:$G$10,3,FALSE))</f>
        <v/>
      </c>
      <c r="H126" s="4"/>
      <c r="I126" s="4"/>
      <c r="J126" s="36" t="str">
        <f>IF(I126="","",VLOOKUP(E126,Courses!$A$5:$G$10,6,FALSE))</f>
        <v/>
      </c>
      <c r="K126" s="32">
        <f t="shared" si="1"/>
        <v>0</v>
      </c>
      <c r="L126" s="4"/>
      <c r="M126" s="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4"/>
      <c r="B127" s="4"/>
      <c r="C127" s="28"/>
      <c r="D127" s="4"/>
      <c r="E127" s="4"/>
      <c r="F127" s="3" t="str">
        <f>IF(E127="","",VLOOKUP(E127,Courses!$A$5:$G$10,2,FALSE))</f>
        <v/>
      </c>
      <c r="G127" s="32" t="str">
        <f>IF(E127="","",VLOOKUP(E127,Courses!$A$5:$G$10,3,FALSE))</f>
        <v/>
      </c>
      <c r="H127" s="4"/>
      <c r="I127" s="4"/>
      <c r="J127" s="36" t="str">
        <f>IF(I127="","",VLOOKUP(E127,Courses!$A$5:$G$10,6,FALSE))</f>
        <v/>
      </c>
      <c r="K127" s="32">
        <f t="shared" si="1"/>
        <v>0</v>
      </c>
      <c r="L127" s="4"/>
      <c r="M127" s="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4"/>
      <c r="B128" s="4"/>
      <c r="C128" s="28"/>
      <c r="D128" s="4"/>
      <c r="E128" s="4"/>
      <c r="F128" s="3" t="str">
        <f>IF(E128="","",VLOOKUP(E128,Courses!$A$5:$G$10,2,FALSE))</f>
        <v/>
      </c>
      <c r="G128" s="32" t="str">
        <f>IF(E128="","",VLOOKUP(E128,Courses!$A$5:$G$10,3,FALSE))</f>
        <v/>
      </c>
      <c r="H128" s="4"/>
      <c r="I128" s="4"/>
      <c r="J128" s="36" t="str">
        <f>IF(I128="","",VLOOKUP(E128,Courses!$A$5:$G$10,6,FALSE))</f>
        <v/>
      </c>
      <c r="K128" s="32">
        <f t="shared" si="1"/>
        <v>0</v>
      </c>
      <c r="L128" s="4"/>
      <c r="M128" s="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4"/>
      <c r="B129" s="4"/>
      <c r="C129" s="28"/>
      <c r="D129" s="4"/>
      <c r="E129" s="4"/>
      <c r="F129" s="3" t="str">
        <f>IF(E129="","",VLOOKUP(E129,Courses!$A$5:$G$10,2,FALSE))</f>
        <v/>
      </c>
      <c r="G129" s="32" t="str">
        <f>IF(E129="","",VLOOKUP(E129,Courses!$A$5:$G$10,3,FALSE))</f>
        <v/>
      </c>
      <c r="H129" s="4"/>
      <c r="I129" s="4"/>
      <c r="J129" s="36" t="str">
        <f>IF(I129="","",VLOOKUP(E129,Courses!$A$5:$G$10,6,FALSE))</f>
        <v/>
      </c>
      <c r="K129" s="32">
        <f t="shared" si="1"/>
        <v>0</v>
      </c>
      <c r="L129" s="4"/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4"/>
      <c r="B130" s="4"/>
      <c r="C130" s="28"/>
      <c r="D130" s="4"/>
      <c r="E130" s="4"/>
      <c r="F130" s="3" t="str">
        <f>IF(E130="","",VLOOKUP(E130,Courses!$A$5:$G$10,2,FALSE))</f>
        <v/>
      </c>
      <c r="G130" s="32" t="str">
        <f>IF(E130="","",VLOOKUP(E130,Courses!$A$5:$G$10,3,FALSE))</f>
        <v/>
      </c>
      <c r="H130" s="4"/>
      <c r="I130" s="4"/>
      <c r="J130" s="36" t="str">
        <f>IF(I130="","",VLOOKUP(E130,Courses!$A$5:$G$10,6,FALSE))</f>
        <v/>
      </c>
      <c r="K130" s="32">
        <f t="shared" si="1"/>
        <v>0</v>
      </c>
      <c r="L130" s="4"/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4"/>
      <c r="B131" s="4"/>
      <c r="C131" s="28"/>
      <c r="D131" s="4"/>
      <c r="E131" s="4"/>
      <c r="F131" s="3" t="str">
        <f>IF(E131="","",VLOOKUP(E131,Courses!$A$5:$G$10,2,FALSE))</f>
        <v/>
      </c>
      <c r="G131" s="32" t="str">
        <f>IF(E131="","",VLOOKUP(E131,Courses!$A$5:$G$10,3,FALSE))</f>
        <v/>
      </c>
      <c r="H131" s="4"/>
      <c r="I131" s="4"/>
      <c r="J131" s="36" t="str">
        <f>IF(I131="","",VLOOKUP(E131,Courses!$A$5:$G$10,6,FALSE))</f>
        <v/>
      </c>
      <c r="K131" s="32">
        <f t="shared" si="1"/>
        <v>0</v>
      </c>
      <c r="L131" s="4"/>
      <c r="M131" s="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4"/>
      <c r="B132" s="4"/>
      <c r="C132" s="28"/>
      <c r="D132" s="4"/>
      <c r="E132" s="4"/>
      <c r="F132" s="3" t="str">
        <f>IF(E132="","",VLOOKUP(E132,Courses!$A$5:$G$10,2,FALSE))</f>
        <v/>
      </c>
      <c r="G132" s="32" t="str">
        <f>IF(E132="","",VLOOKUP(E132,Courses!$A$5:$G$10,3,FALSE))</f>
        <v/>
      </c>
      <c r="H132" s="4"/>
      <c r="I132" s="4"/>
      <c r="J132" s="36" t="str">
        <f>IF(I132="","",VLOOKUP(E132,Courses!$A$5:$G$10,6,FALSE))</f>
        <v/>
      </c>
      <c r="K132" s="32">
        <f t="shared" si="1"/>
        <v>0</v>
      </c>
      <c r="L132" s="4"/>
      <c r="M132" s="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4"/>
      <c r="B133" s="4"/>
      <c r="C133" s="28"/>
      <c r="D133" s="4"/>
      <c r="E133" s="4"/>
      <c r="F133" s="3" t="str">
        <f>IF(E133="","",VLOOKUP(E133,Courses!$A$5:$G$10,2,FALSE))</f>
        <v/>
      </c>
      <c r="G133" s="32" t="str">
        <f>IF(E133="","",VLOOKUP(E133,Courses!$A$5:$G$10,3,FALSE))</f>
        <v/>
      </c>
      <c r="H133" s="4"/>
      <c r="I133" s="4"/>
      <c r="J133" s="36" t="str">
        <f>IF(I133="","",VLOOKUP(E133,Courses!$A$5:$G$10,6,FALSE))</f>
        <v/>
      </c>
      <c r="K133" s="32">
        <f t="shared" ref="K133:K196" si="2">IF(AND(H133="Paid",I133&lt;&gt;""),G133*J133,0)</f>
        <v>0</v>
      </c>
      <c r="L133" s="4"/>
      <c r="M133" s="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4"/>
      <c r="B134" s="4"/>
      <c r="C134" s="28"/>
      <c r="D134" s="4"/>
      <c r="E134" s="4"/>
      <c r="F134" s="3" t="str">
        <f>IF(E134="","",VLOOKUP(E134,Courses!$A$5:$G$10,2,FALSE))</f>
        <v/>
      </c>
      <c r="G134" s="32" t="str">
        <f>IF(E134="","",VLOOKUP(E134,Courses!$A$5:$G$10,3,FALSE))</f>
        <v/>
      </c>
      <c r="H134" s="4"/>
      <c r="I134" s="4"/>
      <c r="J134" s="36" t="str">
        <f>IF(I134="","",VLOOKUP(E134,Courses!$A$5:$G$10,6,FALSE))</f>
        <v/>
      </c>
      <c r="K134" s="32">
        <f t="shared" si="2"/>
        <v>0</v>
      </c>
      <c r="L134" s="4"/>
      <c r="M134" s="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4"/>
      <c r="B135" s="4"/>
      <c r="C135" s="28"/>
      <c r="D135" s="4"/>
      <c r="E135" s="4"/>
      <c r="F135" s="3" t="str">
        <f>IF(E135="","",VLOOKUP(E135,Courses!$A$5:$G$10,2,FALSE))</f>
        <v/>
      </c>
      <c r="G135" s="32" t="str">
        <f>IF(E135="","",VLOOKUP(E135,Courses!$A$5:$G$10,3,FALSE))</f>
        <v/>
      </c>
      <c r="H135" s="4"/>
      <c r="I135" s="4"/>
      <c r="J135" s="36" t="str">
        <f>IF(I135="","",VLOOKUP(E135,Courses!$A$5:$G$10,6,FALSE))</f>
        <v/>
      </c>
      <c r="K135" s="32">
        <f t="shared" si="2"/>
        <v>0</v>
      </c>
      <c r="L135" s="4"/>
      <c r="M135" s="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4"/>
      <c r="B136" s="4"/>
      <c r="C136" s="28"/>
      <c r="D136" s="4"/>
      <c r="E136" s="4"/>
      <c r="F136" s="3" t="str">
        <f>IF(E136="","",VLOOKUP(E136,Courses!$A$5:$G$10,2,FALSE))</f>
        <v/>
      </c>
      <c r="G136" s="32" t="str">
        <f>IF(E136="","",VLOOKUP(E136,Courses!$A$5:$G$10,3,FALSE))</f>
        <v/>
      </c>
      <c r="H136" s="4"/>
      <c r="I136" s="4"/>
      <c r="J136" s="36" t="str">
        <f>IF(I136="","",VLOOKUP(E136,Courses!$A$5:$G$10,6,FALSE))</f>
        <v/>
      </c>
      <c r="K136" s="32">
        <f t="shared" si="2"/>
        <v>0</v>
      </c>
      <c r="L136" s="4"/>
      <c r="M136" s="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4"/>
      <c r="B137" s="4"/>
      <c r="C137" s="28"/>
      <c r="D137" s="4"/>
      <c r="E137" s="4"/>
      <c r="F137" s="3" t="str">
        <f>IF(E137="","",VLOOKUP(E137,Courses!$A$5:$G$10,2,FALSE))</f>
        <v/>
      </c>
      <c r="G137" s="32" t="str">
        <f>IF(E137="","",VLOOKUP(E137,Courses!$A$5:$G$10,3,FALSE))</f>
        <v/>
      </c>
      <c r="H137" s="4"/>
      <c r="I137" s="4"/>
      <c r="J137" s="36" t="str">
        <f>IF(I137="","",VLOOKUP(E137,Courses!$A$5:$G$10,6,FALSE))</f>
        <v/>
      </c>
      <c r="K137" s="32">
        <f t="shared" si="2"/>
        <v>0</v>
      </c>
      <c r="L137" s="4"/>
      <c r="M137" s="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4"/>
      <c r="B138" s="4"/>
      <c r="C138" s="28"/>
      <c r="D138" s="4"/>
      <c r="E138" s="4"/>
      <c r="F138" s="3" t="str">
        <f>IF(E138="","",VLOOKUP(E138,Courses!$A$5:$G$10,2,FALSE))</f>
        <v/>
      </c>
      <c r="G138" s="32" t="str">
        <f>IF(E138="","",VLOOKUP(E138,Courses!$A$5:$G$10,3,FALSE))</f>
        <v/>
      </c>
      <c r="H138" s="4"/>
      <c r="I138" s="4"/>
      <c r="J138" s="36" t="str">
        <f>IF(I138="","",VLOOKUP(E138,Courses!$A$5:$G$10,6,FALSE))</f>
        <v/>
      </c>
      <c r="K138" s="32">
        <f t="shared" si="2"/>
        <v>0</v>
      </c>
      <c r="L138" s="4"/>
      <c r="M138" s="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4"/>
      <c r="B139" s="4"/>
      <c r="C139" s="28"/>
      <c r="D139" s="4"/>
      <c r="E139" s="4"/>
      <c r="F139" s="3" t="str">
        <f>IF(E139="","",VLOOKUP(E139,Courses!$A$5:$G$10,2,FALSE))</f>
        <v/>
      </c>
      <c r="G139" s="32" t="str">
        <f>IF(E139="","",VLOOKUP(E139,Courses!$A$5:$G$10,3,FALSE))</f>
        <v/>
      </c>
      <c r="H139" s="4"/>
      <c r="I139" s="4"/>
      <c r="J139" s="36" t="str">
        <f>IF(I139="","",VLOOKUP(E139,Courses!$A$5:$G$10,6,FALSE))</f>
        <v/>
      </c>
      <c r="K139" s="32">
        <f t="shared" si="2"/>
        <v>0</v>
      </c>
      <c r="L139" s="4"/>
      <c r="M139" s="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4"/>
      <c r="B140" s="4"/>
      <c r="C140" s="28"/>
      <c r="D140" s="4"/>
      <c r="E140" s="4"/>
      <c r="F140" s="3" t="str">
        <f>IF(E140="","",VLOOKUP(E140,Courses!$A$5:$G$10,2,FALSE))</f>
        <v/>
      </c>
      <c r="G140" s="32" t="str">
        <f>IF(E140="","",VLOOKUP(E140,Courses!$A$5:$G$10,3,FALSE))</f>
        <v/>
      </c>
      <c r="H140" s="4"/>
      <c r="I140" s="4"/>
      <c r="J140" s="36" t="str">
        <f>IF(I140="","",VLOOKUP(E140,Courses!$A$5:$G$10,6,FALSE))</f>
        <v/>
      </c>
      <c r="K140" s="32">
        <f t="shared" si="2"/>
        <v>0</v>
      </c>
      <c r="L140" s="4"/>
      <c r="M140" s="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4"/>
      <c r="B141" s="4"/>
      <c r="C141" s="28"/>
      <c r="D141" s="4"/>
      <c r="E141" s="4"/>
      <c r="F141" s="3" t="str">
        <f>IF(E141="","",VLOOKUP(E141,Courses!$A$5:$G$10,2,FALSE))</f>
        <v/>
      </c>
      <c r="G141" s="32" t="str">
        <f>IF(E141="","",VLOOKUP(E141,Courses!$A$5:$G$10,3,FALSE))</f>
        <v/>
      </c>
      <c r="H141" s="4"/>
      <c r="I141" s="4"/>
      <c r="J141" s="36" t="str">
        <f>IF(I141="","",VLOOKUP(E141,Courses!$A$5:$G$10,6,FALSE))</f>
        <v/>
      </c>
      <c r="K141" s="32">
        <f t="shared" si="2"/>
        <v>0</v>
      </c>
      <c r="L141" s="4"/>
      <c r="M141" s="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4"/>
      <c r="B142" s="4"/>
      <c r="C142" s="28"/>
      <c r="D142" s="4"/>
      <c r="E142" s="4"/>
      <c r="F142" s="3" t="str">
        <f>IF(E142="","",VLOOKUP(E142,Courses!$A$5:$G$10,2,FALSE))</f>
        <v/>
      </c>
      <c r="G142" s="32" t="str">
        <f>IF(E142="","",VLOOKUP(E142,Courses!$A$5:$G$10,3,FALSE))</f>
        <v/>
      </c>
      <c r="H142" s="4"/>
      <c r="I142" s="4"/>
      <c r="J142" s="36" t="str">
        <f>IF(I142="","",VLOOKUP(E142,Courses!$A$5:$G$10,6,FALSE))</f>
        <v/>
      </c>
      <c r="K142" s="32">
        <f t="shared" si="2"/>
        <v>0</v>
      </c>
      <c r="L142" s="4"/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4"/>
      <c r="B143" s="4"/>
      <c r="C143" s="28"/>
      <c r="D143" s="4"/>
      <c r="E143" s="4"/>
      <c r="F143" s="3" t="str">
        <f>IF(E143="","",VLOOKUP(E143,Courses!$A$5:$G$10,2,FALSE))</f>
        <v/>
      </c>
      <c r="G143" s="32" t="str">
        <f>IF(E143="","",VLOOKUP(E143,Courses!$A$5:$G$10,3,FALSE))</f>
        <v/>
      </c>
      <c r="H143" s="4"/>
      <c r="I143" s="4"/>
      <c r="J143" s="36" t="str">
        <f>IF(I143="","",VLOOKUP(E143,Courses!$A$5:$G$10,6,FALSE))</f>
        <v/>
      </c>
      <c r="K143" s="32">
        <f t="shared" si="2"/>
        <v>0</v>
      </c>
      <c r="L143" s="4"/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4"/>
      <c r="B144" s="4"/>
      <c r="C144" s="28"/>
      <c r="D144" s="4"/>
      <c r="E144" s="4"/>
      <c r="F144" s="3" t="str">
        <f>IF(E144="","",VLOOKUP(E144,Courses!$A$5:$G$10,2,FALSE))</f>
        <v/>
      </c>
      <c r="G144" s="32" t="str">
        <f>IF(E144="","",VLOOKUP(E144,Courses!$A$5:$G$10,3,FALSE))</f>
        <v/>
      </c>
      <c r="H144" s="4"/>
      <c r="I144" s="4"/>
      <c r="J144" s="36" t="str">
        <f>IF(I144="","",VLOOKUP(E144,Courses!$A$5:$G$10,6,FALSE))</f>
        <v/>
      </c>
      <c r="K144" s="32">
        <f t="shared" si="2"/>
        <v>0</v>
      </c>
      <c r="L144" s="4"/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4"/>
      <c r="B145" s="4"/>
      <c r="C145" s="28"/>
      <c r="D145" s="4"/>
      <c r="E145" s="4"/>
      <c r="F145" s="3" t="str">
        <f>IF(E145="","",VLOOKUP(E145,Courses!$A$5:$G$10,2,FALSE))</f>
        <v/>
      </c>
      <c r="G145" s="32" t="str">
        <f>IF(E145="","",VLOOKUP(E145,Courses!$A$5:$G$10,3,FALSE))</f>
        <v/>
      </c>
      <c r="H145" s="4"/>
      <c r="I145" s="4"/>
      <c r="J145" s="36" t="str">
        <f>IF(I145="","",VLOOKUP(E145,Courses!$A$5:$G$10,6,FALSE))</f>
        <v/>
      </c>
      <c r="K145" s="32">
        <f t="shared" si="2"/>
        <v>0</v>
      </c>
      <c r="L145" s="4"/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4"/>
      <c r="B146" s="4"/>
      <c r="C146" s="28"/>
      <c r="D146" s="4"/>
      <c r="E146" s="4"/>
      <c r="F146" s="3" t="str">
        <f>IF(E146="","",VLOOKUP(E146,Courses!$A$5:$G$10,2,FALSE))</f>
        <v/>
      </c>
      <c r="G146" s="32" t="str">
        <f>IF(E146="","",VLOOKUP(E146,Courses!$A$5:$G$10,3,FALSE))</f>
        <v/>
      </c>
      <c r="H146" s="4"/>
      <c r="I146" s="4"/>
      <c r="J146" s="36" t="str">
        <f>IF(I146="","",VLOOKUP(E146,Courses!$A$5:$G$10,6,FALSE))</f>
        <v/>
      </c>
      <c r="K146" s="32">
        <f t="shared" si="2"/>
        <v>0</v>
      </c>
      <c r="L146" s="4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4"/>
      <c r="B147" s="4"/>
      <c r="C147" s="28"/>
      <c r="D147" s="4"/>
      <c r="E147" s="4"/>
      <c r="F147" s="3" t="str">
        <f>IF(E147="","",VLOOKUP(E147,Courses!$A$5:$G$10,2,FALSE))</f>
        <v/>
      </c>
      <c r="G147" s="32" t="str">
        <f>IF(E147="","",VLOOKUP(E147,Courses!$A$5:$G$10,3,FALSE))</f>
        <v/>
      </c>
      <c r="H147" s="4"/>
      <c r="I147" s="4"/>
      <c r="J147" s="36" t="str">
        <f>IF(I147="","",VLOOKUP(E147,Courses!$A$5:$G$10,6,FALSE))</f>
        <v/>
      </c>
      <c r="K147" s="32">
        <f t="shared" si="2"/>
        <v>0</v>
      </c>
      <c r="L147" s="4"/>
      <c r="M147" s="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4"/>
      <c r="B148" s="4"/>
      <c r="C148" s="28"/>
      <c r="D148" s="4"/>
      <c r="E148" s="4"/>
      <c r="F148" s="3" t="str">
        <f>IF(E148="","",VLOOKUP(E148,Courses!$A$5:$G$10,2,FALSE))</f>
        <v/>
      </c>
      <c r="G148" s="32" t="str">
        <f>IF(E148="","",VLOOKUP(E148,Courses!$A$5:$G$10,3,FALSE))</f>
        <v/>
      </c>
      <c r="H148" s="4"/>
      <c r="I148" s="4"/>
      <c r="J148" s="36" t="str">
        <f>IF(I148="","",VLOOKUP(E148,Courses!$A$5:$G$10,6,FALSE))</f>
        <v/>
      </c>
      <c r="K148" s="32">
        <f t="shared" si="2"/>
        <v>0</v>
      </c>
      <c r="L148" s="4"/>
      <c r="M148" s="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4"/>
      <c r="B149" s="4"/>
      <c r="C149" s="28"/>
      <c r="D149" s="4"/>
      <c r="E149" s="4"/>
      <c r="F149" s="3" t="str">
        <f>IF(E149="","",VLOOKUP(E149,Courses!$A$5:$G$10,2,FALSE))</f>
        <v/>
      </c>
      <c r="G149" s="32" t="str">
        <f>IF(E149="","",VLOOKUP(E149,Courses!$A$5:$G$10,3,FALSE))</f>
        <v/>
      </c>
      <c r="H149" s="4"/>
      <c r="I149" s="4"/>
      <c r="J149" s="36" t="str">
        <f>IF(I149="","",VLOOKUP(E149,Courses!$A$5:$G$10,6,FALSE))</f>
        <v/>
      </c>
      <c r="K149" s="32">
        <f t="shared" si="2"/>
        <v>0</v>
      </c>
      <c r="L149" s="4"/>
      <c r="M149" s="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4"/>
      <c r="B150" s="4"/>
      <c r="C150" s="28"/>
      <c r="D150" s="4"/>
      <c r="E150" s="4"/>
      <c r="F150" s="3" t="str">
        <f>IF(E150="","",VLOOKUP(E150,Courses!$A$5:$G$10,2,FALSE))</f>
        <v/>
      </c>
      <c r="G150" s="32" t="str">
        <f>IF(E150="","",VLOOKUP(E150,Courses!$A$5:$G$10,3,FALSE))</f>
        <v/>
      </c>
      <c r="H150" s="4"/>
      <c r="I150" s="4"/>
      <c r="J150" s="36" t="str">
        <f>IF(I150="","",VLOOKUP(E150,Courses!$A$5:$G$10,6,FALSE))</f>
        <v/>
      </c>
      <c r="K150" s="32">
        <f t="shared" si="2"/>
        <v>0</v>
      </c>
      <c r="L150" s="4"/>
      <c r="M150" s="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4"/>
      <c r="B151" s="4"/>
      <c r="C151" s="28"/>
      <c r="D151" s="4"/>
      <c r="E151" s="4"/>
      <c r="F151" s="3" t="str">
        <f>IF(E151="","",VLOOKUP(E151,Courses!$A$5:$G$10,2,FALSE))</f>
        <v/>
      </c>
      <c r="G151" s="32" t="str">
        <f>IF(E151="","",VLOOKUP(E151,Courses!$A$5:$G$10,3,FALSE))</f>
        <v/>
      </c>
      <c r="H151" s="4"/>
      <c r="I151" s="4"/>
      <c r="J151" s="36" t="str">
        <f>IF(I151="","",VLOOKUP(E151,Courses!$A$5:$G$10,6,FALSE))</f>
        <v/>
      </c>
      <c r="K151" s="32">
        <f t="shared" si="2"/>
        <v>0</v>
      </c>
      <c r="L151" s="4"/>
      <c r="M151" s="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4"/>
      <c r="B152" s="4"/>
      <c r="C152" s="28"/>
      <c r="D152" s="4"/>
      <c r="E152" s="4"/>
      <c r="F152" s="3" t="str">
        <f>IF(E152="","",VLOOKUP(E152,Courses!$A$5:$G$10,2,FALSE))</f>
        <v/>
      </c>
      <c r="G152" s="32" t="str">
        <f>IF(E152="","",VLOOKUP(E152,Courses!$A$5:$G$10,3,FALSE))</f>
        <v/>
      </c>
      <c r="H152" s="4"/>
      <c r="I152" s="4"/>
      <c r="J152" s="36" t="str">
        <f>IF(I152="","",VLOOKUP(E152,Courses!$A$5:$G$10,6,FALSE))</f>
        <v/>
      </c>
      <c r="K152" s="32">
        <f t="shared" si="2"/>
        <v>0</v>
      </c>
      <c r="L152" s="4"/>
      <c r="M152" s="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4"/>
      <c r="B153" s="4"/>
      <c r="C153" s="28"/>
      <c r="D153" s="4"/>
      <c r="E153" s="4"/>
      <c r="F153" s="3" t="str">
        <f>IF(E153="","",VLOOKUP(E153,Courses!$A$5:$G$10,2,FALSE))</f>
        <v/>
      </c>
      <c r="G153" s="32" t="str">
        <f>IF(E153="","",VLOOKUP(E153,Courses!$A$5:$G$10,3,FALSE))</f>
        <v/>
      </c>
      <c r="H153" s="4"/>
      <c r="I153" s="4"/>
      <c r="J153" s="36" t="str">
        <f>IF(I153="","",VLOOKUP(E153,Courses!$A$5:$G$10,6,FALSE))</f>
        <v/>
      </c>
      <c r="K153" s="32">
        <f t="shared" si="2"/>
        <v>0</v>
      </c>
      <c r="L153" s="4"/>
      <c r="M153" s="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4"/>
      <c r="B154" s="4"/>
      <c r="C154" s="28"/>
      <c r="D154" s="4"/>
      <c r="E154" s="4"/>
      <c r="F154" s="3" t="str">
        <f>IF(E154="","",VLOOKUP(E154,Courses!$A$5:$G$10,2,FALSE))</f>
        <v/>
      </c>
      <c r="G154" s="32" t="str">
        <f>IF(E154="","",VLOOKUP(E154,Courses!$A$5:$G$10,3,FALSE))</f>
        <v/>
      </c>
      <c r="H154" s="4"/>
      <c r="I154" s="4"/>
      <c r="J154" s="36" t="str">
        <f>IF(I154="","",VLOOKUP(E154,Courses!$A$5:$G$10,6,FALSE))</f>
        <v/>
      </c>
      <c r="K154" s="32">
        <f t="shared" si="2"/>
        <v>0</v>
      </c>
      <c r="L154" s="4"/>
      <c r="M154" s="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4"/>
      <c r="B155" s="4"/>
      <c r="C155" s="28"/>
      <c r="D155" s="4"/>
      <c r="E155" s="4"/>
      <c r="F155" s="3" t="str">
        <f>IF(E155="","",VLOOKUP(E155,Courses!$A$5:$G$10,2,FALSE))</f>
        <v/>
      </c>
      <c r="G155" s="32" t="str">
        <f>IF(E155="","",VLOOKUP(E155,Courses!$A$5:$G$10,3,FALSE))</f>
        <v/>
      </c>
      <c r="H155" s="4"/>
      <c r="I155" s="4"/>
      <c r="J155" s="36" t="str">
        <f>IF(I155="","",VLOOKUP(E155,Courses!$A$5:$G$10,6,FALSE))</f>
        <v/>
      </c>
      <c r="K155" s="32">
        <f t="shared" si="2"/>
        <v>0</v>
      </c>
      <c r="L155" s="4"/>
      <c r="M155" s="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4"/>
      <c r="B156" s="4"/>
      <c r="C156" s="28"/>
      <c r="D156" s="4"/>
      <c r="E156" s="4"/>
      <c r="F156" s="3" t="str">
        <f>IF(E156="","",VLOOKUP(E156,Courses!$A$5:$G$10,2,FALSE))</f>
        <v/>
      </c>
      <c r="G156" s="32" t="str">
        <f>IF(E156="","",VLOOKUP(E156,Courses!$A$5:$G$10,3,FALSE))</f>
        <v/>
      </c>
      <c r="H156" s="4"/>
      <c r="I156" s="4"/>
      <c r="J156" s="36" t="str">
        <f>IF(I156="","",VLOOKUP(E156,Courses!$A$5:$G$10,6,FALSE))</f>
        <v/>
      </c>
      <c r="K156" s="32">
        <f t="shared" si="2"/>
        <v>0</v>
      </c>
      <c r="L156" s="4"/>
      <c r="M156" s="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4"/>
      <c r="B157" s="4"/>
      <c r="C157" s="28"/>
      <c r="D157" s="4"/>
      <c r="E157" s="4"/>
      <c r="F157" s="3" t="str">
        <f>IF(E157="","",VLOOKUP(E157,Courses!$A$5:$G$10,2,FALSE))</f>
        <v/>
      </c>
      <c r="G157" s="32" t="str">
        <f>IF(E157="","",VLOOKUP(E157,Courses!$A$5:$G$10,3,FALSE))</f>
        <v/>
      </c>
      <c r="H157" s="4"/>
      <c r="I157" s="4"/>
      <c r="J157" s="36" t="str">
        <f>IF(I157="","",VLOOKUP(E157,Courses!$A$5:$G$10,6,FALSE))</f>
        <v/>
      </c>
      <c r="K157" s="32">
        <f t="shared" si="2"/>
        <v>0</v>
      </c>
      <c r="L157" s="4"/>
      <c r="M157" s="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4"/>
      <c r="B158" s="4"/>
      <c r="C158" s="28"/>
      <c r="D158" s="4"/>
      <c r="E158" s="4"/>
      <c r="F158" s="3" t="str">
        <f>IF(E158="","",VLOOKUP(E158,Courses!$A$5:$G$10,2,FALSE))</f>
        <v/>
      </c>
      <c r="G158" s="32" t="str">
        <f>IF(E158="","",VLOOKUP(E158,Courses!$A$5:$G$10,3,FALSE))</f>
        <v/>
      </c>
      <c r="H158" s="4"/>
      <c r="I158" s="4"/>
      <c r="J158" s="36" t="str">
        <f>IF(I158="","",VLOOKUP(E158,Courses!$A$5:$G$10,6,FALSE))</f>
        <v/>
      </c>
      <c r="K158" s="32">
        <f t="shared" si="2"/>
        <v>0</v>
      </c>
      <c r="L158" s="4"/>
      <c r="M158" s="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4"/>
      <c r="B159" s="4"/>
      <c r="C159" s="28"/>
      <c r="D159" s="4"/>
      <c r="E159" s="4"/>
      <c r="F159" s="3" t="str">
        <f>IF(E159="","",VLOOKUP(E159,Courses!$A$5:$G$10,2,FALSE))</f>
        <v/>
      </c>
      <c r="G159" s="32" t="str">
        <f>IF(E159="","",VLOOKUP(E159,Courses!$A$5:$G$10,3,FALSE))</f>
        <v/>
      </c>
      <c r="H159" s="4"/>
      <c r="I159" s="4"/>
      <c r="J159" s="36" t="str">
        <f>IF(I159="","",VLOOKUP(E159,Courses!$A$5:$G$10,6,FALSE))</f>
        <v/>
      </c>
      <c r="K159" s="32">
        <f t="shared" si="2"/>
        <v>0</v>
      </c>
      <c r="L159" s="4"/>
      <c r="M159" s="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4"/>
      <c r="B160" s="4"/>
      <c r="C160" s="28"/>
      <c r="D160" s="4"/>
      <c r="E160" s="4"/>
      <c r="F160" s="3" t="str">
        <f>IF(E160="","",VLOOKUP(E160,Courses!$A$5:$G$10,2,FALSE))</f>
        <v/>
      </c>
      <c r="G160" s="32" t="str">
        <f>IF(E160="","",VLOOKUP(E160,Courses!$A$5:$G$10,3,FALSE))</f>
        <v/>
      </c>
      <c r="H160" s="4"/>
      <c r="I160" s="4"/>
      <c r="J160" s="36" t="str">
        <f>IF(I160="","",VLOOKUP(E160,Courses!$A$5:$G$10,6,FALSE))</f>
        <v/>
      </c>
      <c r="K160" s="32">
        <f t="shared" si="2"/>
        <v>0</v>
      </c>
      <c r="L160" s="4"/>
      <c r="M160" s="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4"/>
      <c r="B161" s="4"/>
      <c r="C161" s="28"/>
      <c r="D161" s="4"/>
      <c r="E161" s="4"/>
      <c r="F161" s="3" t="str">
        <f>IF(E161="","",VLOOKUP(E161,Courses!$A$5:$G$10,2,FALSE))</f>
        <v/>
      </c>
      <c r="G161" s="32" t="str">
        <f>IF(E161="","",VLOOKUP(E161,Courses!$A$5:$G$10,3,FALSE))</f>
        <v/>
      </c>
      <c r="H161" s="4"/>
      <c r="I161" s="4"/>
      <c r="J161" s="36" t="str">
        <f>IF(I161="","",VLOOKUP(E161,Courses!$A$5:$G$10,6,FALSE))</f>
        <v/>
      </c>
      <c r="K161" s="32">
        <f t="shared" si="2"/>
        <v>0</v>
      </c>
      <c r="L161" s="4"/>
      <c r="M161" s="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4"/>
      <c r="B162" s="4"/>
      <c r="C162" s="28"/>
      <c r="D162" s="4"/>
      <c r="E162" s="4"/>
      <c r="F162" s="3" t="str">
        <f>IF(E162="","",VLOOKUP(E162,Courses!$A$5:$G$10,2,FALSE))</f>
        <v/>
      </c>
      <c r="G162" s="32" t="str">
        <f>IF(E162="","",VLOOKUP(E162,Courses!$A$5:$G$10,3,FALSE))</f>
        <v/>
      </c>
      <c r="H162" s="4"/>
      <c r="I162" s="4"/>
      <c r="J162" s="36" t="str">
        <f>IF(I162="","",VLOOKUP(E162,Courses!$A$5:$G$10,6,FALSE))</f>
        <v/>
      </c>
      <c r="K162" s="32">
        <f t="shared" si="2"/>
        <v>0</v>
      </c>
      <c r="L162" s="4"/>
      <c r="M162" s="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4"/>
      <c r="B163" s="4"/>
      <c r="C163" s="28"/>
      <c r="D163" s="4"/>
      <c r="E163" s="4"/>
      <c r="F163" s="3" t="str">
        <f>IF(E163="","",VLOOKUP(E163,Courses!$A$5:$G$10,2,FALSE))</f>
        <v/>
      </c>
      <c r="G163" s="32" t="str">
        <f>IF(E163="","",VLOOKUP(E163,Courses!$A$5:$G$10,3,FALSE))</f>
        <v/>
      </c>
      <c r="H163" s="4"/>
      <c r="I163" s="4"/>
      <c r="J163" s="36" t="str">
        <f>IF(I163="","",VLOOKUP(E163,Courses!$A$5:$G$10,6,FALSE))</f>
        <v/>
      </c>
      <c r="K163" s="32">
        <f t="shared" si="2"/>
        <v>0</v>
      </c>
      <c r="L163" s="4"/>
      <c r="M163" s="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4"/>
      <c r="B164" s="4"/>
      <c r="C164" s="28"/>
      <c r="D164" s="4"/>
      <c r="E164" s="4"/>
      <c r="F164" s="3" t="str">
        <f>IF(E164="","",VLOOKUP(E164,Courses!$A$5:$G$10,2,FALSE))</f>
        <v/>
      </c>
      <c r="G164" s="32" t="str">
        <f>IF(E164="","",VLOOKUP(E164,Courses!$A$5:$G$10,3,FALSE))</f>
        <v/>
      </c>
      <c r="H164" s="4"/>
      <c r="I164" s="4"/>
      <c r="J164" s="36" t="str">
        <f>IF(I164="","",VLOOKUP(E164,Courses!$A$5:$G$10,6,FALSE))</f>
        <v/>
      </c>
      <c r="K164" s="32">
        <f t="shared" si="2"/>
        <v>0</v>
      </c>
      <c r="L164" s="4"/>
      <c r="M164" s="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4"/>
      <c r="B165" s="4"/>
      <c r="C165" s="28"/>
      <c r="D165" s="4"/>
      <c r="E165" s="4"/>
      <c r="F165" s="3" t="str">
        <f>IF(E165="","",VLOOKUP(E165,Courses!$A$5:$G$10,2,FALSE))</f>
        <v/>
      </c>
      <c r="G165" s="32" t="str">
        <f>IF(E165="","",VLOOKUP(E165,Courses!$A$5:$G$10,3,FALSE))</f>
        <v/>
      </c>
      <c r="H165" s="4"/>
      <c r="I165" s="4"/>
      <c r="J165" s="36" t="str">
        <f>IF(I165="","",VLOOKUP(E165,Courses!$A$5:$G$10,6,FALSE))</f>
        <v/>
      </c>
      <c r="K165" s="32">
        <f t="shared" si="2"/>
        <v>0</v>
      </c>
      <c r="L165" s="4"/>
      <c r="M165" s="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4"/>
      <c r="B166" s="4"/>
      <c r="C166" s="28"/>
      <c r="D166" s="4"/>
      <c r="E166" s="4"/>
      <c r="F166" s="3" t="str">
        <f>IF(E166="","",VLOOKUP(E166,Courses!$A$5:$G$10,2,FALSE))</f>
        <v/>
      </c>
      <c r="G166" s="32" t="str">
        <f>IF(E166="","",VLOOKUP(E166,Courses!$A$5:$G$10,3,FALSE))</f>
        <v/>
      </c>
      <c r="H166" s="4"/>
      <c r="I166" s="4"/>
      <c r="J166" s="36" t="str">
        <f>IF(I166="","",VLOOKUP(E166,Courses!$A$5:$G$10,6,FALSE))</f>
        <v/>
      </c>
      <c r="K166" s="32">
        <f t="shared" si="2"/>
        <v>0</v>
      </c>
      <c r="L166" s="4"/>
      <c r="M166" s="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4"/>
      <c r="B167" s="4"/>
      <c r="C167" s="28"/>
      <c r="D167" s="4"/>
      <c r="E167" s="4"/>
      <c r="F167" s="3" t="str">
        <f>IF(E167="","",VLOOKUP(E167,Courses!$A$5:$G$10,2,FALSE))</f>
        <v/>
      </c>
      <c r="G167" s="32" t="str">
        <f>IF(E167="","",VLOOKUP(E167,Courses!$A$5:$G$10,3,FALSE))</f>
        <v/>
      </c>
      <c r="H167" s="4"/>
      <c r="I167" s="4"/>
      <c r="J167" s="36" t="str">
        <f>IF(I167="","",VLOOKUP(E167,Courses!$A$5:$G$10,6,FALSE))</f>
        <v/>
      </c>
      <c r="K167" s="32">
        <f t="shared" si="2"/>
        <v>0</v>
      </c>
      <c r="L167" s="4"/>
      <c r="M167" s="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4"/>
      <c r="B168" s="4"/>
      <c r="C168" s="28"/>
      <c r="D168" s="4"/>
      <c r="E168" s="4"/>
      <c r="F168" s="3" t="str">
        <f>IF(E168="","",VLOOKUP(E168,Courses!$A$5:$G$10,2,FALSE))</f>
        <v/>
      </c>
      <c r="G168" s="32" t="str">
        <f>IF(E168="","",VLOOKUP(E168,Courses!$A$5:$G$10,3,FALSE))</f>
        <v/>
      </c>
      <c r="H168" s="4"/>
      <c r="I168" s="4"/>
      <c r="J168" s="36" t="str">
        <f>IF(I168="","",VLOOKUP(E168,Courses!$A$5:$G$10,6,FALSE))</f>
        <v/>
      </c>
      <c r="K168" s="32">
        <f t="shared" si="2"/>
        <v>0</v>
      </c>
      <c r="L168" s="4"/>
      <c r="M168" s="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4"/>
      <c r="B169" s="4"/>
      <c r="C169" s="28"/>
      <c r="D169" s="4"/>
      <c r="E169" s="4"/>
      <c r="F169" s="3" t="str">
        <f>IF(E169="","",VLOOKUP(E169,Courses!$A$5:$G$10,2,FALSE))</f>
        <v/>
      </c>
      <c r="G169" s="32" t="str">
        <f>IF(E169="","",VLOOKUP(E169,Courses!$A$5:$G$10,3,FALSE))</f>
        <v/>
      </c>
      <c r="H169" s="4"/>
      <c r="I169" s="4"/>
      <c r="J169" s="36" t="str">
        <f>IF(I169="","",VLOOKUP(E169,Courses!$A$5:$G$10,6,FALSE))</f>
        <v/>
      </c>
      <c r="K169" s="32">
        <f t="shared" si="2"/>
        <v>0</v>
      </c>
      <c r="L169" s="4"/>
      <c r="M169" s="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4"/>
      <c r="B170" s="4"/>
      <c r="C170" s="28"/>
      <c r="D170" s="4"/>
      <c r="E170" s="4"/>
      <c r="F170" s="3" t="str">
        <f>IF(E170="","",VLOOKUP(E170,Courses!$A$5:$G$10,2,FALSE))</f>
        <v/>
      </c>
      <c r="G170" s="32" t="str">
        <f>IF(E170="","",VLOOKUP(E170,Courses!$A$5:$G$10,3,FALSE))</f>
        <v/>
      </c>
      <c r="H170" s="4"/>
      <c r="I170" s="4"/>
      <c r="J170" s="36" t="str">
        <f>IF(I170="","",VLOOKUP(E170,Courses!$A$5:$G$10,6,FALSE))</f>
        <v/>
      </c>
      <c r="K170" s="32">
        <f t="shared" si="2"/>
        <v>0</v>
      </c>
      <c r="L170" s="4"/>
      <c r="M170" s="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4"/>
      <c r="B171" s="4"/>
      <c r="C171" s="28"/>
      <c r="D171" s="4"/>
      <c r="E171" s="4"/>
      <c r="F171" s="3" t="str">
        <f>IF(E171="","",VLOOKUP(E171,Courses!$A$5:$G$10,2,FALSE))</f>
        <v/>
      </c>
      <c r="G171" s="32" t="str">
        <f>IF(E171="","",VLOOKUP(E171,Courses!$A$5:$G$10,3,FALSE))</f>
        <v/>
      </c>
      <c r="H171" s="4"/>
      <c r="I171" s="4"/>
      <c r="J171" s="36" t="str">
        <f>IF(I171="","",VLOOKUP(E171,Courses!$A$5:$G$10,6,FALSE))</f>
        <v/>
      </c>
      <c r="K171" s="32">
        <f t="shared" si="2"/>
        <v>0</v>
      </c>
      <c r="L171" s="4"/>
      <c r="M171" s="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4"/>
      <c r="B172" s="4"/>
      <c r="C172" s="28"/>
      <c r="D172" s="4"/>
      <c r="E172" s="4"/>
      <c r="F172" s="3" t="str">
        <f>IF(E172="","",VLOOKUP(E172,Courses!$A$5:$G$10,2,FALSE))</f>
        <v/>
      </c>
      <c r="G172" s="32" t="str">
        <f>IF(E172="","",VLOOKUP(E172,Courses!$A$5:$G$10,3,FALSE))</f>
        <v/>
      </c>
      <c r="H172" s="4"/>
      <c r="I172" s="4"/>
      <c r="J172" s="36" t="str">
        <f>IF(I172="","",VLOOKUP(E172,Courses!$A$5:$G$10,6,FALSE))</f>
        <v/>
      </c>
      <c r="K172" s="32">
        <f t="shared" si="2"/>
        <v>0</v>
      </c>
      <c r="L172" s="4"/>
      <c r="M172" s="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4"/>
      <c r="B173" s="4"/>
      <c r="C173" s="28"/>
      <c r="D173" s="4"/>
      <c r="E173" s="4"/>
      <c r="F173" s="3" t="str">
        <f>IF(E173="","",VLOOKUP(E173,Courses!$A$5:$G$10,2,FALSE))</f>
        <v/>
      </c>
      <c r="G173" s="32" t="str">
        <f>IF(E173="","",VLOOKUP(E173,Courses!$A$5:$G$10,3,FALSE))</f>
        <v/>
      </c>
      <c r="H173" s="4"/>
      <c r="I173" s="4"/>
      <c r="J173" s="36" t="str">
        <f>IF(I173="","",VLOOKUP(E173,Courses!$A$5:$G$10,6,FALSE))</f>
        <v/>
      </c>
      <c r="K173" s="32">
        <f t="shared" si="2"/>
        <v>0</v>
      </c>
      <c r="L173" s="4"/>
      <c r="M173" s="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4"/>
      <c r="B174" s="4"/>
      <c r="C174" s="28"/>
      <c r="D174" s="4"/>
      <c r="E174" s="4"/>
      <c r="F174" s="3" t="str">
        <f>IF(E174="","",VLOOKUP(E174,Courses!$A$5:$G$10,2,FALSE))</f>
        <v/>
      </c>
      <c r="G174" s="32" t="str">
        <f>IF(E174="","",VLOOKUP(E174,Courses!$A$5:$G$10,3,FALSE))</f>
        <v/>
      </c>
      <c r="H174" s="4"/>
      <c r="I174" s="4"/>
      <c r="J174" s="36" t="str">
        <f>IF(I174="","",VLOOKUP(E174,Courses!$A$5:$G$10,6,FALSE))</f>
        <v/>
      </c>
      <c r="K174" s="32">
        <f t="shared" si="2"/>
        <v>0</v>
      </c>
      <c r="L174" s="4"/>
      <c r="M174" s="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4"/>
      <c r="B175" s="4"/>
      <c r="C175" s="28"/>
      <c r="D175" s="4"/>
      <c r="E175" s="4"/>
      <c r="F175" s="3" t="str">
        <f>IF(E175="","",VLOOKUP(E175,Courses!$A$5:$G$10,2,FALSE))</f>
        <v/>
      </c>
      <c r="G175" s="32" t="str">
        <f>IF(E175="","",VLOOKUP(E175,Courses!$A$5:$G$10,3,FALSE))</f>
        <v/>
      </c>
      <c r="H175" s="4"/>
      <c r="I175" s="4"/>
      <c r="J175" s="36" t="str">
        <f>IF(I175="","",VLOOKUP(E175,Courses!$A$5:$G$10,6,FALSE))</f>
        <v/>
      </c>
      <c r="K175" s="32">
        <f t="shared" si="2"/>
        <v>0</v>
      </c>
      <c r="L175" s="4"/>
      <c r="M175" s="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4"/>
      <c r="B176" s="4"/>
      <c r="C176" s="28"/>
      <c r="D176" s="4"/>
      <c r="E176" s="4"/>
      <c r="F176" s="3" t="str">
        <f>IF(E176="","",VLOOKUP(E176,Courses!$A$5:$G$10,2,FALSE))</f>
        <v/>
      </c>
      <c r="G176" s="32" t="str">
        <f>IF(E176="","",VLOOKUP(E176,Courses!$A$5:$G$10,3,FALSE))</f>
        <v/>
      </c>
      <c r="H176" s="4"/>
      <c r="I176" s="4"/>
      <c r="J176" s="36" t="str">
        <f>IF(I176="","",VLOOKUP(E176,Courses!$A$5:$G$10,6,FALSE))</f>
        <v/>
      </c>
      <c r="K176" s="32">
        <f t="shared" si="2"/>
        <v>0</v>
      </c>
      <c r="L176" s="4"/>
      <c r="M176" s="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4"/>
      <c r="B177" s="4"/>
      <c r="C177" s="28"/>
      <c r="D177" s="4"/>
      <c r="E177" s="4"/>
      <c r="F177" s="3" t="str">
        <f>IF(E177="","",VLOOKUP(E177,Courses!$A$5:$G$10,2,FALSE))</f>
        <v/>
      </c>
      <c r="G177" s="32" t="str">
        <f>IF(E177="","",VLOOKUP(E177,Courses!$A$5:$G$10,3,FALSE))</f>
        <v/>
      </c>
      <c r="H177" s="4"/>
      <c r="I177" s="4"/>
      <c r="J177" s="36" t="str">
        <f>IF(I177="","",VLOOKUP(E177,Courses!$A$5:$G$10,6,FALSE))</f>
        <v/>
      </c>
      <c r="K177" s="32">
        <f t="shared" si="2"/>
        <v>0</v>
      </c>
      <c r="L177" s="4"/>
      <c r="M177" s="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4"/>
      <c r="B178" s="4"/>
      <c r="C178" s="28"/>
      <c r="D178" s="4"/>
      <c r="E178" s="4"/>
      <c r="F178" s="3" t="str">
        <f>IF(E178="","",VLOOKUP(E178,Courses!$A$5:$G$10,2,FALSE))</f>
        <v/>
      </c>
      <c r="G178" s="32" t="str">
        <f>IF(E178="","",VLOOKUP(E178,Courses!$A$5:$G$10,3,FALSE))</f>
        <v/>
      </c>
      <c r="H178" s="4"/>
      <c r="I178" s="4"/>
      <c r="J178" s="36" t="str">
        <f>IF(I178="","",VLOOKUP(E178,Courses!$A$5:$G$10,6,FALSE))</f>
        <v/>
      </c>
      <c r="K178" s="32">
        <f t="shared" si="2"/>
        <v>0</v>
      </c>
      <c r="L178" s="4"/>
      <c r="M178" s="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4"/>
      <c r="B179" s="4"/>
      <c r="C179" s="28"/>
      <c r="D179" s="4"/>
      <c r="E179" s="4"/>
      <c r="F179" s="3" t="str">
        <f>IF(E179="","",VLOOKUP(E179,Courses!$A$5:$G$10,2,FALSE))</f>
        <v/>
      </c>
      <c r="G179" s="32" t="str">
        <f>IF(E179="","",VLOOKUP(E179,Courses!$A$5:$G$10,3,FALSE))</f>
        <v/>
      </c>
      <c r="H179" s="4"/>
      <c r="I179" s="4"/>
      <c r="J179" s="36" t="str">
        <f>IF(I179="","",VLOOKUP(E179,Courses!$A$5:$G$10,6,FALSE))</f>
        <v/>
      </c>
      <c r="K179" s="32">
        <f t="shared" si="2"/>
        <v>0</v>
      </c>
      <c r="L179" s="4"/>
      <c r="M179" s="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4"/>
      <c r="B180" s="4"/>
      <c r="C180" s="28"/>
      <c r="D180" s="4"/>
      <c r="E180" s="4"/>
      <c r="F180" s="3" t="str">
        <f>IF(E180="","",VLOOKUP(E180,Courses!$A$5:$G$10,2,FALSE))</f>
        <v/>
      </c>
      <c r="G180" s="32" t="str">
        <f>IF(E180="","",VLOOKUP(E180,Courses!$A$5:$G$10,3,FALSE))</f>
        <v/>
      </c>
      <c r="H180" s="4"/>
      <c r="I180" s="4"/>
      <c r="J180" s="36" t="str">
        <f>IF(I180="","",VLOOKUP(E180,Courses!$A$5:$G$10,6,FALSE))</f>
        <v/>
      </c>
      <c r="K180" s="32">
        <f t="shared" si="2"/>
        <v>0</v>
      </c>
      <c r="L180" s="4"/>
      <c r="M180" s="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4"/>
      <c r="B181" s="4"/>
      <c r="C181" s="28"/>
      <c r="D181" s="4"/>
      <c r="E181" s="4"/>
      <c r="F181" s="3" t="str">
        <f>IF(E181="","",VLOOKUP(E181,Courses!$A$5:$G$10,2,FALSE))</f>
        <v/>
      </c>
      <c r="G181" s="32" t="str">
        <f>IF(E181="","",VLOOKUP(E181,Courses!$A$5:$G$10,3,FALSE))</f>
        <v/>
      </c>
      <c r="H181" s="4"/>
      <c r="I181" s="4"/>
      <c r="J181" s="36" t="str">
        <f>IF(I181="","",VLOOKUP(E181,Courses!$A$5:$G$10,6,FALSE))</f>
        <v/>
      </c>
      <c r="K181" s="32">
        <f t="shared" si="2"/>
        <v>0</v>
      </c>
      <c r="L181" s="4"/>
      <c r="M181" s="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4"/>
      <c r="B182" s="4"/>
      <c r="C182" s="28"/>
      <c r="D182" s="4"/>
      <c r="E182" s="4"/>
      <c r="F182" s="3" t="str">
        <f>IF(E182="","",VLOOKUP(E182,Courses!$A$5:$G$10,2,FALSE))</f>
        <v/>
      </c>
      <c r="G182" s="32" t="str">
        <f>IF(E182="","",VLOOKUP(E182,Courses!$A$5:$G$10,3,FALSE))</f>
        <v/>
      </c>
      <c r="H182" s="4"/>
      <c r="I182" s="4"/>
      <c r="J182" s="36" t="str">
        <f>IF(I182="","",VLOOKUP(E182,Courses!$A$5:$G$10,6,FALSE))</f>
        <v/>
      </c>
      <c r="K182" s="32">
        <f t="shared" si="2"/>
        <v>0</v>
      </c>
      <c r="L182" s="4"/>
      <c r="M182" s="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4"/>
      <c r="B183" s="4"/>
      <c r="C183" s="28"/>
      <c r="D183" s="4"/>
      <c r="E183" s="4"/>
      <c r="F183" s="3" t="str">
        <f>IF(E183="","",VLOOKUP(E183,Courses!$A$5:$G$10,2,FALSE))</f>
        <v/>
      </c>
      <c r="G183" s="32" t="str">
        <f>IF(E183="","",VLOOKUP(E183,Courses!$A$5:$G$10,3,FALSE))</f>
        <v/>
      </c>
      <c r="H183" s="4"/>
      <c r="I183" s="4"/>
      <c r="J183" s="36" t="str">
        <f>IF(I183="","",VLOOKUP(E183,Courses!$A$5:$G$10,6,FALSE))</f>
        <v/>
      </c>
      <c r="K183" s="32">
        <f t="shared" si="2"/>
        <v>0</v>
      </c>
      <c r="L183" s="4"/>
      <c r="M183" s="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4"/>
      <c r="B184" s="4"/>
      <c r="C184" s="28"/>
      <c r="D184" s="4"/>
      <c r="E184" s="4"/>
      <c r="F184" s="3" t="str">
        <f>IF(E184="","",VLOOKUP(E184,Courses!$A$5:$G$10,2,FALSE))</f>
        <v/>
      </c>
      <c r="G184" s="32" t="str">
        <f>IF(E184="","",VLOOKUP(E184,Courses!$A$5:$G$10,3,FALSE))</f>
        <v/>
      </c>
      <c r="H184" s="4"/>
      <c r="I184" s="4"/>
      <c r="J184" s="36" t="str">
        <f>IF(I184="","",VLOOKUP(E184,Courses!$A$5:$G$10,6,FALSE))</f>
        <v/>
      </c>
      <c r="K184" s="32">
        <f t="shared" si="2"/>
        <v>0</v>
      </c>
      <c r="L184" s="4"/>
      <c r="M184" s="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4"/>
      <c r="B185" s="4"/>
      <c r="C185" s="28"/>
      <c r="D185" s="4"/>
      <c r="E185" s="4"/>
      <c r="F185" s="3" t="str">
        <f>IF(E185="","",VLOOKUP(E185,Courses!$A$5:$G$10,2,FALSE))</f>
        <v/>
      </c>
      <c r="G185" s="32" t="str">
        <f>IF(E185="","",VLOOKUP(E185,Courses!$A$5:$G$10,3,FALSE))</f>
        <v/>
      </c>
      <c r="H185" s="4"/>
      <c r="I185" s="4"/>
      <c r="J185" s="36" t="str">
        <f>IF(I185="","",VLOOKUP(E185,Courses!$A$5:$G$10,6,FALSE))</f>
        <v/>
      </c>
      <c r="K185" s="32">
        <f t="shared" si="2"/>
        <v>0</v>
      </c>
      <c r="L185" s="4"/>
      <c r="M185" s="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4"/>
      <c r="B186" s="4"/>
      <c r="C186" s="28"/>
      <c r="D186" s="4"/>
      <c r="E186" s="4"/>
      <c r="F186" s="3" t="str">
        <f>IF(E186="","",VLOOKUP(E186,Courses!$A$5:$G$10,2,FALSE))</f>
        <v/>
      </c>
      <c r="G186" s="32" t="str">
        <f>IF(E186="","",VLOOKUP(E186,Courses!$A$5:$G$10,3,FALSE))</f>
        <v/>
      </c>
      <c r="H186" s="4"/>
      <c r="I186" s="4"/>
      <c r="J186" s="36" t="str">
        <f>IF(I186="","",VLOOKUP(E186,Courses!$A$5:$G$10,6,FALSE))</f>
        <v/>
      </c>
      <c r="K186" s="32">
        <f t="shared" si="2"/>
        <v>0</v>
      </c>
      <c r="L186" s="4"/>
      <c r="M186" s="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4"/>
      <c r="B187" s="4"/>
      <c r="C187" s="28"/>
      <c r="D187" s="4"/>
      <c r="E187" s="4"/>
      <c r="F187" s="3" t="str">
        <f>IF(E187="","",VLOOKUP(E187,Courses!$A$5:$G$10,2,FALSE))</f>
        <v/>
      </c>
      <c r="G187" s="32" t="str">
        <f>IF(E187="","",VLOOKUP(E187,Courses!$A$5:$G$10,3,FALSE))</f>
        <v/>
      </c>
      <c r="H187" s="4"/>
      <c r="I187" s="4"/>
      <c r="J187" s="36" t="str">
        <f>IF(I187="","",VLOOKUP(E187,Courses!$A$5:$G$10,6,FALSE))</f>
        <v/>
      </c>
      <c r="K187" s="32">
        <f t="shared" si="2"/>
        <v>0</v>
      </c>
      <c r="L187" s="4"/>
      <c r="M187" s="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4"/>
      <c r="B188" s="4"/>
      <c r="C188" s="28"/>
      <c r="D188" s="4"/>
      <c r="E188" s="4"/>
      <c r="F188" s="3" t="str">
        <f>IF(E188="","",VLOOKUP(E188,Courses!$A$5:$G$10,2,FALSE))</f>
        <v/>
      </c>
      <c r="G188" s="32" t="str">
        <f>IF(E188="","",VLOOKUP(E188,Courses!$A$5:$G$10,3,FALSE))</f>
        <v/>
      </c>
      <c r="H188" s="4"/>
      <c r="I188" s="4"/>
      <c r="J188" s="36" t="str">
        <f>IF(I188="","",VLOOKUP(E188,Courses!$A$5:$G$10,6,FALSE))</f>
        <v/>
      </c>
      <c r="K188" s="32">
        <f t="shared" si="2"/>
        <v>0</v>
      </c>
      <c r="L188" s="4"/>
      <c r="M188" s="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4"/>
      <c r="B189" s="4"/>
      <c r="C189" s="28"/>
      <c r="D189" s="4"/>
      <c r="E189" s="4"/>
      <c r="F189" s="3" t="str">
        <f>IF(E189="","",VLOOKUP(E189,Courses!$A$5:$G$10,2,FALSE))</f>
        <v/>
      </c>
      <c r="G189" s="32" t="str">
        <f>IF(E189="","",VLOOKUP(E189,Courses!$A$5:$G$10,3,FALSE))</f>
        <v/>
      </c>
      <c r="H189" s="4"/>
      <c r="I189" s="4"/>
      <c r="J189" s="36" t="str">
        <f>IF(I189="","",VLOOKUP(E189,Courses!$A$5:$G$10,6,FALSE))</f>
        <v/>
      </c>
      <c r="K189" s="32">
        <f t="shared" si="2"/>
        <v>0</v>
      </c>
      <c r="L189" s="4"/>
      <c r="M189" s="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4"/>
      <c r="B190" s="4"/>
      <c r="C190" s="28"/>
      <c r="D190" s="4"/>
      <c r="E190" s="4"/>
      <c r="F190" s="3" t="str">
        <f>IF(E190="","",VLOOKUP(E190,Courses!$A$5:$G$10,2,FALSE))</f>
        <v/>
      </c>
      <c r="G190" s="32" t="str">
        <f>IF(E190="","",VLOOKUP(E190,Courses!$A$5:$G$10,3,FALSE))</f>
        <v/>
      </c>
      <c r="H190" s="4"/>
      <c r="I190" s="4"/>
      <c r="J190" s="36" t="str">
        <f>IF(I190="","",VLOOKUP(E190,Courses!$A$5:$G$10,6,FALSE))</f>
        <v/>
      </c>
      <c r="K190" s="32">
        <f t="shared" si="2"/>
        <v>0</v>
      </c>
      <c r="L190" s="4"/>
      <c r="M190" s="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4"/>
      <c r="B191" s="4"/>
      <c r="C191" s="28"/>
      <c r="D191" s="4"/>
      <c r="E191" s="4"/>
      <c r="F191" s="3" t="str">
        <f>IF(E191="","",VLOOKUP(E191,Courses!$A$5:$G$10,2,FALSE))</f>
        <v/>
      </c>
      <c r="G191" s="32" t="str">
        <f>IF(E191="","",VLOOKUP(E191,Courses!$A$5:$G$10,3,FALSE))</f>
        <v/>
      </c>
      <c r="H191" s="4"/>
      <c r="I191" s="4"/>
      <c r="J191" s="36" t="str">
        <f>IF(I191="","",VLOOKUP(E191,Courses!$A$5:$G$10,6,FALSE))</f>
        <v/>
      </c>
      <c r="K191" s="32">
        <f t="shared" si="2"/>
        <v>0</v>
      </c>
      <c r="L191" s="4"/>
      <c r="M191" s="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4"/>
      <c r="B192" s="4"/>
      <c r="C192" s="28"/>
      <c r="D192" s="4"/>
      <c r="E192" s="4"/>
      <c r="F192" s="3" t="str">
        <f>IF(E192="","",VLOOKUP(E192,Courses!$A$5:$G$10,2,FALSE))</f>
        <v/>
      </c>
      <c r="G192" s="32" t="str">
        <f>IF(E192="","",VLOOKUP(E192,Courses!$A$5:$G$10,3,FALSE))</f>
        <v/>
      </c>
      <c r="H192" s="4"/>
      <c r="I192" s="4"/>
      <c r="J192" s="36" t="str">
        <f>IF(I192="","",VLOOKUP(E192,Courses!$A$5:$G$10,6,FALSE))</f>
        <v/>
      </c>
      <c r="K192" s="32">
        <f t="shared" si="2"/>
        <v>0</v>
      </c>
      <c r="L192" s="4"/>
      <c r="M192" s="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4"/>
      <c r="B193" s="4"/>
      <c r="C193" s="28"/>
      <c r="D193" s="4"/>
      <c r="E193" s="4"/>
      <c r="F193" s="3" t="str">
        <f>IF(E193="","",VLOOKUP(E193,Courses!$A$5:$G$10,2,FALSE))</f>
        <v/>
      </c>
      <c r="G193" s="32" t="str">
        <f>IF(E193="","",VLOOKUP(E193,Courses!$A$5:$G$10,3,FALSE))</f>
        <v/>
      </c>
      <c r="H193" s="4"/>
      <c r="I193" s="4"/>
      <c r="J193" s="36" t="str">
        <f>IF(I193="","",VLOOKUP(E193,Courses!$A$5:$G$10,6,FALSE))</f>
        <v/>
      </c>
      <c r="K193" s="32">
        <f t="shared" si="2"/>
        <v>0</v>
      </c>
      <c r="L193" s="4"/>
      <c r="M193" s="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4"/>
      <c r="B194" s="4"/>
      <c r="C194" s="28"/>
      <c r="D194" s="4"/>
      <c r="E194" s="4"/>
      <c r="F194" s="3" t="str">
        <f>IF(E194="","",VLOOKUP(E194,Courses!$A$5:$G$10,2,FALSE))</f>
        <v/>
      </c>
      <c r="G194" s="32" t="str">
        <f>IF(E194="","",VLOOKUP(E194,Courses!$A$5:$G$10,3,FALSE))</f>
        <v/>
      </c>
      <c r="H194" s="4"/>
      <c r="I194" s="4"/>
      <c r="J194" s="36" t="str">
        <f>IF(I194="","",VLOOKUP(E194,Courses!$A$5:$G$10,6,FALSE))</f>
        <v/>
      </c>
      <c r="K194" s="32">
        <f t="shared" si="2"/>
        <v>0</v>
      </c>
      <c r="L194" s="4"/>
      <c r="M194" s="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4"/>
      <c r="B195" s="4"/>
      <c r="C195" s="28"/>
      <c r="D195" s="4"/>
      <c r="E195" s="4"/>
      <c r="F195" s="3" t="str">
        <f>IF(E195="","",VLOOKUP(E195,Courses!$A$5:$G$10,2,FALSE))</f>
        <v/>
      </c>
      <c r="G195" s="32" t="str">
        <f>IF(E195="","",VLOOKUP(E195,Courses!$A$5:$G$10,3,FALSE))</f>
        <v/>
      </c>
      <c r="H195" s="4"/>
      <c r="I195" s="4"/>
      <c r="J195" s="36" t="str">
        <f>IF(I195="","",VLOOKUP(E195,Courses!$A$5:$G$10,6,FALSE))</f>
        <v/>
      </c>
      <c r="K195" s="32">
        <f t="shared" si="2"/>
        <v>0</v>
      </c>
      <c r="L195" s="4"/>
      <c r="M195" s="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4"/>
      <c r="B196" s="4"/>
      <c r="C196" s="28"/>
      <c r="D196" s="4"/>
      <c r="E196" s="4"/>
      <c r="F196" s="3" t="str">
        <f>IF(E196="","",VLOOKUP(E196,Courses!$A$5:$G$10,2,FALSE))</f>
        <v/>
      </c>
      <c r="G196" s="32" t="str">
        <f>IF(E196="","",VLOOKUP(E196,Courses!$A$5:$G$10,3,FALSE))</f>
        <v/>
      </c>
      <c r="H196" s="4"/>
      <c r="I196" s="4"/>
      <c r="J196" s="36" t="str">
        <f>IF(I196="","",VLOOKUP(E196,Courses!$A$5:$G$10,6,FALSE))</f>
        <v/>
      </c>
      <c r="K196" s="32">
        <f t="shared" si="2"/>
        <v>0</v>
      </c>
      <c r="L196" s="4"/>
      <c r="M196" s="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4"/>
      <c r="B197" s="4"/>
      <c r="C197" s="28"/>
      <c r="D197" s="4"/>
      <c r="E197" s="4"/>
      <c r="F197" s="3" t="str">
        <f>IF(E197="","",VLOOKUP(E197,Courses!$A$5:$G$10,2,FALSE))</f>
        <v/>
      </c>
      <c r="G197" s="32" t="str">
        <f>IF(E197="","",VLOOKUP(E197,Courses!$A$5:$G$10,3,FALSE))</f>
        <v/>
      </c>
      <c r="H197" s="4"/>
      <c r="I197" s="4"/>
      <c r="J197" s="36" t="str">
        <f>IF(I197="","",VLOOKUP(E197,Courses!$A$5:$G$10,6,FALSE))</f>
        <v/>
      </c>
      <c r="K197" s="32">
        <f t="shared" ref="K197:K260" si="3">IF(AND(H197="Paid",I197&lt;&gt;""),G197*J197,0)</f>
        <v>0</v>
      </c>
      <c r="L197" s="4"/>
      <c r="M197" s="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4"/>
      <c r="B198" s="4"/>
      <c r="C198" s="28"/>
      <c r="D198" s="4"/>
      <c r="E198" s="4"/>
      <c r="F198" s="3" t="str">
        <f>IF(E198="","",VLOOKUP(E198,Courses!$A$5:$G$10,2,FALSE))</f>
        <v/>
      </c>
      <c r="G198" s="32" t="str">
        <f>IF(E198="","",VLOOKUP(E198,Courses!$A$5:$G$10,3,FALSE))</f>
        <v/>
      </c>
      <c r="H198" s="4"/>
      <c r="I198" s="4"/>
      <c r="J198" s="36" t="str">
        <f>IF(I198="","",VLOOKUP(E198,Courses!$A$5:$G$10,6,FALSE))</f>
        <v/>
      </c>
      <c r="K198" s="32">
        <f t="shared" si="3"/>
        <v>0</v>
      </c>
      <c r="L198" s="4"/>
      <c r="M198" s="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4"/>
      <c r="B199" s="4"/>
      <c r="C199" s="28"/>
      <c r="D199" s="4"/>
      <c r="E199" s="4"/>
      <c r="F199" s="3" t="str">
        <f>IF(E199="","",VLOOKUP(E199,Courses!$A$5:$G$10,2,FALSE))</f>
        <v/>
      </c>
      <c r="G199" s="32" t="str">
        <f>IF(E199="","",VLOOKUP(E199,Courses!$A$5:$G$10,3,FALSE))</f>
        <v/>
      </c>
      <c r="H199" s="4"/>
      <c r="I199" s="4"/>
      <c r="J199" s="36" t="str">
        <f>IF(I199="","",VLOOKUP(E199,Courses!$A$5:$G$10,6,FALSE))</f>
        <v/>
      </c>
      <c r="K199" s="32">
        <f t="shared" si="3"/>
        <v>0</v>
      </c>
      <c r="L199" s="4"/>
      <c r="M199" s="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4"/>
      <c r="B200" s="4"/>
      <c r="C200" s="28"/>
      <c r="D200" s="4"/>
      <c r="E200" s="4"/>
      <c r="F200" s="3" t="str">
        <f>IF(E200="","",VLOOKUP(E200,Courses!$A$5:$G$10,2,FALSE))</f>
        <v/>
      </c>
      <c r="G200" s="32" t="str">
        <f>IF(E200="","",VLOOKUP(E200,Courses!$A$5:$G$10,3,FALSE))</f>
        <v/>
      </c>
      <c r="H200" s="4"/>
      <c r="I200" s="4"/>
      <c r="J200" s="36" t="str">
        <f>IF(I200="","",VLOOKUP(E200,Courses!$A$5:$G$10,6,FALSE))</f>
        <v/>
      </c>
      <c r="K200" s="32">
        <f t="shared" si="3"/>
        <v>0</v>
      </c>
      <c r="L200" s="4"/>
      <c r="M200" s="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4"/>
      <c r="B201" s="4"/>
      <c r="C201" s="28"/>
      <c r="D201" s="4"/>
      <c r="E201" s="4"/>
      <c r="F201" s="3" t="str">
        <f>IF(E201="","",VLOOKUP(E201,Courses!$A$5:$G$10,2,FALSE))</f>
        <v/>
      </c>
      <c r="G201" s="32" t="str">
        <f>IF(E201="","",VLOOKUP(E201,Courses!$A$5:$G$10,3,FALSE))</f>
        <v/>
      </c>
      <c r="H201" s="4"/>
      <c r="I201" s="4"/>
      <c r="J201" s="36" t="str">
        <f>IF(I201="","",VLOOKUP(E201,Courses!$A$5:$G$10,6,FALSE))</f>
        <v/>
      </c>
      <c r="K201" s="32">
        <f t="shared" si="3"/>
        <v>0</v>
      </c>
      <c r="L201" s="4"/>
      <c r="M201" s="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4"/>
      <c r="B202" s="4"/>
      <c r="C202" s="28"/>
      <c r="D202" s="4"/>
      <c r="E202" s="4"/>
      <c r="F202" s="3" t="str">
        <f>IF(E202="","",VLOOKUP(E202,Courses!$A$5:$G$10,2,FALSE))</f>
        <v/>
      </c>
      <c r="G202" s="32" t="str">
        <f>IF(E202="","",VLOOKUP(E202,Courses!$A$5:$G$10,3,FALSE))</f>
        <v/>
      </c>
      <c r="H202" s="4"/>
      <c r="I202" s="4"/>
      <c r="J202" s="36" t="str">
        <f>IF(I202="","",VLOOKUP(E202,Courses!$A$5:$G$10,6,FALSE))</f>
        <v/>
      </c>
      <c r="K202" s="32">
        <f t="shared" si="3"/>
        <v>0</v>
      </c>
      <c r="L202" s="4"/>
      <c r="M202" s="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4"/>
      <c r="B203" s="4"/>
      <c r="C203" s="28"/>
      <c r="D203" s="4"/>
      <c r="E203" s="4"/>
      <c r="F203" s="3" t="str">
        <f>IF(E203="","",VLOOKUP(E203,Courses!$A$5:$G$10,2,FALSE))</f>
        <v/>
      </c>
      <c r="G203" s="32" t="str">
        <f>IF(E203="","",VLOOKUP(E203,Courses!$A$5:$G$10,3,FALSE))</f>
        <v/>
      </c>
      <c r="H203" s="4"/>
      <c r="I203" s="4"/>
      <c r="J203" s="36" t="str">
        <f>IF(I203="","",VLOOKUP(E203,Courses!$A$5:$G$10,6,FALSE))</f>
        <v/>
      </c>
      <c r="K203" s="32">
        <f t="shared" si="3"/>
        <v>0</v>
      </c>
      <c r="L203" s="4"/>
      <c r="M203" s="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4"/>
      <c r="B204" s="4"/>
      <c r="C204" s="28"/>
      <c r="D204" s="4"/>
      <c r="E204" s="4"/>
      <c r="F204" s="3" t="str">
        <f>IF(E204="","",VLOOKUP(E204,Courses!$A$5:$G$10,2,FALSE))</f>
        <v/>
      </c>
      <c r="G204" s="32" t="str">
        <f>IF(E204="","",VLOOKUP(E204,Courses!$A$5:$G$10,3,FALSE))</f>
        <v/>
      </c>
      <c r="H204" s="4"/>
      <c r="I204" s="4"/>
      <c r="J204" s="36" t="str">
        <f>IF(I204="","",VLOOKUP(E204,Courses!$A$5:$G$10,6,FALSE))</f>
        <v/>
      </c>
      <c r="K204" s="32">
        <f t="shared" si="3"/>
        <v>0</v>
      </c>
      <c r="L204" s="4"/>
      <c r="M204" s="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4"/>
      <c r="B205" s="4"/>
      <c r="C205" s="28"/>
      <c r="D205" s="4"/>
      <c r="E205" s="4"/>
      <c r="F205" s="3" t="str">
        <f>IF(E205="","",VLOOKUP(E205,Courses!$A$5:$G$10,2,FALSE))</f>
        <v/>
      </c>
      <c r="G205" s="32" t="str">
        <f>IF(E205="","",VLOOKUP(E205,Courses!$A$5:$G$10,3,FALSE))</f>
        <v/>
      </c>
      <c r="H205" s="4"/>
      <c r="I205" s="4"/>
      <c r="J205" s="36" t="str">
        <f>IF(I205="","",VLOOKUP(E205,Courses!$A$5:$G$10,6,FALSE))</f>
        <v/>
      </c>
      <c r="K205" s="32">
        <f t="shared" si="3"/>
        <v>0</v>
      </c>
      <c r="L205" s="4"/>
      <c r="M205" s="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4"/>
      <c r="B206" s="4"/>
      <c r="C206" s="28"/>
      <c r="D206" s="4"/>
      <c r="E206" s="4"/>
      <c r="F206" s="3" t="str">
        <f>IF(E206="","",VLOOKUP(E206,Courses!$A$5:$G$10,2,FALSE))</f>
        <v/>
      </c>
      <c r="G206" s="32" t="str">
        <f>IF(E206="","",VLOOKUP(E206,Courses!$A$5:$G$10,3,FALSE))</f>
        <v/>
      </c>
      <c r="H206" s="4"/>
      <c r="I206" s="4"/>
      <c r="J206" s="36" t="str">
        <f>IF(I206="","",VLOOKUP(E206,Courses!$A$5:$G$10,6,FALSE))</f>
        <v/>
      </c>
      <c r="K206" s="32">
        <f t="shared" si="3"/>
        <v>0</v>
      </c>
      <c r="L206" s="4"/>
      <c r="M206" s="4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4"/>
      <c r="B207" s="4"/>
      <c r="C207" s="28"/>
      <c r="D207" s="4"/>
      <c r="E207" s="4"/>
      <c r="F207" s="3" t="str">
        <f>IF(E207="","",VLOOKUP(E207,Courses!$A$5:$G$10,2,FALSE))</f>
        <v/>
      </c>
      <c r="G207" s="32" t="str">
        <f>IF(E207="","",VLOOKUP(E207,Courses!$A$5:$G$10,3,FALSE))</f>
        <v/>
      </c>
      <c r="H207" s="4"/>
      <c r="I207" s="4"/>
      <c r="J207" s="36" t="str">
        <f>IF(I207="","",VLOOKUP(E207,Courses!$A$5:$G$10,6,FALSE))</f>
        <v/>
      </c>
      <c r="K207" s="32">
        <f t="shared" si="3"/>
        <v>0</v>
      </c>
      <c r="L207" s="4"/>
      <c r="M207" s="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4"/>
      <c r="B208" s="4"/>
      <c r="C208" s="28"/>
      <c r="D208" s="4"/>
      <c r="E208" s="4"/>
      <c r="F208" s="3" t="str">
        <f>IF(E208="","",VLOOKUP(E208,Courses!$A$5:$G$10,2,FALSE))</f>
        <v/>
      </c>
      <c r="G208" s="32" t="str">
        <f>IF(E208="","",VLOOKUP(E208,Courses!$A$5:$G$10,3,FALSE))</f>
        <v/>
      </c>
      <c r="H208" s="4"/>
      <c r="I208" s="4"/>
      <c r="J208" s="36" t="str">
        <f>IF(I208="","",VLOOKUP(E208,Courses!$A$5:$G$10,6,FALSE))</f>
        <v/>
      </c>
      <c r="K208" s="32">
        <f t="shared" si="3"/>
        <v>0</v>
      </c>
      <c r="L208" s="4"/>
      <c r="M208" s="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4"/>
      <c r="B209" s="4"/>
      <c r="C209" s="28"/>
      <c r="D209" s="4"/>
      <c r="E209" s="4"/>
      <c r="F209" s="3" t="str">
        <f>IF(E209="","",VLOOKUP(E209,Courses!$A$5:$G$10,2,FALSE))</f>
        <v/>
      </c>
      <c r="G209" s="32" t="str">
        <f>IF(E209="","",VLOOKUP(E209,Courses!$A$5:$G$10,3,FALSE))</f>
        <v/>
      </c>
      <c r="H209" s="4"/>
      <c r="I209" s="4"/>
      <c r="J209" s="36" t="str">
        <f>IF(I209="","",VLOOKUP(E209,Courses!$A$5:$G$10,6,FALSE))</f>
        <v/>
      </c>
      <c r="K209" s="32">
        <f t="shared" si="3"/>
        <v>0</v>
      </c>
      <c r="L209" s="4"/>
      <c r="M209" s="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4"/>
      <c r="B210" s="4"/>
      <c r="C210" s="28"/>
      <c r="D210" s="4"/>
      <c r="E210" s="4"/>
      <c r="F210" s="3" t="str">
        <f>IF(E210="","",VLOOKUP(E210,Courses!$A$5:$G$10,2,FALSE))</f>
        <v/>
      </c>
      <c r="G210" s="32" t="str">
        <f>IF(E210="","",VLOOKUP(E210,Courses!$A$5:$G$10,3,FALSE))</f>
        <v/>
      </c>
      <c r="H210" s="4"/>
      <c r="I210" s="4"/>
      <c r="J210" s="36" t="str">
        <f>IF(I210="","",VLOOKUP(E210,Courses!$A$5:$G$10,6,FALSE))</f>
        <v/>
      </c>
      <c r="K210" s="32">
        <f t="shared" si="3"/>
        <v>0</v>
      </c>
      <c r="L210" s="4"/>
      <c r="M210" s="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4"/>
      <c r="B211" s="4"/>
      <c r="C211" s="28"/>
      <c r="D211" s="4"/>
      <c r="E211" s="4"/>
      <c r="F211" s="3" t="str">
        <f>IF(E211="","",VLOOKUP(E211,Courses!$A$5:$G$10,2,FALSE))</f>
        <v/>
      </c>
      <c r="G211" s="32" t="str">
        <f>IF(E211="","",VLOOKUP(E211,Courses!$A$5:$G$10,3,FALSE))</f>
        <v/>
      </c>
      <c r="H211" s="4"/>
      <c r="I211" s="4"/>
      <c r="J211" s="36" t="str">
        <f>IF(I211="","",VLOOKUP(E211,Courses!$A$5:$G$10,6,FALSE))</f>
        <v/>
      </c>
      <c r="K211" s="32">
        <f t="shared" si="3"/>
        <v>0</v>
      </c>
      <c r="L211" s="4"/>
      <c r="M211" s="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4"/>
      <c r="B212" s="4"/>
      <c r="C212" s="28"/>
      <c r="D212" s="4"/>
      <c r="E212" s="4"/>
      <c r="F212" s="3" t="str">
        <f>IF(E212="","",VLOOKUP(E212,Courses!$A$5:$G$10,2,FALSE))</f>
        <v/>
      </c>
      <c r="G212" s="32" t="str">
        <f>IF(E212="","",VLOOKUP(E212,Courses!$A$5:$G$10,3,FALSE))</f>
        <v/>
      </c>
      <c r="H212" s="4"/>
      <c r="I212" s="4"/>
      <c r="J212" s="36" t="str">
        <f>IF(I212="","",VLOOKUP(E212,Courses!$A$5:$G$10,6,FALSE))</f>
        <v/>
      </c>
      <c r="K212" s="32">
        <f t="shared" si="3"/>
        <v>0</v>
      </c>
      <c r="L212" s="4"/>
      <c r="M212" s="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4"/>
      <c r="B213" s="4"/>
      <c r="C213" s="28"/>
      <c r="D213" s="4"/>
      <c r="E213" s="4"/>
      <c r="F213" s="3" t="str">
        <f>IF(E213="","",VLOOKUP(E213,Courses!$A$5:$G$10,2,FALSE))</f>
        <v/>
      </c>
      <c r="G213" s="32" t="str">
        <f>IF(E213="","",VLOOKUP(E213,Courses!$A$5:$G$10,3,FALSE))</f>
        <v/>
      </c>
      <c r="H213" s="4"/>
      <c r="I213" s="4"/>
      <c r="J213" s="36" t="str">
        <f>IF(I213="","",VLOOKUP(E213,Courses!$A$5:$G$10,6,FALSE))</f>
        <v/>
      </c>
      <c r="K213" s="32">
        <f t="shared" si="3"/>
        <v>0</v>
      </c>
      <c r="L213" s="4"/>
      <c r="M213" s="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4"/>
      <c r="B214" s="4"/>
      <c r="C214" s="28"/>
      <c r="D214" s="4"/>
      <c r="E214" s="4"/>
      <c r="F214" s="3" t="str">
        <f>IF(E214="","",VLOOKUP(E214,Courses!$A$5:$G$10,2,FALSE))</f>
        <v/>
      </c>
      <c r="G214" s="32" t="str">
        <f>IF(E214="","",VLOOKUP(E214,Courses!$A$5:$G$10,3,FALSE))</f>
        <v/>
      </c>
      <c r="H214" s="4"/>
      <c r="I214" s="4"/>
      <c r="J214" s="36" t="str">
        <f>IF(I214="","",VLOOKUP(E214,Courses!$A$5:$G$10,6,FALSE))</f>
        <v/>
      </c>
      <c r="K214" s="32">
        <f t="shared" si="3"/>
        <v>0</v>
      </c>
      <c r="L214" s="4"/>
      <c r="M214" s="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4"/>
      <c r="B215" s="4"/>
      <c r="C215" s="28"/>
      <c r="D215" s="4"/>
      <c r="E215" s="4"/>
      <c r="F215" s="3" t="str">
        <f>IF(E215="","",VLOOKUP(E215,Courses!$A$5:$G$10,2,FALSE))</f>
        <v/>
      </c>
      <c r="G215" s="32" t="str">
        <f>IF(E215="","",VLOOKUP(E215,Courses!$A$5:$G$10,3,FALSE))</f>
        <v/>
      </c>
      <c r="H215" s="4"/>
      <c r="I215" s="4"/>
      <c r="J215" s="36" t="str">
        <f>IF(I215="","",VLOOKUP(E215,Courses!$A$5:$G$10,6,FALSE))</f>
        <v/>
      </c>
      <c r="K215" s="32">
        <f t="shared" si="3"/>
        <v>0</v>
      </c>
      <c r="L215" s="4"/>
      <c r="M215" s="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4"/>
      <c r="B216" s="4"/>
      <c r="C216" s="28"/>
      <c r="D216" s="4"/>
      <c r="E216" s="4"/>
      <c r="F216" s="3" t="str">
        <f>IF(E216="","",VLOOKUP(E216,Courses!$A$5:$G$10,2,FALSE))</f>
        <v/>
      </c>
      <c r="G216" s="32" t="str">
        <f>IF(E216="","",VLOOKUP(E216,Courses!$A$5:$G$10,3,FALSE))</f>
        <v/>
      </c>
      <c r="H216" s="4"/>
      <c r="I216" s="4"/>
      <c r="J216" s="36" t="str">
        <f>IF(I216="","",VLOOKUP(E216,Courses!$A$5:$G$10,6,FALSE))</f>
        <v/>
      </c>
      <c r="K216" s="32">
        <f t="shared" si="3"/>
        <v>0</v>
      </c>
      <c r="L216" s="4"/>
      <c r="M216" s="4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4"/>
      <c r="B217" s="4"/>
      <c r="C217" s="28"/>
      <c r="D217" s="4"/>
      <c r="E217" s="4"/>
      <c r="F217" s="3" t="str">
        <f>IF(E217="","",VLOOKUP(E217,Courses!$A$5:$G$10,2,FALSE))</f>
        <v/>
      </c>
      <c r="G217" s="32" t="str">
        <f>IF(E217="","",VLOOKUP(E217,Courses!$A$5:$G$10,3,FALSE))</f>
        <v/>
      </c>
      <c r="H217" s="4"/>
      <c r="I217" s="4"/>
      <c r="J217" s="36" t="str">
        <f>IF(I217="","",VLOOKUP(E217,Courses!$A$5:$G$10,6,FALSE))</f>
        <v/>
      </c>
      <c r="K217" s="32">
        <f t="shared" si="3"/>
        <v>0</v>
      </c>
      <c r="L217" s="4"/>
      <c r="M217" s="4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4"/>
      <c r="B218" s="4"/>
      <c r="C218" s="28"/>
      <c r="D218" s="4"/>
      <c r="E218" s="4"/>
      <c r="F218" s="3" t="str">
        <f>IF(E218="","",VLOOKUP(E218,Courses!$A$5:$G$10,2,FALSE))</f>
        <v/>
      </c>
      <c r="G218" s="32" t="str">
        <f>IF(E218="","",VLOOKUP(E218,Courses!$A$5:$G$10,3,FALSE))</f>
        <v/>
      </c>
      <c r="H218" s="4"/>
      <c r="I218" s="4"/>
      <c r="J218" s="36" t="str">
        <f>IF(I218="","",VLOOKUP(E218,Courses!$A$5:$G$10,6,FALSE))</f>
        <v/>
      </c>
      <c r="K218" s="32">
        <f t="shared" si="3"/>
        <v>0</v>
      </c>
      <c r="L218" s="4"/>
      <c r="M218" s="4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4"/>
      <c r="B219" s="4"/>
      <c r="C219" s="28"/>
      <c r="D219" s="4"/>
      <c r="E219" s="4"/>
      <c r="F219" s="3" t="str">
        <f>IF(E219="","",VLOOKUP(E219,Courses!$A$5:$G$10,2,FALSE))</f>
        <v/>
      </c>
      <c r="G219" s="32" t="str">
        <f>IF(E219="","",VLOOKUP(E219,Courses!$A$5:$G$10,3,FALSE))</f>
        <v/>
      </c>
      <c r="H219" s="4"/>
      <c r="I219" s="4"/>
      <c r="J219" s="36" t="str">
        <f>IF(I219="","",VLOOKUP(E219,Courses!$A$5:$G$10,6,FALSE))</f>
        <v/>
      </c>
      <c r="K219" s="32">
        <f t="shared" si="3"/>
        <v>0</v>
      </c>
      <c r="L219" s="4"/>
      <c r="M219" s="4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4"/>
      <c r="B220" s="4"/>
      <c r="C220" s="28"/>
      <c r="D220" s="4"/>
      <c r="E220" s="4"/>
      <c r="F220" s="3" t="str">
        <f>IF(E220="","",VLOOKUP(E220,Courses!$A$5:$G$10,2,FALSE))</f>
        <v/>
      </c>
      <c r="G220" s="32" t="str">
        <f>IF(E220="","",VLOOKUP(E220,Courses!$A$5:$G$10,3,FALSE))</f>
        <v/>
      </c>
      <c r="H220" s="4"/>
      <c r="I220" s="4"/>
      <c r="J220" s="36" t="str">
        <f>IF(I220="","",VLOOKUP(E220,Courses!$A$5:$G$10,6,FALSE))</f>
        <v/>
      </c>
      <c r="K220" s="32">
        <f t="shared" si="3"/>
        <v>0</v>
      </c>
      <c r="L220" s="4"/>
      <c r="M220" s="4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4"/>
      <c r="B221" s="4"/>
      <c r="C221" s="28"/>
      <c r="D221" s="4"/>
      <c r="E221" s="4"/>
      <c r="F221" s="3" t="str">
        <f>IF(E221="","",VLOOKUP(E221,Courses!$A$5:$G$10,2,FALSE))</f>
        <v/>
      </c>
      <c r="G221" s="32" t="str">
        <f>IF(E221="","",VLOOKUP(E221,Courses!$A$5:$G$10,3,FALSE))</f>
        <v/>
      </c>
      <c r="H221" s="4"/>
      <c r="I221" s="4"/>
      <c r="J221" s="36" t="str">
        <f>IF(I221="","",VLOOKUP(E221,Courses!$A$5:$G$10,6,FALSE))</f>
        <v/>
      </c>
      <c r="K221" s="32">
        <f t="shared" si="3"/>
        <v>0</v>
      </c>
      <c r="L221" s="4"/>
      <c r="M221" s="4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4"/>
      <c r="B222" s="4"/>
      <c r="C222" s="28"/>
      <c r="D222" s="4"/>
      <c r="E222" s="4"/>
      <c r="F222" s="3" t="str">
        <f>IF(E222="","",VLOOKUP(E222,Courses!$A$5:$G$10,2,FALSE))</f>
        <v/>
      </c>
      <c r="G222" s="32" t="str">
        <f>IF(E222="","",VLOOKUP(E222,Courses!$A$5:$G$10,3,FALSE))</f>
        <v/>
      </c>
      <c r="H222" s="4"/>
      <c r="I222" s="4"/>
      <c r="J222" s="36" t="str">
        <f>IF(I222="","",VLOOKUP(E222,Courses!$A$5:$G$10,6,FALSE))</f>
        <v/>
      </c>
      <c r="K222" s="32">
        <f t="shared" si="3"/>
        <v>0</v>
      </c>
      <c r="L222" s="4"/>
      <c r="M222" s="4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4"/>
      <c r="B223" s="4"/>
      <c r="C223" s="28"/>
      <c r="D223" s="4"/>
      <c r="E223" s="4"/>
      <c r="F223" s="3" t="str">
        <f>IF(E223="","",VLOOKUP(E223,Courses!$A$5:$G$10,2,FALSE))</f>
        <v/>
      </c>
      <c r="G223" s="32" t="str">
        <f>IF(E223="","",VLOOKUP(E223,Courses!$A$5:$G$10,3,FALSE))</f>
        <v/>
      </c>
      <c r="H223" s="4"/>
      <c r="I223" s="4"/>
      <c r="J223" s="36" t="str">
        <f>IF(I223="","",VLOOKUP(E223,Courses!$A$5:$G$10,6,FALSE))</f>
        <v/>
      </c>
      <c r="K223" s="32">
        <f t="shared" si="3"/>
        <v>0</v>
      </c>
      <c r="L223" s="4"/>
      <c r="M223" s="4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4"/>
      <c r="B224" s="4"/>
      <c r="C224" s="28"/>
      <c r="D224" s="4"/>
      <c r="E224" s="4"/>
      <c r="F224" s="3" t="str">
        <f>IF(E224="","",VLOOKUP(E224,Courses!$A$5:$G$10,2,FALSE))</f>
        <v/>
      </c>
      <c r="G224" s="32" t="str">
        <f>IF(E224="","",VLOOKUP(E224,Courses!$A$5:$G$10,3,FALSE))</f>
        <v/>
      </c>
      <c r="H224" s="4"/>
      <c r="I224" s="4"/>
      <c r="J224" s="36" t="str">
        <f>IF(I224="","",VLOOKUP(E224,Courses!$A$5:$G$10,6,FALSE))</f>
        <v/>
      </c>
      <c r="K224" s="32">
        <f t="shared" si="3"/>
        <v>0</v>
      </c>
      <c r="L224" s="4"/>
      <c r="M224" s="4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4"/>
      <c r="B225" s="4"/>
      <c r="C225" s="28"/>
      <c r="D225" s="4"/>
      <c r="E225" s="4"/>
      <c r="F225" s="3" t="str">
        <f>IF(E225="","",VLOOKUP(E225,Courses!$A$5:$G$10,2,FALSE))</f>
        <v/>
      </c>
      <c r="G225" s="32" t="str">
        <f>IF(E225="","",VLOOKUP(E225,Courses!$A$5:$G$10,3,FALSE))</f>
        <v/>
      </c>
      <c r="H225" s="4"/>
      <c r="I225" s="4"/>
      <c r="J225" s="36" t="str">
        <f>IF(I225="","",VLOOKUP(E225,Courses!$A$5:$G$10,6,FALSE))</f>
        <v/>
      </c>
      <c r="K225" s="32">
        <f t="shared" si="3"/>
        <v>0</v>
      </c>
      <c r="L225" s="4"/>
      <c r="M225" s="4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4"/>
      <c r="B226" s="4"/>
      <c r="C226" s="28"/>
      <c r="D226" s="4"/>
      <c r="E226" s="4"/>
      <c r="F226" s="3" t="str">
        <f>IF(E226="","",VLOOKUP(E226,Courses!$A$5:$G$10,2,FALSE))</f>
        <v/>
      </c>
      <c r="G226" s="32" t="str">
        <f>IF(E226="","",VLOOKUP(E226,Courses!$A$5:$G$10,3,FALSE))</f>
        <v/>
      </c>
      <c r="H226" s="4"/>
      <c r="I226" s="4"/>
      <c r="J226" s="36" t="str">
        <f>IF(I226="","",VLOOKUP(E226,Courses!$A$5:$G$10,6,FALSE))</f>
        <v/>
      </c>
      <c r="K226" s="32">
        <f t="shared" si="3"/>
        <v>0</v>
      </c>
      <c r="L226" s="4"/>
      <c r="M226" s="4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4"/>
      <c r="B227" s="4"/>
      <c r="C227" s="28"/>
      <c r="D227" s="4"/>
      <c r="E227" s="4"/>
      <c r="F227" s="3" t="str">
        <f>IF(E227="","",VLOOKUP(E227,Courses!$A$5:$G$10,2,FALSE))</f>
        <v/>
      </c>
      <c r="G227" s="32" t="str">
        <f>IF(E227="","",VLOOKUP(E227,Courses!$A$5:$G$10,3,FALSE))</f>
        <v/>
      </c>
      <c r="H227" s="4"/>
      <c r="I227" s="4"/>
      <c r="J227" s="36" t="str">
        <f>IF(I227="","",VLOOKUP(E227,Courses!$A$5:$G$10,6,FALSE))</f>
        <v/>
      </c>
      <c r="K227" s="32">
        <f t="shared" si="3"/>
        <v>0</v>
      </c>
      <c r="L227" s="4"/>
      <c r="M227" s="4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4"/>
      <c r="B228" s="4"/>
      <c r="C228" s="28"/>
      <c r="D228" s="4"/>
      <c r="E228" s="4"/>
      <c r="F228" s="3" t="str">
        <f>IF(E228="","",VLOOKUP(E228,Courses!$A$5:$G$10,2,FALSE))</f>
        <v/>
      </c>
      <c r="G228" s="32" t="str">
        <f>IF(E228="","",VLOOKUP(E228,Courses!$A$5:$G$10,3,FALSE))</f>
        <v/>
      </c>
      <c r="H228" s="4"/>
      <c r="I228" s="4"/>
      <c r="J228" s="36" t="str">
        <f>IF(I228="","",VLOOKUP(E228,Courses!$A$5:$G$10,6,FALSE))</f>
        <v/>
      </c>
      <c r="K228" s="32">
        <f t="shared" si="3"/>
        <v>0</v>
      </c>
      <c r="L228" s="4"/>
      <c r="M228" s="4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4"/>
      <c r="B229" s="4"/>
      <c r="C229" s="28"/>
      <c r="D229" s="4"/>
      <c r="E229" s="4"/>
      <c r="F229" s="3" t="str">
        <f>IF(E229="","",VLOOKUP(E229,Courses!$A$5:$G$10,2,FALSE))</f>
        <v/>
      </c>
      <c r="G229" s="32" t="str">
        <f>IF(E229="","",VLOOKUP(E229,Courses!$A$5:$G$10,3,FALSE))</f>
        <v/>
      </c>
      <c r="H229" s="4"/>
      <c r="I229" s="4"/>
      <c r="J229" s="36" t="str">
        <f>IF(I229="","",VLOOKUP(E229,Courses!$A$5:$G$10,6,FALSE))</f>
        <v/>
      </c>
      <c r="K229" s="32">
        <f t="shared" si="3"/>
        <v>0</v>
      </c>
      <c r="L229" s="4"/>
      <c r="M229" s="4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4"/>
      <c r="B230" s="4"/>
      <c r="C230" s="28"/>
      <c r="D230" s="4"/>
      <c r="E230" s="4"/>
      <c r="F230" s="3" t="str">
        <f>IF(E230="","",VLOOKUP(E230,Courses!$A$5:$G$10,2,FALSE))</f>
        <v/>
      </c>
      <c r="G230" s="32" t="str">
        <f>IF(E230="","",VLOOKUP(E230,Courses!$A$5:$G$10,3,FALSE))</f>
        <v/>
      </c>
      <c r="H230" s="4"/>
      <c r="I230" s="4"/>
      <c r="J230" s="36" t="str">
        <f>IF(I230="","",VLOOKUP(E230,Courses!$A$5:$G$10,6,FALSE))</f>
        <v/>
      </c>
      <c r="K230" s="32">
        <f t="shared" si="3"/>
        <v>0</v>
      </c>
      <c r="L230" s="4"/>
      <c r="M230" s="4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4"/>
      <c r="B231" s="4"/>
      <c r="C231" s="28"/>
      <c r="D231" s="4"/>
      <c r="E231" s="4"/>
      <c r="F231" s="3" t="str">
        <f>IF(E231="","",VLOOKUP(E231,Courses!$A$5:$G$10,2,FALSE))</f>
        <v/>
      </c>
      <c r="G231" s="32" t="str">
        <f>IF(E231="","",VLOOKUP(E231,Courses!$A$5:$G$10,3,FALSE))</f>
        <v/>
      </c>
      <c r="H231" s="4"/>
      <c r="I231" s="4"/>
      <c r="J231" s="36" t="str">
        <f>IF(I231="","",VLOOKUP(E231,Courses!$A$5:$G$10,6,FALSE))</f>
        <v/>
      </c>
      <c r="K231" s="32">
        <f t="shared" si="3"/>
        <v>0</v>
      </c>
      <c r="L231" s="4"/>
      <c r="M231" s="4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4"/>
      <c r="B232" s="4"/>
      <c r="C232" s="28"/>
      <c r="D232" s="4"/>
      <c r="E232" s="4"/>
      <c r="F232" s="3" t="str">
        <f>IF(E232="","",VLOOKUP(E232,Courses!$A$5:$G$10,2,FALSE))</f>
        <v/>
      </c>
      <c r="G232" s="32" t="str">
        <f>IF(E232="","",VLOOKUP(E232,Courses!$A$5:$G$10,3,FALSE))</f>
        <v/>
      </c>
      <c r="H232" s="4"/>
      <c r="I232" s="4"/>
      <c r="J232" s="36" t="str">
        <f>IF(I232="","",VLOOKUP(E232,Courses!$A$5:$G$10,6,FALSE))</f>
        <v/>
      </c>
      <c r="K232" s="32">
        <f t="shared" si="3"/>
        <v>0</v>
      </c>
      <c r="L232" s="4"/>
      <c r="M232" s="4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4"/>
      <c r="B233" s="4"/>
      <c r="C233" s="28"/>
      <c r="D233" s="4"/>
      <c r="E233" s="4"/>
      <c r="F233" s="3" t="str">
        <f>IF(E233="","",VLOOKUP(E233,Courses!$A$5:$G$10,2,FALSE))</f>
        <v/>
      </c>
      <c r="G233" s="32" t="str">
        <f>IF(E233="","",VLOOKUP(E233,Courses!$A$5:$G$10,3,FALSE))</f>
        <v/>
      </c>
      <c r="H233" s="4"/>
      <c r="I233" s="4"/>
      <c r="J233" s="36" t="str">
        <f>IF(I233="","",VLOOKUP(E233,Courses!$A$5:$G$10,6,FALSE))</f>
        <v/>
      </c>
      <c r="K233" s="32">
        <f t="shared" si="3"/>
        <v>0</v>
      </c>
      <c r="L233" s="4"/>
      <c r="M233" s="4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4"/>
      <c r="B234" s="4"/>
      <c r="C234" s="28"/>
      <c r="D234" s="4"/>
      <c r="E234" s="4"/>
      <c r="F234" s="3" t="str">
        <f>IF(E234="","",VLOOKUP(E234,Courses!$A$5:$G$10,2,FALSE))</f>
        <v/>
      </c>
      <c r="G234" s="32" t="str">
        <f>IF(E234="","",VLOOKUP(E234,Courses!$A$5:$G$10,3,FALSE))</f>
        <v/>
      </c>
      <c r="H234" s="4"/>
      <c r="I234" s="4"/>
      <c r="J234" s="36" t="str">
        <f>IF(I234="","",VLOOKUP(E234,Courses!$A$5:$G$10,6,FALSE))</f>
        <v/>
      </c>
      <c r="K234" s="32">
        <f t="shared" si="3"/>
        <v>0</v>
      </c>
      <c r="L234" s="4"/>
      <c r="M234" s="4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4"/>
      <c r="B235" s="4"/>
      <c r="C235" s="28"/>
      <c r="D235" s="4"/>
      <c r="E235" s="4"/>
      <c r="F235" s="3" t="str">
        <f>IF(E235="","",VLOOKUP(E235,Courses!$A$5:$G$10,2,FALSE))</f>
        <v/>
      </c>
      <c r="G235" s="32" t="str">
        <f>IF(E235="","",VLOOKUP(E235,Courses!$A$5:$G$10,3,FALSE))</f>
        <v/>
      </c>
      <c r="H235" s="4"/>
      <c r="I235" s="4"/>
      <c r="J235" s="36" t="str">
        <f>IF(I235="","",VLOOKUP(E235,Courses!$A$5:$G$10,6,FALSE))</f>
        <v/>
      </c>
      <c r="K235" s="32">
        <f t="shared" si="3"/>
        <v>0</v>
      </c>
      <c r="L235" s="4"/>
      <c r="M235" s="4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4"/>
      <c r="B236" s="4"/>
      <c r="C236" s="28"/>
      <c r="D236" s="4"/>
      <c r="E236" s="4"/>
      <c r="F236" s="3" t="str">
        <f>IF(E236="","",VLOOKUP(E236,Courses!$A$5:$G$10,2,FALSE))</f>
        <v/>
      </c>
      <c r="G236" s="32" t="str">
        <f>IF(E236="","",VLOOKUP(E236,Courses!$A$5:$G$10,3,FALSE))</f>
        <v/>
      </c>
      <c r="H236" s="4"/>
      <c r="I236" s="4"/>
      <c r="J236" s="36" t="str">
        <f>IF(I236="","",VLOOKUP(E236,Courses!$A$5:$G$10,6,FALSE))</f>
        <v/>
      </c>
      <c r="K236" s="32">
        <f t="shared" si="3"/>
        <v>0</v>
      </c>
      <c r="L236" s="4"/>
      <c r="M236" s="4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4"/>
      <c r="B237" s="4"/>
      <c r="C237" s="28"/>
      <c r="D237" s="4"/>
      <c r="E237" s="4"/>
      <c r="F237" s="3" t="str">
        <f>IF(E237="","",VLOOKUP(E237,Courses!$A$5:$G$10,2,FALSE))</f>
        <v/>
      </c>
      <c r="G237" s="32" t="str">
        <f>IF(E237="","",VLOOKUP(E237,Courses!$A$5:$G$10,3,FALSE))</f>
        <v/>
      </c>
      <c r="H237" s="4"/>
      <c r="I237" s="4"/>
      <c r="J237" s="36" t="str">
        <f>IF(I237="","",VLOOKUP(E237,Courses!$A$5:$G$10,6,FALSE))</f>
        <v/>
      </c>
      <c r="K237" s="32">
        <f t="shared" si="3"/>
        <v>0</v>
      </c>
      <c r="L237" s="4"/>
      <c r="M237" s="4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4"/>
      <c r="B238" s="4"/>
      <c r="C238" s="28"/>
      <c r="D238" s="4"/>
      <c r="E238" s="4"/>
      <c r="F238" s="3" t="str">
        <f>IF(E238="","",VLOOKUP(E238,Courses!$A$5:$G$10,2,FALSE))</f>
        <v/>
      </c>
      <c r="G238" s="32" t="str">
        <f>IF(E238="","",VLOOKUP(E238,Courses!$A$5:$G$10,3,FALSE))</f>
        <v/>
      </c>
      <c r="H238" s="4"/>
      <c r="I238" s="4"/>
      <c r="J238" s="36" t="str">
        <f>IF(I238="","",VLOOKUP(E238,Courses!$A$5:$G$10,6,FALSE))</f>
        <v/>
      </c>
      <c r="K238" s="32">
        <f t="shared" si="3"/>
        <v>0</v>
      </c>
      <c r="L238" s="4"/>
      <c r="M238" s="4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4"/>
      <c r="B239" s="4"/>
      <c r="C239" s="28"/>
      <c r="D239" s="4"/>
      <c r="E239" s="4"/>
      <c r="F239" s="3" t="str">
        <f>IF(E239="","",VLOOKUP(E239,Courses!$A$5:$G$10,2,FALSE))</f>
        <v/>
      </c>
      <c r="G239" s="32" t="str">
        <f>IF(E239="","",VLOOKUP(E239,Courses!$A$5:$G$10,3,FALSE))</f>
        <v/>
      </c>
      <c r="H239" s="4"/>
      <c r="I239" s="4"/>
      <c r="J239" s="36" t="str">
        <f>IF(I239="","",VLOOKUP(E239,Courses!$A$5:$G$10,6,FALSE))</f>
        <v/>
      </c>
      <c r="K239" s="32">
        <f t="shared" si="3"/>
        <v>0</v>
      </c>
      <c r="L239" s="4"/>
      <c r="M239" s="4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4"/>
      <c r="B240" s="4"/>
      <c r="C240" s="28"/>
      <c r="D240" s="4"/>
      <c r="E240" s="4"/>
      <c r="F240" s="3" t="str">
        <f>IF(E240="","",VLOOKUP(E240,Courses!$A$5:$G$10,2,FALSE))</f>
        <v/>
      </c>
      <c r="G240" s="32" t="str">
        <f>IF(E240="","",VLOOKUP(E240,Courses!$A$5:$G$10,3,FALSE))</f>
        <v/>
      </c>
      <c r="H240" s="4"/>
      <c r="I240" s="4"/>
      <c r="J240" s="36" t="str">
        <f>IF(I240="","",VLOOKUP(E240,Courses!$A$5:$G$10,6,FALSE))</f>
        <v/>
      </c>
      <c r="K240" s="32">
        <f t="shared" si="3"/>
        <v>0</v>
      </c>
      <c r="L240" s="4"/>
      <c r="M240" s="4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4"/>
      <c r="B241" s="4"/>
      <c r="C241" s="28"/>
      <c r="D241" s="4"/>
      <c r="E241" s="4"/>
      <c r="F241" s="3" t="str">
        <f>IF(E241="","",VLOOKUP(E241,Courses!$A$5:$G$10,2,FALSE))</f>
        <v/>
      </c>
      <c r="G241" s="32" t="str">
        <f>IF(E241="","",VLOOKUP(E241,Courses!$A$5:$G$10,3,FALSE))</f>
        <v/>
      </c>
      <c r="H241" s="4"/>
      <c r="I241" s="4"/>
      <c r="J241" s="36" t="str">
        <f>IF(I241="","",VLOOKUP(E241,Courses!$A$5:$G$10,6,FALSE))</f>
        <v/>
      </c>
      <c r="K241" s="32">
        <f t="shared" si="3"/>
        <v>0</v>
      </c>
      <c r="L241" s="4"/>
      <c r="M241" s="4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4"/>
      <c r="B242" s="4"/>
      <c r="C242" s="28"/>
      <c r="D242" s="4"/>
      <c r="E242" s="4"/>
      <c r="F242" s="3" t="str">
        <f>IF(E242="","",VLOOKUP(E242,Courses!$A$5:$G$10,2,FALSE))</f>
        <v/>
      </c>
      <c r="G242" s="32" t="str">
        <f>IF(E242="","",VLOOKUP(E242,Courses!$A$5:$G$10,3,FALSE))</f>
        <v/>
      </c>
      <c r="H242" s="4"/>
      <c r="I242" s="4"/>
      <c r="J242" s="36" t="str">
        <f>IF(I242="","",VLOOKUP(E242,Courses!$A$5:$G$10,6,FALSE))</f>
        <v/>
      </c>
      <c r="K242" s="32">
        <f t="shared" si="3"/>
        <v>0</v>
      </c>
      <c r="L242" s="4"/>
      <c r="M242" s="4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4"/>
      <c r="B243" s="4"/>
      <c r="C243" s="28"/>
      <c r="D243" s="4"/>
      <c r="E243" s="4"/>
      <c r="F243" s="3" t="str">
        <f>IF(E243="","",VLOOKUP(E243,Courses!$A$5:$G$10,2,FALSE))</f>
        <v/>
      </c>
      <c r="G243" s="32" t="str">
        <f>IF(E243="","",VLOOKUP(E243,Courses!$A$5:$G$10,3,FALSE))</f>
        <v/>
      </c>
      <c r="H243" s="4"/>
      <c r="I243" s="4"/>
      <c r="J243" s="36" t="str">
        <f>IF(I243="","",VLOOKUP(E243,Courses!$A$5:$G$10,6,FALSE))</f>
        <v/>
      </c>
      <c r="K243" s="32">
        <f t="shared" si="3"/>
        <v>0</v>
      </c>
      <c r="L243" s="4"/>
      <c r="M243" s="4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4"/>
      <c r="B244" s="4"/>
      <c r="C244" s="28"/>
      <c r="D244" s="4"/>
      <c r="E244" s="4"/>
      <c r="F244" s="3" t="str">
        <f>IF(E244="","",VLOOKUP(E244,Courses!$A$5:$G$10,2,FALSE))</f>
        <v/>
      </c>
      <c r="G244" s="32" t="str">
        <f>IF(E244="","",VLOOKUP(E244,Courses!$A$5:$G$10,3,FALSE))</f>
        <v/>
      </c>
      <c r="H244" s="4"/>
      <c r="I244" s="4"/>
      <c r="J244" s="36" t="str">
        <f>IF(I244="","",VLOOKUP(E244,Courses!$A$5:$G$10,6,FALSE))</f>
        <v/>
      </c>
      <c r="K244" s="32">
        <f t="shared" si="3"/>
        <v>0</v>
      </c>
      <c r="L244" s="4"/>
      <c r="M244" s="4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4"/>
      <c r="B245" s="4"/>
      <c r="C245" s="28"/>
      <c r="D245" s="4"/>
      <c r="E245" s="4"/>
      <c r="F245" s="3" t="str">
        <f>IF(E245="","",VLOOKUP(E245,Courses!$A$5:$G$10,2,FALSE))</f>
        <v/>
      </c>
      <c r="G245" s="32" t="str">
        <f>IF(E245="","",VLOOKUP(E245,Courses!$A$5:$G$10,3,FALSE))</f>
        <v/>
      </c>
      <c r="H245" s="4"/>
      <c r="I245" s="4"/>
      <c r="J245" s="36" t="str">
        <f>IF(I245="","",VLOOKUP(E245,Courses!$A$5:$G$10,6,FALSE))</f>
        <v/>
      </c>
      <c r="K245" s="32">
        <f t="shared" si="3"/>
        <v>0</v>
      </c>
      <c r="L245" s="4"/>
      <c r="M245" s="4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4"/>
      <c r="B246" s="4"/>
      <c r="C246" s="28"/>
      <c r="D246" s="4"/>
      <c r="E246" s="4"/>
      <c r="F246" s="3" t="str">
        <f>IF(E246="","",VLOOKUP(E246,Courses!$A$5:$G$10,2,FALSE))</f>
        <v/>
      </c>
      <c r="G246" s="32" t="str">
        <f>IF(E246="","",VLOOKUP(E246,Courses!$A$5:$G$10,3,FALSE))</f>
        <v/>
      </c>
      <c r="H246" s="4"/>
      <c r="I246" s="4"/>
      <c r="J246" s="36" t="str">
        <f>IF(I246="","",VLOOKUP(E246,Courses!$A$5:$G$10,6,FALSE))</f>
        <v/>
      </c>
      <c r="K246" s="32">
        <f t="shared" si="3"/>
        <v>0</v>
      </c>
      <c r="L246" s="4"/>
      <c r="M246" s="4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4"/>
      <c r="B247" s="4"/>
      <c r="C247" s="28"/>
      <c r="D247" s="4"/>
      <c r="E247" s="4"/>
      <c r="F247" s="3" t="str">
        <f>IF(E247="","",VLOOKUP(E247,Courses!$A$5:$G$10,2,FALSE))</f>
        <v/>
      </c>
      <c r="G247" s="32" t="str">
        <f>IF(E247="","",VLOOKUP(E247,Courses!$A$5:$G$10,3,FALSE))</f>
        <v/>
      </c>
      <c r="H247" s="4"/>
      <c r="I247" s="4"/>
      <c r="J247" s="36" t="str">
        <f>IF(I247="","",VLOOKUP(E247,Courses!$A$5:$G$10,6,FALSE))</f>
        <v/>
      </c>
      <c r="K247" s="32">
        <f t="shared" si="3"/>
        <v>0</v>
      </c>
      <c r="L247" s="4"/>
      <c r="M247" s="4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4"/>
      <c r="B248" s="4"/>
      <c r="C248" s="28"/>
      <c r="D248" s="4"/>
      <c r="E248" s="4"/>
      <c r="F248" s="3" t="str">
        <f>IF(E248="","",VLOOKUP(E248,Courses!$A$5:$G$10,2,FALSE))</f>
        <v/>
      </c>
      <c r="G248" s="32" t="str">
        <f>IF(E248="","",VLOOKUP(E248,Courses!$A$5:$G$10,3,FALSE))</f>
        <v/>
      </c>
      <c r="H248" s="4"/>
      <c r="I248" s="4"/>
      <c r="J248" s="36" t="str">
        <f>IF(I248="","",VLOOKUP(E248,Courses!$A$5:$G$10,6,FALSE))</f>
        <v/>
      </c>
      <c r="K248" s="32">
        <f t="shared" si="3"/>
        <v>0</v>
      </c>
      <c r="L248" s="4"/>
      <c r="M248" s="4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4"/>
      <c r="B249" s="4"/>
      <c r="C249" s="28"/>
      <c r="D249" s="4"/>
      <c r="E249" s="4"/>
      <c r="F249" s="3" t="str">
        <f>IF(E249="","",VLOOKUP(E249,Courses!$A$5:$G$10,2,FALSE))</f>
        <v/>
      </c>
      <c r="G249" s="32" t="str">
        <f>IF(E249="","",VLOOKUP(E249,Courses!$A$5:$G$10,3,FALSE))</f>
        <v/>
      </c>
      <c r="H249" s="4"/>
      <c r="I249" s="4"/>
      <c r="J249" s="36" t="str">
        <f>IF(I249="","",VLOOKUP(E249,Courses!$A$5:$G$10,6,FALSE))</f>
        <v/>
      </c>
      <c r="K249" s="32">
        <f t="shared" si="3"/>
        <v>0</v>
      </c>
      <c r="L249" s="4"/>
      <c r="M249" s="4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4"/>
      <c r="B250" s="4"/>
      <c r="C250" s="28"/>
      <c r="D250" s="4"/>
      <c r="E250" s="4"/>
      <c r="F250" s="3" t="str">
        <f>IF(E250="","",VLOOKUP(E250,Courses!$A$5:$G$10,2,FALSE))</f>
        <v/>
      </c>
      <c r="G250" s="32" t="str">
        <f>IF(E250="","",VLOOKUP(E250,Courses!$A$5:$G$10,3,FALSE))</f>
        <v/>
      </c>
      <c r="H250" s="4"/>
      <c r="I250" s="4"/>
      <c r="J250" s="36" t="str">
        <f>IF(I250="","",VLOOKUP(E250,Courses!$A$5:$G$10,6,FALSE))</f>
        <v/>
      </c>
      <c r="K250" s="32">
        <f t="shared" si="3"/>
        <v>0</v>
      </c>
      <c r="L250" s="4"/>
      <c r="M250" s="4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4"/>
      <c r="B251" s="4"/>
      <c r="C251" s="28"/>
      <c r="D251" s="4"/>
      <c r="E251" s="4"/>
      <c r="F251" s="3" t="str">
        <f>IF(E251="","",VLOOKUP(E251,Courses!$A$5:$G$10,2,FALSE))</f>
        <v/>
      </c>
      <c r="G251" s="32" t="str">
        <f>IF(E251="","",VLOOKUP(E251,Courses!$A$5:$G$10,3,FALSE))</f>
        <v/>
      </c>
      <c r="H251" s="4"/>
      <c r="I251" s="4"/>
      <c r="J251" s="36" t="str">
        <f>IF(I251="","",VLOOKUP(E251,Courses!$A$5:$G$10,6,FALSE))</f>
        <v/>
      </c>
      <c r="K251" s="32">
        <f t="shared" si="3"/>
        <v>0</v>
      </c>
      <c r="L251" s="4"/>
      <c r="M251" s="4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4"/>
      <c r="B252" s="4"/>
      <c r="C252" s="28"/>
      <c r="D252" s="4"/>
      <c r="E252" s="4"/>
      <c r="F252" s="3" t="str">
        <f>IF(E252="","",VLOOKUP(E252,Courses!$A$5:$G$10,2,FALSE))</f>
        <v/>
      </c>
      <c r="G252" s="32" t="str">
        <f>IF(E252="","",VLOOKUP(E252,Courses!$A$5:$G$10,3,FALSE))</f>
        <v/>
      </c>
      <c r="H252" s="4"/>
      <c r="I252" s="4"/>
      <c r="J252" s="36" t="str">
        <f>IF(I252="","",VLOOKUP(E252,Courses!$A$5:$G$10,6,FALSE))</f>
        <v/>
      </c>
      <c r="K252" s="32">
        <f t="shared" si="3"/>
        <v>0</v>
      </c>
      <c r="L252" s="4"/>
      <c r="M252" s="4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4"/>
      <c r="B253" s="4"/>
      <c r="C253" s="28"/>
      <c r="D253" s="4"/>
      <c r="E253" s="4"/>
      <c r="F253" s="3" t="str">
        <f>IF(E253="","",VLOOKUP(E253,Courses!$A$5:$G$10,2,FALSE))</f>
        <v/>
      </c>
      <c r="G253" s="32" t="str">
        <f>IF(E253="","",VLOOKUP(E253,Courses!$A$5:$G$10,3,FALSE))</f>
        <v/>
      </c>
      <c r="H253" s="4"/>
      <c r="I253" s="4"/>
      <c r="J253" s="36" t="str">
        <f>IF(I253="","",VLOOKUP(E253,Courses!$A$5:$G$10,6,FALSE))</f>
        <v/>
      </c>
      <c r="K253" s="32">
        <f t="shared" si="3"/>
        <v>0</v>
      </c>
      <c r="L253" s="4"/>
      <c r="M253" s="4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4"/>
      <c r="B254" s="4"/>
      <c r="C254" s="28"/>
      <c r="D254" s="4"/>
      <c r="E254" s="4"/>
      <c r="F254" s="3" t="str">
        <f>IF(E254="","",VLOOKUP(E254,Courses!$A$5:$G$10,2,FALSE))</f>
        <v/>
      </c>
      <c r="G254" s="32" t="str">
        <f>IF(E254="","",VLOOKUP(E254,Courses!$A$5:$G$10,3,FALSE))</f>
        <v/>
      </c>
      <c r="H254" s="4"/>
      <c r="I254" s="4"/>
      <c r="J254" s="36" t="str">
        <f>IF(I254="","",VLOOKUP(E254,Courses!$A$5:$G$10,6,FALSE))</f>
        <v/>
      </c>
      <c r="K254" s="32">
        <f t="shared" si="3"/>
        <v>0</v>
      </c>
      <c r="L254" s="4"/>
      <c r="M254" s="4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4"/>
      <c r="B255" s="4"/>
      <c r="C255" s="28"/>
      <c r="D255" s="4"/>
      <c r="E255" s="4"/>
      <c r="F255" s="3" t="str">
        <f>IF(E255="","",VLOOKUP(E255,Courses!$A$5:$G$10,2,FALSE))</f>
        <v/>
      </c>
      <c r="G255" s="32" t="str">
        <f>IF(E255="","",VLOOKUP(E255,Courses!$A$5:$G$10,3,FALSE))</f>
        <v/>
      </c>
      <c r="H255" s="4"/>
      <c r="I255" s="4"/>
      <c r="J255" s="36" t="str">
        <f>IF(I255="","",VLOOKUP(E255,Courses!$A$5:$G$10,6,FALSE))</f>
        <v/>
      </c>
      <c r="K255" s="32">
        <f t="shared" si="3"/>
        <v>0</v>
      </c>
      <c r="L255" s="4"/>
      <c r="M255" s="4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4"/>
      <c r="B256" s="4"/>
      <c r="C256" s="28"/>
      <c r="D256" s="4"/>
      <c r="E256" s="4"/>
      <c r="F256" s="3" t="str">
        <f>IF(E256="","",VLOOKUP(E256,Courses!$A$5:$G$10,2,FALSE))</f>
        <v/>
      </c>
      <c r="G256" s="32" t="str">
        <f>IF(E256="","",VLOOKUP(E256,Courses!$A$5:$G$10,3,FALSE))</f>
        <v/>
      </c>
      <c r="H256" s="4"/>
      <c r="I256" s="4"/>
      <c r="J256" s="36" t="str">
        <f>IF(I256="","",VLOOKUP(E256,Courses!$A$5:$G$10,6,FALSE))</f>
        <v/>
      </c>
      <c r="K256" s="32">
        <f t="shared" si="3"/>
        <v>0</v>
      </c>
      <c r="L256" s="4"/>
      <c r="M256" s="4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4"/>
      <c r="B257" s="4"/>
      <c r="C257" s="28"/>
      <c r="D257" s="4"/>
      <c r="E257" s="4"/>
      <c r="F257" s="3" t="str">
        <f>IF(E257="","",VLOOKUP(E257,Courses!$A$5:$G$10,2,FALSE))</f>
        <v/>
      </c>
      <c r="G257" s="32" t="str">
        <f>IF(E257="","",VLOOKUP(E257,Courses!$A$5:$G$10,3,FALSE))</f>
        <v/>
      </c>
      <c r="H257" s="4"/>
      <c r="I257" s="4"/>
      <c r="J257" s="36" t="str">
        <f>IF(I257="","",VLOOKUP(E257,Courses!$A$5:$G$10,6,FALSE))</f>
        <v/>
      </c>
      <c r="K257" s="32">
        <f t="shared" si="3"/>
        <v>0</v>
      </c>
      <c r="L257" s="4"/>
      <c r="M257" s="4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4"/>
      <c r="B258" s="4"/>
      <c r="C258" s="28"/>
      <c r="D258" s="4"/>
      <c r="E258" s="4"/>
      <c r="F258" s="3" t="str">
        <f>IF(E258="","",VLOOKUP(E258,Courses!$A$5:$G$10,2,FALSE))</f>
        <v/>
      </c>
      <c r="G258" s="32" t="str">
        <f>IF(E258="","",VLOOKUP(E258,Courses!$A$5:$G$10,3,FALSE))</f>
        <v/>
      </c>
      <c r="H258" s="4"/>
      <c r="I258" s="4"/>
      <c r="J258" s="36" t="str">
        <f>IF(I258="","",VLOOKUP(E258,Courses!$A$5:$G$10,6,FALSE))</f>
        <v/>
      </c>
      <c r="K258" s="32">
        <f t="shared" si="3"/>
        <v>0</v>
      </c>
      <c r="L258" s="4"/>
      <c r="M258" s="4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4"/>
      <c r="B259" s="4"/>
      <c r="C259" s="28"/>
      <c r="D259" s="4"/>
      <c r="E259" s="4"/>
      <c r="F259" s="3" t="str">
        <f>IF(E259="","",VLOOKUP(E259,Courses!$A$5:$G$10,2,FALSE))</f>
        <v/>
      </c>
      <c r="G259" s="32" t="str">
        <f>IF(E259="","",VLOOKUP(E259,Courses!$A$5:$G$10,3,FALSE))</f>
        <v/>
      </c>
      <c r="H259" s="4"/>
      <c r="I259" s="4"/>
      <c r="J259" s="36" t="str">
        <f>IF(I259="","",VLOOKUP(E259,Courses!$A$5:$G$10,6,FALSE))</f>
        <v/>
      </c>
      <c r="K259" s="32">
        <f t="shared" si="3"/>
        <v>0</v>
      </c>
      <c r="L259" s="4"/>
      <c r="M259" s="4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4"/>
      <c r="B260" s="4"/>
      <c r="C260" s="28"/>
      <c r="D260" s="4"/>
      <c r="E260" s="4"/>
      <c r="F260" s="3" t="str">
        <f>IF(E260="","",VLOOKUP(E260,Courses!$A$5:$G$10,2,FALSE))</f>
        <v/>
      </c>
      <c r="G260" s="32" t="str">
        <f>IF(E260="","",VLOOKUP(E260,Courses!$A$5:$G$10,3,FALSE))</f>
        <v/>
      </c>
      <c r="H260" s="4"/>
      <c r="I260" s="4"/>
      <c r="J260" s="36" t="str">
        <f>IF(I260="","",VLOOKUP(E260,Courses!$A$5:$G$10,6,FALSE))</f>
        <v/>
      </c>
      <c r="K260" s="32">
        <f t="shared" si="3"/>
        <v>0</v>
      </c>
      <c r="L260" s="4"/>
      <c r="M260" s="4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4"/>
      <c r="B261" s="4"/>
      <c r="C261" s="28"/>
      <c r="D261" s="4"/>
      <c r="E261" s="4"/>
      <c r="F261" s="3" t="str">
        <f>IF(E261="","",VLOOKUP(E261,Courses!$A$5:$G$10,2,FALSE))</f>
        <v/>
      </c>
      <c r="G261" s="32" t="str">
        <f>IF(E261="","",VLOOKUP(E261,Courses!$A$5:$G$10,3,FALSE))</f>
        <v/>
      </c>
      <c r="H261" s="4"/>
      <c r="I261" s="4"/>
      <c r="J261" s="36" t="str">
        <f>IF(I261="","",VLOOKUP(E261,Courses!$A$5:$G$10,6,FALSE))</f>
        <v/>
      </c>
      <c r="K261" s="32">
        <f t="shared" ref="K261:K324" si="4">IF(AND(H261="Paid",I261&lt;&gt;""),G261*J261,0)</f>
        <v>0</v>
      </c>
      <c r="L261" s="4"/>
      <c r="M261" s="4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4"/>
      <c r="B262" s="4"/>
      <c r="C262" s="28"/>
      <c r="D262" s="4"/>
      <c r="E262" s="4"/>
      <c r="F262" s="3" t="str">
        <f>IF(E262="","",VLOOKUP(E262,Courses!$A$5:$G$10,2,FALSE))</f>
        <v/>
      </c>
      <c r="G262" s="32" t="str">
        <f>IF(E262="","",VLOOKUP(E262,Courses!$A$5:$G$10,3,FALSE))</f>
        <v/>
      </c>
      <c r="H262" s="4"/>
      <c r="I262" s="4"/>
      <c r="J262" s="36" t="str">
        <f>IF(I262="","",VLOOKUP(E262,Courses!$A$5:$G$10,6,FALSE))</f>
        <v/>
      </c>
      <c r="K262" s="32">
        <f t="shared" si="4"/>
        <v>0</v>
      </c>
      <c r="L262" s="4"/>
      <c r="M262" s="4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4"/>
      <c r="B263" s="4"/>
      <c r="C263" s="28"/>
      <c r="D263" s="4"/>
      <c r="E263" s="4"/>
      <c r="F263" s="3" t="str">
        <f>IF(E263="","",VLOOKUP(E263,Courses!$A$5:$G$10,2,FALSE))</f>
        <v/>
      </c>
      <c r="G263" s="32" t="str">
        <f>IF(E263="","",VLOOKUP(E263,Courses!$A$5:$G$10,3,FALSE))</f>
        <v/>
      </c>
      <c r="H263" s="4"/>
      <c r="I263" s="4"/>
      <c r="J263" s="36" t="str">
        <f>IF(I263="","",VLOOKUP(E263,Courses!$A$5:$G$10,6,FALSE))</f>
        <v/>
      </c>
      <c r="K263" s="32">
        <f t="shared" si="4"/>
        <v>0</v>
      </c>
      <c r="L263" s="4"/>
      <c r="M263" s="4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4"/>
      <c r="B264" s="4"/>
      <c r="C264" s="28"/>
      <c r="D264" s="4"/>
      <c r="E264" s="4"/>
      <c r="F264" s="3" t="str">
        <f>IF(E264="","",VLOOKUP(E264,Courses!$A$5:$G$10,2,FALSE))</f>
        <v/>
      </c>
      <c r="G264" s="32" t="str">
        <f>IF(E264="","",VLOOKUP(E264,Courses!$A$5:$G$10,3,FALSE))</f>
        <v/>
      </c>
      <c r="H264" s="4"/>
      <c r="I264" s="4"/>
      <c r="J264" s="36" t="str">
        <f>IF(I264="","",VLOOKUP(E264,Courses!$A$5:$G$10,6,FALSE))</f>
        <v/>
      </c>
      <c r="K264" s="32">
        <f t="shared" si="4"/>
        <v>0</v>
      </c>
      <c r="L264" s="4"/>
      <c r="M264" s="4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4"/>
      <c r="B265" s="4"/>
      <c r="C265" s="28"/>
      <c r="D265" s="4"/>
      <c r="E265" s="4"/>
      <c r="F265" s="3" t="str">
        <f>IF(E265="","",VLOOKUP(E265,Courses!$A$5:$G$10,2,FALSE))</f>
        <v/>
      </c>
      <c r="G265" s="32" t="str">
        <f>IF(E265="","",VLOOKUP(E265,Courses!$A$5:$G$10,3,FALSE))</f>
        <v/>
      </c>
      <c r="H265" s="4"/>
      <c r="I265" s="4"/>
      <c r="J265" s="36" t="str">
        <f>IF(I265="","",VLOOKUP(E265,Courses!$A$5:$G$10,6,FALSE))</f>
        <v/>
      </c>
      <c r="K265" s="32">
        <f t="shared" si="4"/>
        <v>0</v>
      </c>
      <c r="L265" s="4"/>
      <c r="M265" s="4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4"/>
      <c r="B266" s="4"/>
      <c r="C266" s="28"/>
      <c r="D266" s="4"/>
      <c r="E266" s="4"/>
      <c r="F266" s="3" t="str">
        <f>IF(E266="","",VLOOKUP(E266,Courses!$A$5:$G$10,2,FALSE))</f>
        <v/>
      </c>
      <c r="G266" s="32" t="str">
        <f>IF(E266="","",VLOOKUP(E266,Courses!$A$5:$G$10,3,FALSE))</f>
        <v/>
      </c>
      <c r="H266" s="4"/>
      <c r="I266" s="4"/>
      <c r="J266" s="36" t="str">
        <f>IF(I266="","",VLOOKUP(E266,Courses!$A$5:$G$10,6,FALSE))</f>
        <v/>
      </c>
      <c r="K266" s="32">
        <f t="shared" si="4"/>
        <v>0</v>
      </c>
      <c r="L266" s="4"/>
      <c r="M266" s="4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4"/>
      <c r="B267" s="4"/>
      <c r="C267" s="28"/>
      <c r="D267" s="4"/>
      <c r="E267" s="4"/>
      <c r="F267" s="3" t="str">
        <f>IF(E267="","",VLOOKUP(E267,Courses!$A$5:$G$10,2,FALSE))</f>
        <v/>
      </c>
      <c r="G267" s="32" t="str">
        <f>IF(E267="","",VLOOKUP(E267,Courses!$A$5:$G$10,3,FALSE))</f>
        <v/>
      </c>
      <c r="H267" s="4"/>
      <c r="I267" s="4"/>
      <c r="J267" s="36" t="str">
        <f>IF(I267="","",VLOOKUP(E267,Courses!$A$5:$G$10,6,FALSE))</f>
        <v/>
      </c>
      <c r="K267" s="32">
        <f t="shared" si="4"/>
        <v>0</v>
      </c>
      <c r="L267" s="4"/>
      <c r="M267" s="4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4"/>
      <c r="B268" s="4"/>
      <c r="C268" s="28"/>
      <c r="D268" s="4"/>
      <c r="E268" s="4"/>
      <c r="F268" s="3" t="str">
        <f>IF(E268="","",VLOOKUP(E268,Courses!$A$5:$G$10,2,FALSE))</f>
        <v/>
      </c>
      <c r="G268" s="32" t="str">
        <f>IF(E268="","",VLOOKUP(E268,Courses!$A$5:$G$10,3,FALSE))</f>
        <v/>
      </c>
      <c r="H268" s="4"/>
      <c r="I268" s="4"/>
      <c r="J268" s="36" t="str">
        <f>IF(I268="","",VLOOKUP(E268,Courses!$A$5:$G$10,6,FALSE))</f>
        <v/>
      </c>
      <c r="K268" s="32">
        <f t="shared" si="4"/>
        <v>0</v>
      </c>
      <c r="L268" s="4"/>
      <c r="M268" s="4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4"/>
      <c r="B269" s="4"/>
      <c r="C269" s="28"/>
      <c r="D269" s="4"/>
      <c r="E269" s="4"/>
      <c r="F269" s="3" t="str">
        <f>IF(E269="","",VLOOKUP(E269,Courses!$A$5:$G$10,2,FALSE))</f>
        <v/>
      </c>
      <c r="G269" s="32" t="str">
        <f>IF(E269="","",VLOOKUP(E269,Courses!$A$5:$G$10,3,FALSE))</f>
        <v/>
      </c>
      <c r="H269" s="4"/>
      <c r="I269" s="4"/>
      <c r="J269" s="36" t="str">
        <f>IF(I269="","",VLOOKUP(E269,Courses!$A$5:$G$10,6,FALSE))</f>
        <v/>
      </c>
      <c r="K269" s="32">
        <f t="shared" si="4"/>
        <v>0</v>
      </c>
      <c r="L269" s="4"/>
      <c r="M269" s="4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4"/>
      <c r="B270" s="4"/>
      <c r="C270" s="28"/>
      <c r="D270" s="4"/>
      <c r="E270" s="4"/>
      <c r="F270" s="3" t="str">
        <f>IF(E270="","",VLOOKUP(E270,Courses!$A$5:$G$10,2,FALSE))</f>
        <v/>
      </c>
      <c r="G270" s="32" t="str">
        <f>IF(E270="","",VLOOKUP(E270,Courses!$A$5:$G$10,3,FALSE))</f>
        <v/>
      </c>
      <c r="H270" s="4"/>
      <c r="I270" s="4"/>
      <c r="J270" s="36" t="str">
        <f>IF(I270="","",VLOOKUP(E270,Courses!$A$5:$G$10,6,FALSE))</f>
        <v/>
      </c>
      <c r="K270" s="32">
        <f t="shared" si="4"/>
        <v>0</v>
      </c>
      <c r="L270" s="4"/>
      <c r="M270" s="4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4"/>
      <c r="B271" s="4"/>
      <c r="C271" s="28"/>
      <c r="D271" s="4"/>
      <c r="E271" s="4"/>
      <c r="F271" s="3" t="str">
        <f>IF(E271="","",VLOOKUP(E271,Courses!$A$5:$G$10,2,FALSE))</f>
        <v/>
      </c>
      <c r="G271" s="32" t="str">
        <f>IF(E271="","",VLOOKUP(E271,Courses!$A$5:$G$10,3,FALSE))</f>
        <v/>
      </c>
      <c r="H271" s="4"/>
      <c r="I271" s="4"/>
      <c r="J271" s="36" t="str">
        <f>IF(I271="","",VLOOKUP(E271,Courses!$A$5:$G$10,6,FALSE))</f>
        <v/>
      </c>
      <c r="K271" s="32">
        <f t="shared" si="4"/>
        <v>0</v>
      </c>
      <c r="L271" s="4"/>
      <c r="M271" s="4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4"/>
      <c r="B272" s="4"/>
      <c r="C272" s="28"/>
      <c r="D272" s="4"/>
      <c r="E272" s="4"/>
      <c r="F272" s="3" t="str">
        <f>IF(E272="","",VLOOKUP(E272,Courses!$A$5:$G$10,2,FALSE))</f>
        <v/>
      </c>
      <c r="G272" s="32" t="str">
        <f>IF(E272="","",VLOOKUP(E272,Courses!$A$5:$G$10,3,FALSE))</f>
        <v/>
      </c>
      <c r="H272" s="4"/>
      <c r="I272" s="4"/>
      <c r="J272" s="36" t="str">
        <f>IF(I272="","",VLOOKUP(E272,Courses!$A$5:$G$10,6,FALSE))</f>
        <v/>
      </c>
      <c r="K272" s="32">
        <f t="shared" si="4"/>
        <v>0</v>
      </c>
      <c r="L272" s="4"/>
      <c r="M272" s="4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4"/>
      <c r="B273" s="4"/>
      <c r="C273" s="28"/>
      <c r="D273" s="4"/>
      <c r="E273" s="4"/>
      <c r="F273" s="3" t="str">
        <f>IF(E273="","",VLOOKUP(E273,Courses!$A$5:$G$10,2,FALSE))</f>
        <v/>
      </c>
      <c r="G273" s="32" t="str">
        <f>IF(E273="","",VLOOKUP(E273,Courses!$A$5:$G$10,3,FALSE))</f>
        <v/>
      </c>
      <c r="H273" s="4"/>
      <c r="I273" s="4"/>
      <c r="J273" s="36" t="str">
        <f>IF(I273="","",VLOOKUP(E273,Courses!$A$5:$G$10,6,FALSE))</f>
        <v/>
      </c>
      <c r="K273" s="32">
        <f t="shared" si="4"/>
        <v>0</v>
      </c>
      <c r="L273" s="4"/>
      <c r="M273" s="4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4"/>
      <c r="B274" s="4"/>
      <c r="C274" s="28"/>
      <c r="D274" s="4"/>
      <c r="E274" s="4"/>
      <c r="F274" s="3" t="str">
        <f>IF(E274="","",VLOOKUP(E274,Courses!$A$5:$G$10,2,FALSE))</f>
        <v/>
      </c>
      <c r="G274" s="32" t="str">
        <f>IF(E274="","",VLOOKUP(E274,Courses!$A$5:$G$10,3,FALSE))</f>
        <v/>
      </c>
      <c r="H274" s="4"/>
      <c r="I274" s="4"/>
      <c r="J274" s="36" t="str">
        <f>IF(I274="","",VLOOKUP(E274,Courses!$A$5:$G$10,6,FALSE))</f>
        <v/>
      </c>
      <c r="K274" s="32">
        <f t="shared" si="4"/>
        <v>0</v>
      </c>
      <c r="L274" s="4"/>
      <c r="M274" s="4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4"/>
      <c r="B275" s="4"/>
      <c r="C275" s="28"/>
      <c r="D275" s="4"/>
      <c r="E275" s="4"/>
      <c r="F275" s="3" t="str">
        <f>IF(E275="","",VLOOKUP(E275,Courses!$A$5:$G$10,2,FALSE))</f>
        <v/>
      </c>
      <c r="G275" s="32" t="str">
        <f>IF(E275="","",VLOOKUP(E275,Courses!$A$5:$G$10,3,FALSE))</f>
        <v/>
      </c>
      <c r="H275" s="4"/>
      <c r="I275" s="4"/>
      <c r="J275" s="36" t="str">
        <f>IF(I275="","",VLOOKUP(E275,Courses!$A$5:$G$10,6,FALSE))</f>
        <v/>
      </c>
      <c r="K275" s="32">
        <f t="shared" si="4"/>
        <v>0</v>
      </c>
      <c r="L275" s="4"/>
      <c r="M275" s="4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4"/>
      <c r="B276" s="4"/>
      <c r="C276" s="28"/>
      <c r="D276" s="4"/>
      <c r="E276" s="4"/>
      <c r="F276" s="3" t="str">
        <f>IF(E276="","",VLOOKUP(E276,Courses!$A$5:$G$10,2,FALSE))</f>
        <v/>
      </c>
      <c r="G276" s="32" t="str">
        <f>IF(E276="","",VLOOKUP(E276,Courses!$A$5:$G$10,3,FALSE))</f>
        <v/>
      </c>
      <c r="H276" s="4"/>
      <c r="I276" s="4"/>
      <c r="J276" s="36" t="str">
        <f>IF(I276="","",VLOOKUP(E276,Courses!$A$5:$G$10,6,FALSE))</f>
        <v/>
      </c>
      <c r="K276" s="32">
        <f t="shared" si="4"/>
        <v>0</v>
      </c>
      <c r="L276" s="4"/>
      <c r="M276" s="4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4"/>
      <c r="B277" s="4"/>
      <c r="C277" s="28"/>
      <c r="D277" s="4"/>
      <c r="E277" s="4"/>
      <c r="F277" s="3" t="str">
        <f>IF(E277="","",VLOOKUP(E277,Courses!$A$5:$G$10,2,FALSE))</f>
        <v/>
      </c>
      <c r="G277" s="32" t="str">
        <f>IF(E277="","",VLOOKUP(E277,Courses!$A$5:$G$10,3,FALSE))</f>
        <v/>
      </c>
      <c r="H277" s="4"/>
      <c r="I277" s="4"/>
      <c r="J277" s="36" t="str">
        <f>IF(I277="","",VLOOKUP(E277,Courses!$A$5:$G$10,6,FALSE))</f>
        <v/>
      </c>
      <c r="K277" s="32">
        <f t="shared" si="4"/>
        <v>0</v>
      </c>
      <c r="L277" s="4"/>
      <c r="M277" s="4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4"/>
      <c r="B278" s="4"/>
      <c r="C278" s="28"/>
      <c r="D278" s="4"/>
      <c r="E278" s="4"/>
      <c r="F278" s="3" t="str">
        <f>IF(E278="","",VLOOKUP(E278,Courses!$A$5:$G$10,2,FALSE))</f>
        <v/>
      </c>
      <c r="G278" s="32" t="str">
        <f>IF(E278="","",VLOOKUP(E278,Courses!$A$5:$G$10,3,FALSE))</f>
        <v/>
      </c>
      <c r="H278" s="4"/>
      <c r="I278" s="4"/>
      <c r="J278" s="36" t="str">
        <f>IF(I278="","",VLOOKUP(E278,Courses!$A$5:$G$10,6,FALSE))</f>
        <v/>
      </c>
      <c r="K278" s="32">
        <f t="shared" si="4"/>
        <v>0</v>
      </c>
      <c r="L278" s="4"/>
      <c r="M278" s="4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4"/>
      <c r="B279" s="4"/>
      <c r="C279" s="28"/>
      <c r="D279" s="4"/>
      <c r="E279" s="4"/>
      <c r="F279" s="3" t="str">
        <f>IF(E279="","",VLOOKUP(E279,Courses!$A$5:$G$10,2,FALSE))</f>
        <v/>
      </c>
      <c r="G279" s="32" t="str">
        <f>IF(E279="","",VLOOKUP(E279,Courses!$A$5:$G$10,3,FALSE))</f>
        <v/>
      </c>
      <c r="H279" s="4"/>
      <c r="I279" s="4"/>
      <c r="J279" s="36" t="str">
        <f>IF(I279="","",VLOOKUP(E279,Courses!$A$5:$G$10,6,FALSE))</f>
        <v/>
      </c>
      <c r="K279" s="32">
        <f t="shared" si="4"/>
        <v>0</v>
      </c>
      <c r="L279" s="4"/>
      <c r="M279" s="4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4"/>
      <c r="B280" s="4"/>
      <c r="C280" s="28"/>
      <c r="D280" s="4"/>
      <c r="E280" s="4"/>
      <c r="F280" s="3" t="str">
        <f>IF(E280="","",VLOOKUP(E280,Courses!$A$5:$G$10,2,FALSE))</f>
        <v/>
      </c>
      <c r="G280" s="32" t="str">
        <f>IF(E280="","",VLOOKUP(E280,Courses!$A$5:$G$10,3,FALSE))</f>
        <v/>
      </c>
      <c r="H280" s="4"/>
      <c r="I280" s="4"/>
      <c r="J280" s="36" t="str">
        <f>IF(I280="","",VLOOKUP(E280,Courses!$A$5:$G$10,6,FALSE))</f>
        <v/>
      </c>
      <c r="K280" s="32">
        <f t="shared" si="4"/>
        <v>0</v>
      </c>
      <c r="L280" s="4"/>
      <c r="M280" s="4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4"/>
      <c r="B281" s="4"/>
      <c r="C281" s="28"/>
      <c r="D281" s="4"/>
      <c r="E281" s="4"/>
      <c r="F281" s="3" t="str">
        <f>IF(E281="","",VLOOKUP(E281,Courses!$A$5:$G$10,2,FALSE))</f>
        <v/>
      </c>
      <c r="G281" s="32" t="str">
        <f>IF(E281="","",VLOOKUP(E281,Courses!$A$5:$G$10,3,FALSE))</f>
        <v/>
      </c>
      <c r="H281" s="4"/>
      <c r="I281" s="4"/>
      <c r="J281" s="36" t="str">
        <f>IF(I281="","",VLOOKUP(E281,Courses!$A$5:$G$10,6,FALSE))</f>
        <v/>
      </c>
      <c r="K281" s="32">
        <f t="shared" si="4"/>
        <v>0</v>
      </c>
      <c r="L281" s="4"/>
      <c r="M281" s="4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4"/>
      <c r="B282" s="4"/>
      <c r="C282" s="28"/>
      <c r="D282" s="4"/>
      <c r="E282" s="4"/>
      <c r="F282" s="3" t="str">
        <f>IF(E282="","",VLOOKUP(E282,Courses!$A$5:$G$10,2,FALSE))</f>
        <v/>
      </c>
      <c r="G282" s="32" t="str">
        <f>IF(E282="","",VLOOKUP(E282,Courses!$A$5:$G$10,3,FALSE))</f>
        <v/>
      </c>
      <c r="H282" s="4"/>
      <c r="I282" s="4"/>
      <c r="J282" s="36" t="str">
        <f>IF(I282="","",VLOOKUP(E282,Courses!$A$5:$G$10,6,FALSE))</f>
        <v/>
      </c>
      <c r="K282" s="32">
        <f t="shared" si="4"/>
        <v>0</v>
      </c>
      <c r="L282" s="4"/>
      <c r="M282" s="4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4"/>
      <c r="B283" s="4"/>
      <c r="C283" s="28"/>
      <c r="D283" s="4"/>
      <c r="E283" s="4"/>
      <c r="F283" s="3" t="str">
        <f>IF(E283="","",VLOOKUP(E283,Courses!$A$5:$G$10,2,FALSE))</f>
        <v/>
      </c>
      <c r="G283" s="32" t="str">
        <f>IF(E283="","",VLOOKUP(E283,Courses!$A$5:$G$10,3,FALSE))</f>
        <v/>
      </c>
      <c r="H283" s="4"/>
      <c r="I283" s="4"/>
      <c r="J283" s="36" t="str">
        <f>IF(I283="","",VLOOKUP(E283,Courses!$A$5:$G$10,6,FALSE))</f>
        <v/>
      </c>
      <c r="K283" s="32">
        <f t="shared" si="4"/>
        <v>0</v>
      </c>
      <c r="L283" s="4"/>
      <c r="M283" s="4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4"/>
      <c r="B284" s="4"/>
      <c r="C284" s="28"/>
      <c r="D284" s="4"/>
      <c r="E284" s="4"/>
      <c r="F284" s="3" t="str">
        <f>IF(E284="","",VLOOKUP(E284,Courses!$A$5:$G$10,2,FALSE))</f>
        <v/>
      </c>
      <c r="G284" s="32" t="str">
        <f>IF(E284="","",VLOOKUP(E284,Courses!$A$5:$G$10,3,FALSE))</f>
        <v/>
      </c>
      <c r="H284" s="4"/>
      <c r="I284" s="4"/>
      <c r="J284" s="36" t="str">
        <f>IF(I284="","",VLOOKUP(E284,Courses!$A$5:$G$10,6,FALSE))</f>
        <v/>
      </c>
      <c r="K284" s="32">
        <f t="shared" si="4"/>
        <v>0</v>
      </c>
      <c r="L284" s="4"/>
      <c r="M284" s="4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4"/>
      <c r="B285" s="4"/>
      <c r="C285" s="28"/>
      <c r="D285" s="4"/>
      <c r="E285" s="4"/>
      <c r="F285" s="3" t="str">
        <f>IF(E285="","",VLOOKUP(E285,Courses!$A$5:$G$10,2,FALSE))</f>
        <v/>
      </c>
      <c r="G285" s="32" t="str">
        <f>IF(E285="","",VLOOKUP(E285,Courses!$A$5:$G$10,3,FALSE))</f>
        <v/>
      </c>
      <c r="H285" s="4"/>
      <c r="I285" s="4"/>
      <c r="J285" s="36" t="str">
        <f>IF(I285="","",VLOOKUP(E285,Courses!$A$5:$G$10,6,FALSE))</f>
        <v/>
      </c>
      <c r="K285" s="32">
        <f t="shared" si="4"/>
        <v>0</v>
      </c>
      <c r="L285" s="4"/>
      <c r="M285" s="4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4"/>
      <c r="B286" s="4"/>
      <c r="C286" s="28"/>
      <c r="D286" s="4"/>
      <c r="E286" s="4"/>
      <c r="F286" s="3" t="str">
        <f>IF(E286="","",VLOOKUP(E286,Courses!$A$5:$G$10,2,FALSE))</f>
        <v/>
      </c>
      <c r="G286" s="32" t="str">
        <f>IF(E286="","",VLOOKUP(E286,Courses!$A$5:$G$10,3,FALSE))</f>
        <v/>
      </c>
      <c r="H286" s="4"/>
      <c r="I286" s="4"/>
      <c r="J286" s="36" t="str">
        <f>IF(I286="","",VLOOKUP(E286,Courses!$A$5:$G$10,6,FALSE))</f>
        <v/>
      </c>
      <c r="K286" s="32">
        <f t="shared" si="4"/>
        <v>0</v>
      </c>
      <c r="L286" s="4"/>
      <c r="M286" s="4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4"/>
      <c r="B287" s="4"/>
      <c r="C287" s="28"/>
      <c r="D287" s="4"/>
      <c r="E287" s="4"/>
      <c r="F287" s="3" t="str">
        <f>IF(E287="","",VLOOKUP(E287,Courses!$A$5:$G$10,2,FALSE))</f>
        <v/>
      </c>
      <c r="G287" s="32" t="str">
        <f>IF(E287="","",VLOOKUP(E287,Courses!$A$5:$G$10,3,FALSE))</f>
        <v/>
      </c>
      <c r="H287" s="4"/>
      <c r="I287" s="4"/>
      <c r="J287" s="36" t="str">
        <f>IF(I287="","",VLOOKUP(E287,Courses!$A$5:$G$10,6,FALSE))</f>
        <v/>
      </c>
      <c r="K287" s="32">
        <f t="shared" si="4"/>
        <v>0</v>
      </c>
      <c r="L287" s="4"/>
      <c r="M287" s="4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4"/>
      <c r="B288" s="4"/>
      <c r="C288" s="28"/>
      <c r="D288" s="4"/>
      <c r="E288" s="4"/>
      <c r="F288" s="3" t="str">
        <f>IF(E288="","",VLOOKUP(E288,Courses!$A$5:$G$10,2,FALSE))</f>
        <v/>
      </c>
      <c r="G288" s="32" t="str">
        <f>IF(E288="","",VLOOKUP(E288,Courses!$A$5:$G$10,3,FALSE))</f>
        <v/>
      </c>
      <c r="H288" s="4"/>
      <c r="I288" s="4"/>
      <c r="J288" s="36" t="str">
        <f>IF(I288="","",VLOOKUP(E288,Courses!$A$5:$G$10,6,FALSE))</f>
        <v/>
      </c>
      <c r="K288" s="32">
        <f t="shared" si="4"/>
        <v>0</v>
      </c>
      <c r="L288" s="4"/>
      <c r="M288" s="4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4"/>
      <c r="B289" s="4"/>
      <c r="C289" s="28"/>
      <c r="D289" s="4"/>
      <c r="E289" s="4"/>
      <c r="F289" s="3" t="str">
        <f>IF(E289="","",VLOOKUP(E289,Courses!$A$5:$G$10,2,FALSE))</f>
        <v/>
      </c>
      <c r="G289" s="32" t="str">
        <f>IF(E289="","",VLOOKUP(E289,Courses!$A$5:$G$10,3,FALSE))</f>
        <v/>
      </c>
      <c r="H289" s="4"/>
      <c r="I289" s="4"/>
      <c r="J289" s="36" t="str">
        <f>IF(I289="","",VLOOKUP(E289,Courses!$A$5:$G$10,6,FALSE))</f>
        <v/>
      </c>
      <c r="K289" s="32">
        <f t="shared" si="4"/>
        <v>0</v>
      </c>
      <c r="L289" s="4"/>
      <c r="M289" s="4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4"/>
      <c r="B290" s="4"/>
      <c r="C290" s="28"/>
      <c r="D290" s="4"/>
      <c r="E290" s="4"/>
      <c r="F290" s="3" t="str">
        <f>IF(E290="","",VLOOKUP(E290,Courses!$A$5:$G$10,2,FALSE))</f>
        <v/>
      </c>
      <c r="G290" s="32" t="str">
        <f>IF(E290="","",VLOOKUP(E290,Courses!$A$5:$G$10,3,FALSE))</f>
        <v/>
      </c>
      <c r="H290" s="4"/>
      <c r="I290" s="4"/>
      <c r="J290" s="36" t="str">
        <f>IF(I290="","",VLOOKUP(E290,Courses!$A$5:$G$10,6,FALSE))</f>
        <v/>
      </c>
      <c r="K290" s="32">
        <f t="shared" si="4"/>
        <v>0</v>
      </c>
      <c r="L290" s="4"/>
      <c r="M290" s="4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4"/>
      <c r="B291" s="4"/>
      <c r="C291" s="28"/>
      <c r="D291" s="4"/>
      <c r="E291" s="4"/>
      <c r="F291" s="3" t="str">
        <f>IF(E291="","",VLOOKUP(E291,Courses!$A$5:$G$10,2,FALSE))</f>
        <v/>
      </c>
      <c r="G291" s="32" t="str">
        <f>IF(E291="","",VLOOKUP(E291,Courses!$A$5:$G$10,3,FALSE))</f>
        <v/>
      </c>
      <c r="H291" s="4"/>
      <c r="I291" s="4"/>
      <c r="J291" s="36" t="str">
        <f>IF(I291="","",VLOOKUP(E291,Courses!$A$5:$G$10,6,FALSE))</f>
        <v/>
      </c>
      <c r="K291" s="32">
        <f t="shared" si="4"/>
        <v>0</v>
      </c>
      <c r="L291" s="4"/>
      <c r="M291" s="4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4"/>
      <c r="B292" s="4"/>
      <c r="C292" s="28"/>
      <c r="D292" s="4"/>
      <c r="E292" s="4"/>
      <c r="F292" s="3" t="str">
        <f>IF(E292="","",VLOOKUP(E292,Courses!$A$5:$G$10,2,FALSE))</f>
        <v/>
      </c>
      <c r="G292" s="32" t="str">
        <f>IF(E292="","",VLOOKUP(E292,Courses!$A$5:$G$10,3,FALSE))</f>
        <v/>
      </c>
      <c r="H292" s="4"/>
      <c r="I292" s="4"/>
      <c r="J292" s="36" t="str">
        <f>IF(I292="","",VLOOKUP(E292,Courses!$A$5:$G$10,6,FALSE))</f>
        <v/>
      </c>
      <c r="K292" s="32">
        <f t="shared" si="4"/>
        <v>0</v>
      </c>
      <c r="L292" s="4"/>
      <c r="M292" s="4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4"/>
      <c r="B293" s="4"/>
      <c r="C293" s="28"/>
      <c r="D293" s="4"/>
      <c r="E293" s="4"/>
      <c r="F293" s="3" t="str">
        <f>IF(E293="","",VLOOKUP(E293,Courses!$A$5:$G$10,2,FALSE))</f>
        <v/>
      </c>
      <c r="G293" s="32" t="str">
        <f>IF(E293="","",VLOOKUP(E293,Courses!$A$5:$G$10,3,FALSE))</f>
        <v/>
      </c>
      <c r="H293" s="4"/>
      <c r="I293" s="4"/>
      <c r="J293" s="36" t="str">
        <f>IF(I293="","",VLOOKUP(E293,Courses!$A$5:$G$10,6,FALSE))</f>
        <v/>
      </c>
      <c r="K293" s="32">
        <f t="shared" si="4"/>
        <v>0</v>
      </c>
      <c r="L293" s="4"/>
      <c r="M293" s="4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4"/>
      <c r="B294" s="4"/>
      <c r="C294" s="28"/>
      <c r="D294" s="4"/>
      <c r="E294" s="4"/>
      <c r="F294" s="3" t="str">
        <f>IF(E294="","",VLOOKUP(E294,Courses!$A$5:$G$10,2,FALSE))</f>
        <v/>
      </c>
      <c r="G294" s="32" t="str">
        <f>IF(E294="","",VLOOKUP(E294,Courses!$A$5:$G$10,3,FALSE))</f>
        <v/>
      </c>
      <c r="H294" s="4"/>
      <c r="I294" s="4"/>
      <c r="J294" s="36" t="str">
        <f>IF(I294="","",VLOOKUP(E294,Courses!$A$5:$G$10,6,FALSE))</f>
        <v/>
      </c>
      <c r="K294" s="32">
        <f t="shared" si="4"/>
        <v>0</v>
      </c>
      <c r="L294" s="4"/>
      <c r="M294" s="4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4"/>
      <c r="B295" s="4"/>
      <c r="C295" s="28"/>
      <c r="D295" s="4"/>
      <c r="E295" s="4"/>
      <c r="F295" s="3" t="str">
        <f>IF(E295="","",VLOOKUP(E295,Courses!$A$5:$G$10,2,FALSE))</f>
        <v/>
      </c>
      <c r="G295" s="32" t="str">
        <f>IF(E295="","",VLOOKUP(E295,Courses!$A$5:$G$10,3,FALSE))</f>
        <v/>
      </c>
      <c r="H295" s="4"/>
      <c r="I295" s="4"/>
      <c r="J295" s="36" t="str">
        <f>IF(I295="","",VLOOKUP(E295,Courses!$A$5:$G$10,6,FALSE))</f>
        <v/>
      </c>
      <c r="K295" s="32">
        <f t="shared" si="4"/>
        <v>0</v>
      </c>
      <c r="L295" s="4"/>
      <c r="M295" s="4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4"/>
      <c r="B296" s="4"/>
      <c r="C296" s="28"/>
      <c r="D296" s="4"/>
      <c r="E296" s="4"/>
      <c r="F296" s="3" t="str">
        <f>IF(E296="","",VLOOKUP(E296,Courses!$A$5:$G$10,2,FALSE))</f>
        <v/>
      </c>
      <c r="G296" s="32" t="str">
        <f>IF(E296="","",VLOOKUP(E296,Courses!$A$5:$G$10,3,FALSE))</f>
        <v/>
      </c>
      <c r="H296" s="4"/>
      <c r="I296" s="4"/>
      <c r="J296" s="36" t="str">
        <f>IF(I296="","",VLOOKUP(E296,Courses!$A$5:$G$10,6,FALSE))</f>
        <v/>
      </c>
      <c r="K296" s="32">
        <f t="shared" si="4"/>
        <v>0</v>
      </c>
      <c r="L296" s="4"/>
      <c r="M296" s="4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4"/>
      <c r="B297" s="4"/>
      <c r="C297" s="28"/>
      <c r="D297" s="4"/>
      <c r="E297" s="4"/>
      <c r="F297" s="3" t="str">
        <f>IF(E297="","",VLOOKUP(E297,Courses!$A$5:$G$10,2,FALSE))</f>
        <v/>
      </c>
      <c r="G297" s="32" t="str">
        <f>IF(E297="","",VLOOKUP(E297,Courses!$A$5:$G$10,3,FALSE))</f>
        <v/>
      </c>
      <c r="H297" s="4"/>
      <c r="I297" s="4"/>
      <c r="J297" s="36" t="str">
        <f>IF(I297="","",VLOOKUP(E297,Courses!$A$5:$G$10,6,FALSE))</f>
        <v/>
      </c>
      <c r="K297" s="32">
        <f t="shared" si="4"/>
        <v>0</v>
      </c>
      <c r="L297" s="4"/>
      <c r="M297" s="4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4"/>
      <c r="B298" s="4"/>
      <c r="C298" s="28"/>
      <c r="D298" s="4"/>
      <c r="E298" s="4"/>
      <c r="F298" s="3" t="str">
        <f>IF(E298="","",VLOOKUP(E298,Courses!$A$5:$G$10,2,FALSE))</f>
        <v/>
      </c>
      <c r="G298" s="32" t="str">
        <f>IF(E298="","",VLOOKUP(E298,Courses!$A$5:$G$10,3,FALSE))</f>
        <v/>
      </c>
      <c r="H298" s="4"/>
      <c r="I298" s="4"/>
      <c r="J298" s="36" t="str">
        <f>IF(I298="","",VLOOKUP(E298,Courses!$A$5:$G$10,6,FALSE))</f>
        <v/>
      </c>
      <c r="K298" s="32">
        <f t="shared" si="4"/>
        <v>0</v>
      </c>
      <c r="L298" s="4"/>
      <c r="M298" s="4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4"/>
      <c r="B299" s="4"/>
      <c r="C299" s="28"/>
      <c r="D299" s="4"/>
      <c r="E299" s="4"/>
      <c r="F299" s="3" t="str">
        <f>IF(E299="","",VLOOKUP(E299,Courses!$A$5:$G$10,2,FALSE))</f>
        <v/>
      </c>
      <c r="G299" s="32" t="str">
        <f>IF(E299="","",VLOOKUP(E299,Courses!$A$5:$G$10,3,FALSE))</f>
        <v/>
      </c>
      <c r="H299" s="4"/>
      <c r="I299" s="4"/>
      <c r="J299" s="36" t="str">
        <f>IF(I299="","",VLOOKUP(E299,Courses!$A$5:$G$10,6,FALSE))</f>
        <v/>
      </c>
      <c r="K299" s="32">
        <f t="shared" si="4"/>
        <v>0</v>
      </c>
      <c r="L299" s="4"/>
      <c r="M299" s="4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4"/>
      <c r="B300" s="4"/>
      <c r="C300" s="28"/>
      <c r="D300" s="4"/>
      <c r="E300" s="4"/>
      <c r="F300" s="3" t="str">
        <f>IF(E300="","",VLOOKUP(E300,Courses!$A$5:$G$10,2,FALSE))</f>
        <v/>
      </c>
      <c r="G300" s="32" t="str">
        <f>IF(E300="","",VLOOKUP(E300,Courses!$A$5:$G$10,3,FALSE))</f>
        <v/>
      </c>
      <c r="H300" s="4"/>
      <c r="I300" s="4"/>
      <c r="J300" s="36" t="str">
        <f>IF(I300="","",VLOOKUP(E300,Courses!$A$5:$G$10,6,FALSE))</f>
        <v/>
      </c>
      <c r="K300" s="32">
        <f t="shared" si="4"/>
        <v>0</v>
      </c>
      <c r="L300" s="4"/>
      <c r="M300" s="4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4"/>
      <c r="B301" s="4"/>
      <c r="C301" s="28"/>
      <c r="D301" s="4"/>
      <c r="E301" s="4"/>
      <c r="F301" s="3" t="str">
        <f>IF(E301="","",VLOOKUP(E301,Courses!$A$5:$G$10,2,FALSE))</f>
        <v/>
      </c>
      <c r="G301" s="32" t="str">
        <f>IF(E301="","",VLOOKUP(E301,Courses!$A$5:$G$10,3,FALSE))</f>
        <v/>
      </c>
      <c r="H301" s="4"/>
      <c r="I301" s="4"/>
      <c r="J301" s="36" t="str">
        <f>IF(I301="","",VLOOKUP(E301,Courses!$A$5:$G$10,6,FALSE))</f>
        <v/>
      </c>
      <c r="K301" s="32">
        <f t="shared" si="4"/>
        <v>0</v>
      </c>
      <c r="L301" s="4"/>
      <c r="M301" s="4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4"/>
      <c r="B302" s="4"/>
      <c r="C302" s="28"/>
      <c r="D302" s="4"/>
      <c r="E302" s="4"/>
      <c r="F302" s="3" t="str">
        <f>IF(E302="","",VLOOKUP(E302,Courses!$A$5:$G$10,2,FALSE))</f>
        <v/>
      </c>
      <c r="G302" s="32" t="str">
        <f>IF(E302="","",VLOOKUP(E302,Courses!$A$5:$G$10,3,FALSE))</f>
        <v/>
      </c>
      <c r="H302" s="4"/>
      <c r="I302" s="4"/>
      <c r="J302" s="36" t="str">
        <f>IF(I302="","",VLOOKUP(E302,Courses!$A$5:$G$10,6,FALSE))</f>
        <v/>
      </c>
      <c r="K302" s="32">
        <f t="shared" si="4"/>
        <v>0</v>
      </c>
      <c r="L302" s="4"/>
      <c r="M302" s="4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4"/>
      <c r="B303" s="4"/>
      <c r="C303" s="28"/>
      <c r="D303" s="4"/>
      <c r="E303" s="4"/>
      <c r="F303" s="3" t="str">
        <f>IF(E303="","",VLOOKUP(E303,Courses!$A$5:$G$10,2,FALSE))</f>
        <v/>
      </c>
      <c r="G303" s="32" t="str">
        <f>IF(E303="","",VLOOKUP(E303,Courses!$A$5:$G$10,3,FALSE))</f>
        <v/>
      </c>
      <c r="H303" s="4"/>
      <c r="I303" s="4"/>
      <c r="J303" s="36" t="str">
        <f>IF(I303="","",VLOOKUP(E303,Courses!$A$5:$G$10,6,FALSE))</f>
        <v/>
      </c>
      <c r="K303" s="32">
        <f t="shared" si="4"/>
        <v>0</v>
      </c>
      <c r="L303" s="4"/>
      <c r="M303" s="4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4"/>
      <c r="B304" s="4"/>
      <c r="C304" s="28"/>
      <c r="D304" s="4"/>
      <c r="E304" s="4"/>
      <c r="F304" s="3" t="str">
        <f>IF(E304="","",VLOOKUP(E304,Courses!$A$5:$G$10,2,FALSE))</f>
        <v/>
      </c>
      <c r="G304" s="32" t="str">
        <f>IF(E304="","",VLOOKUP(E304,Courses!$A$5:$G$10,3,FALSE))</f>
        <v/>
      </c>
      <c r="H304" s="4"/>
      <c r="I304" s="4"/>
      <c r="J304" s="36" t="str">
        <f>IF(I304="","",VLOOKUP(E304,Courses!$A$5:$G$10,6,FALSE))</f>
        <v/>
      </c>
      <c r="K304" s="32">
        <f t="shared" si="4"/>
        <v>0</v>
      </c>
      <c r="L304" s="4"/>
      <c r="M304" s="4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4"/>
      <c r="B305" s="4"/>
      <c r="C305" s="28"/>
      <c r="D305" s="4"/>
      <c r="E305" s="4"/>
      <c r="F305" s="3" t="str">
        <f>IF(E305="","",VLOOKUP(E305,Courses!$A$5:$G$10,2,FALSE))</f>
        <v/>
      </c>
      <c r="G305" s="32" t="str">
        <f>IF(E305="","",VLOOKUP(E305,Courses!$A$5:$G$10,3,FALSE))</f>
        <v/>
      </c>
      <c r="H305" s="4"/>
      <c r="I305" s="4"/>
      <c r="J305" s="36" t="str">
        <f>IF(I305="","",VLOOKUP(E305,Courses!$A$5:$G$10,6,FALSE))</f>
        <v/>
      </c>
      <c r="K305" s="32">
        <f t="shared" si="4"/>
        <v>0</v>
      </c>
      <c r="L305" s="4"/>
      <c r="M305" s="4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4"/>
      <c r="B306" s="4"/>
      <c r="C306" s="28"/>
      <c r="D306" s="4"/>
      <c r="E306" s="4"/>
      <c r="F306" s="3" t="str">
        <f>IF(E306="","",VLOOKUP(E306,Courses!$A$5:$G$10,2,FALSE))</f>
        <v/>
      </c>
      <c r="G306" s="32" t="str">
        <f>IF(E306="","",VLOOKUP(E306,Courses!$A$5:$G$10,3,FALSE))</f>
        <v/>
      </c>
      <c r="H306" s="4"/>
      <c r="I306" s="4"/>
      <c r="J306" s="36" t="str">
        <f>IF(I306="","",VLOOKUP(E306,Courses!$A$5:$G$10,6,FALSE))</f>
        <v/>
      </c>
      <c r="K306" s="32">
        <f t="shared" si="4"/>
        <v>0</v>
      </c>
      <c r="L306" s="4"/>
      <c r="M306" s="4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4"/>
      <c r="B307" s="4"/>
      <c r="C307" s="28"/>
      <c r="D307" s="4"/>
      <c r="E307" s="4"/>
      <c r="F307" s="3" t="str">
        <f>IF(E307="","",VLOOKUP(E307,Courses!$A$5:$G$10,2,FALSE))</f>
        <v/>
      </c>
      <c r="G307" s="32" t="str">
        <f>IF(E307="","",VLOOKUP(E307,Courses!$A$5:$G$10,3,FALSE))</f>
        <v/>
      </c>
      <c r="H307" s="4"/>
      <c r="I307" s="4"/>
      <c r="J307" s="36" t="str">
        <f>IF(I307="","",VLOOKUP(E307,Courses!$A$5:$G$10,6,FALSE))</f>
        <v/>
      </c>
      <c r="K307" s="32">
        <f t="shared" si="4"/>
        <v>0</v>
      </c>
      <c r="L307" s="4"/>
      <c r="M307" s="4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4"/>
      <c r="B308" s="4"/>
      <c r="C308" s="28"/>
      <c r="D308" s="4"/>
      <c r="E308" s="4"/>
      <c r="F308" s="3" t="str">
        <f>IF(E308="","",VLOOKUP(E308,Courses!$A$5:$G$10,2,FALSE))</f>
        <v/>
      </c>
      <c r="G308" s="32" t="str">
        <f>IF(E308="","",VLOOKUP(E308,Courses!$A$5:$G$10,3,FALSE))</f>
        <v/>
      </c>
      <c r="H308" s="4"/>
      <c r="I308" s="4"/>
      <c r="J308" s="36" t="str">
        <f>IF(I308="","",VLOOKUP(E308,Courses!$A$5:$G$10,6,FALSE))</f>
        <v/>
      </c>
      <c r="K308" s="32">
        <f t="shared" si="4"/>
        <v>0</v>
      </c>
      <c r="L308" s="4"/>
      <c r="M308" s="4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4"/>
      <c r="B309" s="4"/>
      <c r="C309" s="28"/>
      <c r="D309" s="4"/>
      <c r="E309" s="4"/>
      <c r="F309" s="3" t="str">
        <f>IF(E309="","",VLOOKUP(E309,Courses!$A$5:$G$10,2,FALSE))</f>
        <v/>
      </c>
      <c r="G309" s="32" t="str">
        <f>IF(E309="","",VLOOKUP(E309,Courses!$A$5:$G$10,3,FALSE))</f>
        <v/>
      </c>
      <c r="H309" s="4"/>
      <c r="I309" s="4"/>
      <c r="J309" s="36" t="str">
        <f>IF(I309="","",VLOOKUP(E309,Courses!$A$5:$G$10,6,FALSE))</f>
        <v/>
      </c>
      <c r="K309" s="32">
        <f t="shared" si="4"/>
        <v>0</v>
      </c>
      <c r="L309" s="4"/>
      <c r="M309" s="4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4"/>
      <c r="B310" s="4"/>
      <c r="C310" s="28"/>
      <c r="D310" s="4"/>
      <c r="E310" s="4"/>
      <c r="F310" s="3" t="str">
        <f>IF(E310="","",VLOOKUP(E310,Courses!$A$5:$G$10,2,FALSE))</f>
        <v/>
      </c>
      <c r="G310" s="32" t="str">
        <f>IF(E310="","",VLOOKUP(E310,Courses!$A$5:$G$10,3,FALSE))</f>
        <v/>
      </c>
      <c r="H310" s="4"/>
      <c r="I310" s="4"/>
      <c r="J310" s="36" t="str">
        <f>IF(I310="","",VLOOKUP(E310,Courses!$A$5:$G$10,6,FALSE))</f>
        <v/>
      </c>
      <c r="K310" s="32">
        <f t="shared" si="4"/>
        <v>0</v>
      </c>
      <c r="L310" s="4"/>
      <c r="M310" s="4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4"/>
      <c r="B311" s="4"/>
      <c r="C311" s="28"/>
      <c r="D311" s="4"/>
      <c r="E311" s="4"/>
      <c r="F311" s="3" t="str">
        <f>IF(E311="","",VLOOKUP(E311,Courses!$A$5:$G$10,2,FALSE))</f>
        <v/>
      </c>
      <c r="G311" s="32" t="str">
        <f>IF(E311="","",VLOOKUP(E311,Courses!$A$5:$G$10,3,FALSE))</f>
        <v/>
      </c>
      <c r="H311" s="4"/>
      <c r="I311" s="4"/>
      <c r="J311" s="36" t="str">
        <f>IF(I311="","",VLOOKUP(E311,Courses!$A$5:$G$10,6,FALSE))</f>
        <v/>
      </c>
      <c r="K311" s="32">
        <f t="shared" si="4"/>
        <v>0</v>
      </c>
      <c r="L311" s="4"/>
      <c r="M311" s="4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4"/>
      <c r="B312" s="4"/>
      <c r="C312" s="28"/>
      <c r="D312" s="4"/>
      <c r="E312" s="4"/>
      <c r="F312" s="3" t="str">
        <f>IF(E312="","",VLOOKUP(E312,Courses!$A$5:$G$10,2,FALSE))</f>
        <v/>
      </c>
      <c r="G312" s="32" t="str">
        <f>IF(E312="","",VLOOKUP(E312,Courses!$A$5:$G$10,3,FALSE))</f>
        <v/>
      </c>
      <c r="H312" s="4"/>
      <c r="I312" s="4"/>
      <c r="J312" s="36" t="str">
        <f>IF(I312="","",VLOOKUP(E312,Courses!$A$5:$G$10,6,FALSE))</f>
        <v/>
      </c>
      <c r="K312" s="32">
        <f t="shared" si="4"/>
        <v>0</v>
      </c>
      <c r="L312" s="4"/>
      <c r="M312" s="4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4"/>
      <c r="B313" s="4"/>
      <c r="C313" s="28"/>
      <c r="D313" s="4"/>
      <c r="E313" s="4"/>
      <c r="F313" s="3" t="str">
        <f>IF(E313="","",VLOOKUP(E313,Courses!$A$5:$G$10,2,FALSE))</f>
        <v/>
      </c>
      <c r="G313" s="32" t="str">
        <f>IF(E313="","",VLOOKUP(E313,Courses!$A$5:$G$10,3,FALSE))</f>
        <v/>
      </c>
      <c r="H313" s="4"/>
      <c r="I313" s="4"/>
      <c r="J313" s="36" t="str">
        <f>IF(I313="","",VLOOKUP(E313,Courses!$A$5:$G$10,6,FALSE))</f>
        <v/>
      </c>
      <c r="K313" s="32">
        <f t="shared" si="4"/>
        <v>0</v>
      </c>
      <c r="L313" s="4"/>
      <c r="M313" s="4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4"/>
      <c r="B314" s="4"/>
      <c r="C314" s="28"/>
      <c r="D314" s="4"/>
      <c r="E314" s="4"/>
      <c r="F314" s="3" t="str">
        <f>IF(E314="","",VLOOKUP(E314,Courses!$A$5:$G$10,2,FALSE))</f>
        <v/>
      </c>
      <c r="G314" s="32" t="str">
        <f>IF(E314="","",VLOOKUP(E314,Courses!$A$5:$G$10,3,FALSE))</f>
        <v/>
      </c>
      <c r="H314" s="4"/>
      <c r="I314" s="4"/>
      <c r="J314" s="36" t="str">
        <f>IF(I314="","",VLOOKUP(E314,Courses!$A$5:$G$10,6,FALSE))</f>
        <v/>
      </c>
      <c r="K314" s="32">
        <f t="shared" si="4"/>
        <v>0</v>
      </c>
      <c r="L314" s="4"/>
      <c r="M314" s="4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4"/>
      <c r="B315" s="4"/>
      <c r="C315" s="28"/>
      <c r="D315" s="4"/>
      <c r="E315" s="4"/>
      <c r="F315" s="3" t="str">
        <f>IF(E315="","",VLOOKUP(E315,Courses!$A$5:$G$10,2,FALSE))</f>
        <v/>
      </c>
      <c r="G315" s="32" t="str">
        <f>IF(E315="","",VLOOKUP(E315,Courses!$A$5:$G$10,3,FALSE))</f>
        <v/>
      </c>
      <c r="H315" s="4"/>
      <c r="I315" s="4"/>
      <c r="J315" s="36" t="str">
        <f>IF(I315="","",VLOOKUP(E315,Courses!$A$5:$G$10,6,FALSE))</f>
        <v/>
      </c>
      <c r="K315" s="32">
        <f t="shared" si="4"/>
        <v>0</v>
      </c>
      <c r="L315" s="4"/>
      <c r="M315" s="4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4"/>
      <c r="B316" s="4"/>
      <c r="C316" s="28"/>
      <c r="D316" s="4"/>
      <c r="E316" s="4"/>
      <c r="F316" s="3" t="str">
        <f>IF(E316="","",VLOOKUP(E316,Courses!$A$5:$G$10,2,FALSE))</f>
        <v/>
      </c>
      <c r="G316" s="32" t="str">
        <f>IF(E316="","",VLOOKUP(E316,Courses!$A$5:$G$10,3,FALSE))</f>
        <v/>
      </c>
      <c r="H316" s="4"/>
      <c r="I316" s="4"/>
      <c r="J316" s="36" t="str">
        <f>IF(I316="","",VLOOKUP(E316,Courses!$A$5:$G$10,6,FALSE))</f>
        <v/>
      </c>
      <c r="K316" s="32">
        <f t="shared" si="4"/>
        <v>0</v>
      </c>
      <c r="L316" s="4"/>
      <c r="M316" s="4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4"/>
      <c r="B317" s="4"/>
      <c r="C317" s="28"/>
      <c r="D317" s="4"/>
      <c r="E317" s="4"/>
      <c r="F317" s="3" t="str">
        <f>IF(E317="","",VLOOKUP(E317,Courses!$A$5:$G$10,2,FALSE))</f>
        <v/>
      </c>
      <c r="G317" s="32" t="str">
        <f>IF(E317="","",VLOOKUP(E317,Courses!$A$5:$G$10,3,FALSE))</f>
        <v/>
      </c>
      <c r="H317" s="4"/>
      <c r="I317" s="4"/>
      <c r="J317" s="36" t="str">
        <f>IF(I317="","",VLOOKUP(E317,Courses!$A$5:$G$10,6,FALSE))</f>
        <v/>
      </c>
      <c r="K317" s="32">
        <f t="shared" si="4"/>
        <v>0</v>
      </c>
      <c r="L317" s="4"/>
      <c r="M317" s="4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4"/>
      <c r="B318" s="4"/>
      <c r="C318" s="28"/>
      <c r="D318" s="4"/>
      <c r="E318" s="4"/>
      <c r="F318" s="3" t="str">
        <f>IF(E318="","",VLOOKUP(E318,Courses!$A$5:$G$10,2,FALSE))</f>
        <v/>
      </c>
      <c r="G318" s="32" t="str">
        <f>IF(E318="","",VLOOKUP(E318,Courses!$A$5:$G$10,3,FALSE))</f>
        <v/>
      </c>
      <c r="H318" s="4"/>
      <c r="I318" s="4"/>
      <c r="J318" s="36" t="str">
        <f>IF(I318="","",VLOOKUP(E318,Courses!$A$5:$G$10,6,FALSE))</f>
        <v/>
      </c>
      <c r="K318" s="32">
        <f t="shared" si="4"/>
        <v>0</v>
      </c>
      <c r="L318" s="4"/>
      <c r="M318" s="4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4"/>
      <c r="B319" s="4"/>
      <c r="C319" s="28"/>
      <c r="D319" s="4"/>
      <c r="E319" s="4"/>
      <c r="F319" s="3" t="str">
        <f>IF(E319="","",VLOOKUP(E319,Courses!$A$5:$G$10,2,FALSE))</f>
        <v/>
      </c>
      <c r="G319" s="32" t="str">
        <f>IF(E319="","",VLOOKUP(E319,Courses!$A$5:$G$10,3,FALSE))</f>
        <v/>
      </c>
      <c r="H319" s="4"/>
      <c r="I319" s="4"/>
      <c r="J319" s="36" t="str">
        <f>IF(I319="","",VLOOKUP(E319,Courses!$A$5:$G$10,6,FALSE))</f>
        <v/>
      </c>
      <c r="K319" s="32">
        <f t="shared" si="4"/>
        <v>0</v>
      </c>
      <c r="L319" s="4"/>
      <c r="M319" s="4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4"/>
      <c r="B320" s="4"/>
      <c r="C320" s="28"/>
      <c r="D320" s="4"/>
      <c r="E320" s="4"/>
      <c r="F320" s="3" t="str">
        <f>IF(E320="","",VLOOKUP(E320,Courses!$A$5:$G$10,2,FALSE))</f>
        <v/>
      </c>
      <c r="G320" s="32" t="str">
        <f>IF(E320="","",VLOOKUP(E320,Courses!$A$5:$G$10,3,FALSE))</f>
        <v/>
      </c>
      <c r="H320" s="4"/>
      <c r="I320" s="4"/>
      <c r="J320" s="36" t="str">
        <f>IF(I320="","",VLOOKUP(E320,Courses!$A$5:$G$10,6,FALSE))</f>
        <v/>
      </c>
      <c r="K320" s="32">
        <f t="shared" si="4"/>
        <v>0</v>
      </c>
      <c r="L320" s="4"/>
      <c r="M320" s="4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4"/>
      <c r="B321" s="4"/>
      <c r="C321" s="28"/>
      <c r="D321" s="4"/>
      <c r="E321" s="4"/>
      <c r="F321" s="3" t="str">
        <f>IF(E321="","",VLOOKUP(E321,Courses!$A$5:$G$10,2,FALSE))</f>
        <v/>
      </c>
      <c r="G321" s="32" t="str">
        <f>IF(E321="","",VLOOKUP(E321,Courses!$A$5:$G$10,3,FALSE))</f>
        <v/>
      </c>
      <c r="H321" s="4"/>
      <c r="I321" s="4"/>
      <c r="J321" s="36" t="str">
        <f>IF(I321="","",VLOOKUP(E321,Courses!$A$5:$G$10,6,FALSE))</f>
        <v/>
      </c>
      <c r="K321" s="32">
        <f t="shared" si="4"/>
        <v>0</v>
      </c>
      <c r="L321" s="4"/>
      <c r="M321" s="4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4"/>
      <c r="B322" s="4"/>
      <c r="C322" s="28"/>
      <c r="D322" s="4"/>
      <c r="E322" s="4"/>
      <c r="F322" s="3" t="str">
        <f>IF(E322="","",VLOOKUP(E322,Courses!$A$5:$G$10,2,FALSE))</f>
        <v/>
      </c>
      <c r="G322" s="32" t="str">
        <f>IF(E322="","",VLOOKUP(E322,Courses!$A$5:$G$10,3,FALSE))</f>
        <v/>
      </c>
      <c r="H322" s="4"/>
      <c r="I322" s="4"/>
      <c r="J322" s="36" t="str">
        <f>IF(I322="","",VLOOKUP(E322,Courses!$A$5:$G$10,6,FALSE))</f>
        <v/>
      </c>
      <c r="K322" s="32">
        <f t="shared" si="4"/>
        <v>0</v>
      </c>
      <c r="L322" s="4"/>
      <c r="M322" s="4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4"/>
      <c r="B323" s="4"/>
      <c r="C323" s="28"/>
      <c r="D323" s="4"/>
      <c r="E323" s="4"/>
      <c r="F323" s="3" t="str">
        <f>IF(E323="","",VLOOKUP(E323,Courses!$A$5:$G$10,2,FALSE))</f>
        <v/>
      </c>
      <c r="G323" s="32" t="str">
        <f>IF(E323="","",VLOOKUP(E323,Courses!$A$5:$G$10,3,FALSE))</f>
        <v/>
      </c>
      <c r="H323" s="4"/>
      <c r="I323" s="4"/>
      <c r="J323" s="36" t="str">
        <f>IF(I323="","",VLOOKUP(E323,Courses!$A$5:$G$10,6,FALSE))</f>
        <v/>
      </c>
      <c r="K323" s="32">
        <f t="shared" si="4"/>
        <v>0</v>
      </c>
      <c r="L323" s="4"/>
      <c r="M323" s="4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4"/>
      <c r="B324" s="4"/>
      <c r="C324" s="28"/>
      <c r="D324" s="4"/>
      <c r="E324" s="4"/>
      <c r="F324" s="3" t="str">
        <f>IF(E324="","",VLOOKUP(E324,Courses!$A$5:$G$10,2,FALSE))</f>
        <v/>
      </c>
      <c r="G324" s="32" t="str">
        <f>IF(E324="","",VLOOKUP(E324,Courses!$A$5:$G$10,3,FALSE))</f>
        <v/>
      </c>
      <c r="H324" s="4"/>
      <c r="I324" s="4"/>
      <c r="J324" s="36" t="str">
        <f>IF(I324="","",VLOOKUP(E324,Courses!$A$5:$G$10,6,FALSE))</f>
        <v/>
      </c>
      <c r="K324" s="32">
        <f t="shared" si="4"/>
        <v>0</v>
      </c>
      <c r="L324" s="4"/>
      <c r="M324" s="4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4"/>
      <c r="B325" s="4"/>
      <c r="C325" s="28"/>
      <c r="D325" s="4"/>
      <c r="E325" s="4"/>
      <c r="F325" s="3" t="str">
        <f>IF(E325="","",VLOOKUP(E325,Courses!$A$5:$G$10,2,FALSE))</f>
        <v/>
      </c>
      <c r="G325" s="32" t="str">
        <f>IF(E325="","",VLOOKUP(E325,Courses!$A$5:$G$10,3,FALSE))</f>
        <v/>
      </c>
      <c r="H325" s="4"/>
      <c r="I325" s="4"/>
      <c r="J325" s="36" t="str">
        <f>IF(I325="","",VLOOKUP(E325,Courses!$A$5:$G$10,6,FALSE))</f>
        <v/>
      </c>
      <c r="K325" s="32">
        <f t="shared" ref="K325:K388" si="5">IF(AND(H325="Paid",I325&lt;&gt;""),G325*J325,0)</f>
        <v>0</v>
      </c>
      <c r="L325" s="4"/>
      <c r="M325" s="4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4"/>
      <c r="B326" s="4"/>
      <c r="C326" s="28"/>
      <c r="D326" s="4"/>
      <c r="E326" s="4"/>
      <c r="F326" s="3" t="str">
        <f>IF(E326="","",VLOOKUP(E326,Courses!$A$5:$G$10,2,FALSE))</f>
        <v/>
      </c>
      <c r="G326" s="32" t="str">
        <f>IF(E326="","",VLOOKUP(E326,Courses!$A$5:$G$10,3,FALSE))</f>
        <v/>
      </c>
      <c r="H326" s="4"/>
      <c r="I326" s="4"/>
      <c r="J326" s="36" t="str">
        <f>IF(I326="","",VLOOKUP(E326,Courses!$A$5:$G$10,6,FALSE))</f>
        <v/>
      </c>
      <c r="K326" s="32">
        <f t="shared" si="5"/>
        <v>0</v>
      </c>
      <c r="L326" s="4"/>
      <c r="M326" s="4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4"/>
      <c r="B327" s="4"/>
      <c r="C327" s="28"/>
      <c r="D327" s="4"/>
      <c r="E327" s="4"/>
      <c r="F327" s="3" t="str">
        <f>IF(E327="","",VLOOKUP(E327,Courses!$A$5:$G$10,2,FALSE))</f>
        <v/>
      </c>
      <c r="G327" s="32" t="str">
        <f>IF(E327="","",VLOOKUP(E327,Courses!$A$5:$G$10,3,FALSE))</f>
        <v/>
      </c>
      <c r="H327" s="4"/>
      <c r="I327" s="4"/>
      <c r="J327" s="36" t="str">
        <f>IF(I327="","",VLOOKUP(E327,Courses!$A$5:$G$10,6,FALSE))</f>
        <v/>
      </c>
      <c r="K327" s="32">
        <f t="shared" si="5"/>
        <v>0</v>
      </c>
      <c r="L327" s="4"/>
      <c r="M327" s="4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4"/>
      <c r="B328" s="4"/>
      <c r="C328" s="28"/>
      <c r="D328" s="4"/>
      <c r="E328" s="4"/>
      <c r="F328" s="3" t="str">
        <f>IF(E328="","",VLOOKUP(E328,Courses!$A$5:$G$10,2,FALSE))</f>
        <v/>
      </c>
      <c r="G328" s="32" t="str">
        <f>IF(E328="","",VLOOKUP(E328,Courses!$A$5:$G$10,3,FALSE))</f>
        <v/>
      </c>
      <c r="H328" s="4"/>
      <c r="I328" s="4"/>
      <c r="J328" s="36" t="str">
        <f>IF(I328="","",VLOOKUP(E328,Courses!$A$5:$G$10,6,FALSE))</f>
        <v/>
      </c>
      <c r="K328" s="32">
        <f t="shared" si="5"/>
        <v>0</v>
      </c>
      <c r="L328" s="4"/>
      <c r="M328" s="4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4"/>
      <c r="B329" s="4"/>
      <c r="C329" s="28"/>
      <c r="D329" s="4"/>
      <c r="E329" s="4"/>
      <c r="F329" s="3" t="str">
        <f>IF(E329="","",VLOOKUP(E329,Courses!$A$5:$G$10,2,FALSE))</f>
        <v/>
      </c>
      <c r="G329" s="32" t="str">
        <f>IF(E329="","",VLOOKUP(E329,Courses!$A$5:$G$10,3,FALSE))</f>
        <v/>
      </c>
      <c r="H329" s="4"/>
      <c r="I329" s="4"/>
      <c r="J329" s="36" t="str">
        <f>IF(I329="","",VLOOKUP(E329,Courses!$A$5:$G$10,6,FALSE))</f>
        <v/>
      </c>
      <c r="K329" s="32">
        <f t="shared" si="5"/>
        <v>0</v>
      </c>
      <c r="L329" s="4"/>
      <c r="M329" s="4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4"/>
      <c r="B330" s="4"/>
      <c r="C330" s="28"/>
      <c r="D330" s="4"/>
      <c r="E330" s="4"/>
      <c r="F330" s="3" t="str">
        <f>IF(E330="","",VLOOKUP(E330,Courses!$A$5:$G$10,2,FALSE))</f>
        <v/>
      </c>
      <c r="G330" s="32" t="str">
        <f>IF(E330="","",VLOOKUP(E330,Courses!$A$5:$G$10,3,FALSE))</f>
        <v/>
      </c>
      <c r="H330" s="4"/>
      <c r="I330" s="4"/>
      <c r="J330" s="36" t="str">
        <f>IF(I330="","",VLOOKUP(E330,Courses!$A$5:$G$10,6,FALSE))</f>
        <v/>
      </c>
      <c r="K330" s="32">
        <f t="shared" si="5"/>
        <v>0</v>
      </c>
      <c r="L330" s="4"/>
      <c r="M330" s="4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4"/>
      <c r="B331" s="4"/>
      <c r="C331" s="28"/>
      <c r="D331" s="4"/>
      <c r="E331" s="4"/>
      <c r="F331" s="3" t="str">
        <f>IF(E331="","",VLOOKUP(E331,Courses!$A$5:$G$10,2,FALSE))</f>
        <v/>
      </c>
      <c r="G331" s="32" t="str">
        <f>IF(E331="","",VLOOKUP(E331,Courses!$A$5:$G$10,3,FALSE))</f>
        <v/>
      </c>
      <c r="H331" s="4"/>
      <c r="I331" s="4"/>
      <c r="J331" s="36" t="str">
        <f>IF(I331="","",VLOOKUP(E331,Courses!$A$5:$G$10,6,FALSE))</f>
        <v/>
      </c>
      <c r="K331" s="32">
        <f t="shared" si="5"/>
        <v>0</v>
      </c>
      <c r="L331" s="4"/>
      <c r="M331" s="4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4"/>
      <c r="B332" s="4"/>
      <c r="C332" s="28"/>
      <c r="D332" s="4"/>
      <c r="E332" s="4"/>
      <c r="F332" s="3" t="str">
        <f>IF(E332="","",VLOOKUP(E332,Courses!$A$5:$G$10,2,FALSE))</f>
        <v/>
      </c>
      <c r="G332" s="32" t="str">
        <f>IF(E332="","",VLOOKUP(E332,Courses!$A$5:$G$10,3,FALSE))</f>
        <v/>
      </c>
      <c r="H332" s="4"/>
      <c r="I332" s="4"/>
      <c r="J332" s="36" t="str">
        <f>IF(I332="","",VLOOKUP(E332,Courses!$A$5:$G$10,6,FALSE))</f>
        <v/>
      </c>
      <c r="K332" s="32">
        <f t="shared" si="5"/>
        <v>0</v>
      </c>
      <c r="L332" s="4"/>
      <c r="M332" s="4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4"/>
      <c r="B333" s="4"/>
      <c r="C333" s="28"/>
      <c r="D333" s="4"/>
      <c r="E333" s="4"/>
      <c r="F333" s="3" t="str">
        <f>IF(E333="","",VLOOKUP(E333,Courses!$A$5:$G$10,2,FALSE))</f>
        <v/>
      </c>
      <c r="G333" s="32" t="str">
        <f>IF(E333="","",VLOOKUP(E333,Courses!$A$5:$G$10,3,FALSE))</f>
        <v/>
      </c>
      <c r="H333" s="4"/>
      <c r="I333" s="4"/>
      <c r="J333" s="36" t="str">
        <f>IF(I333="","",VLOOKUP(E333,Courses!$A$5:$G$10,6,FALSE))</f>
        <v/>
      </c>
      <c r="K333" s="32">
        <f t="shared" si="5"/>
        <v>0</v>
      </c>
      <c r="L333" s="4"/>
      <c r="M333" s="4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4"/>
      <c r="B334" s="4"/>
      <c r="C334" s="28"/>
      <c r="D334" s="4"/>
      <c r="E334" s="4"/>
      <c r="F334" s="3" t="str">
        <f>IF(E334="","",VLOOKUP(E334,Courses!$A$5:$G$10,2,FALSE))</f>
        <v/>
      </c>
      <c r="G334" s="32" t="str">
        <f>IF(E334="","",VLOOKUP(E334,Courses!$A$5:$G$10,3,FALSE))</f>
        <v/>
      </c>
      <c r="H334" s="4"/>
      <c r="I334" s="4"/>
      <c r="J334" s="36" t="str">
        <f>IF(I334="","",VLOOKUP(E334,Courses!$A$5:$G$10,6,FALSE))</f>
        <v/>
      </c>
      <c r="K334" s="32">
        <f t="shared" si="5"/>
        <v>0</v>
      </c>
      <c r="L334" s="4"/>
      <c r="M334" s="4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4"/>
      <c r="B335" s="4"/>
      <c r="C335" s="28"/>
      <c r="D335" s="4"/>
      <c r="E335" s="4"/>
      <c r="F335" s="3" t="str">
        <f>IF(E335="","",VLOOKUP(E335,Courses!$A$5:$G$10,2,FALSE))</f>
        <v/>
      </c>
      <c r="G335" s="32" t="str">
        <f>IF(E335="","",VLOOKUP(E335,Courses!$A$5:$G$10,3,FALSE))</f>
        <v/>
      </c>
      <c r="H335" s="4"/>
      <c r="I335" s="4"/>
      <c r="J335" s="36" t="str">
        <f>IF(I335="","",VLOOKUP(E335,Courses!$A$5:$G$10,6,FALSE))</f>
        <v/>
      </c>
      <c r="K335" s="32">
        <f t="shared" si="5"/>
        <v>0</v>
      </c>
      <c r="L335" s="4"/>
      <c r="M335" s="4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4"/>
      <c r="B336" s="4"/>
      <c r="C336" s="28"/>
      <c r="D336" s="4"/>
      <c r="E336" s="4"/>
      <c r="F336" s="3" t="str">
        <f>IF(E336="","",VLOOKUP(E336,Courses!$A$5:$G$10,2,FALSE))</f>
        <v/>
      </c>
      <c r="G336" s="32" t="str">
        <f>IF(E336="","",VLOOKUP(E336,Courses!$A$5:$G$10,3,FALSE))</f>
        <v/>
      </c>
      <c r="H336" s="4"/>
      <c r="I336" s="4"/>
      <c r="J336" s="36" t="str">
        <f>IF(I336="","",VLOOKUP(E336,Courses!$A$5:$G$10,6,FALSE))</f>
        <v/>
      </c>
      <c r="K336" s="32">
        <f t="shared" si="5"/>
        <v>0</v>
      </c>
      <c r="L336" s="4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4"/>
      <c r="B337" s="4"/>
      <c r="C337" s="28"/>
      <c r="D337" s="4"/>
      <c r="E337" s="4"/>
      <c r="F337" s="3" t="str">
        <f>IF(E337="","",VLOOKUP(E337,Courses!$A$5:$G$10,2,FALSE))</f>
        <v/>
      </c>
      <c r="G337" s="32" t="str">
        <f>IF(E337="","",VLOOKUP(E337,Courses!$A$5:$G$10,3,FALSE))</f>
        <v/>
      </c>
      <c r="H337" s="4"/>
      <c r="I337" s="4"/>
      <c r="J337" s="36" t="str">
        <f>IF(I337="","",VLOOKUP(E337,Courses!$A$5:$G$10,6,FALSE))</f>
        <v/>
      </c>
      <c r="K337" s="32">
        <f t="shared" si="5"/>
        <v>0</v>
      </c>
      <c r="L337" s="4"/>
      <c r="M337" s="4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4"/>
      <c r="B338" s="4"/>
      <c r="C338" s="28"/>
      <c r="D338" s="4"/>
      <c r="E338" s="4"/>
      <c r="F338" s="3" t="str">
        <f>IF(E338="","",VLOOKUP(E338,Courses!$A$5:$G$10,2,FALSE))</f>
        <v/>
      </c>
      <c r="G338" s="32" t="str">
        <f>IF(E338="","",VLOOKUP(E338,Courses!$A$5:$G$10,3,FALSE))</f>
        <v/>
      </c>
      <c r="H338" s="4"/>
      <c r="I338" s="4"/>
      <c r="J338" s="36" t="str">
        <f>IF(I338="","",VLOOKUP(E338,Courses!$A$5:$G$10,6,FALSE))</f>
        <v/>
      </c>
      <c r="K338" s="32">
        <f t="shared" si="5"/>
        <v>0</v>
      </c>
      <c r="L338" s="4"/>
      <c r="M338" s="4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4"/>
      <c r="B339" s="4"/>
      <c r="C339" s="28"/>
      <c r="D339" s="4"/>
      <c r="E339" s="4"/>
      <c r="F339" s="3" t="str">
        <f>IF(E339="","",VLOOKUP(E339,Courses!$A$5:$G$10,2,FALSE))</f>
        <v/>
      </c>
      <c r="G339" s="32" t="str">
        <f>IF(E339="","",VLOOKUP(E339,Courses!$A$5:$G$10,3,FALSE))</f>
        <v/>
      </c>
      <c r="H339" s="4"/>
      <c r="I339" s="4"/>
      <c r="J339" s="36" t="str">
        <f>IF(I339="","",VLOOKUP(E339,Courses!$A$5:$G$10,6,FALSE))</f>
        <v/>
      </c>
      <c r="K339" s="32">
        <f t="shared" si="5"/>
        <v>0</v>
      </c>
      <c r="L339" s="4"/>
      <c r="M339" s="4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4"/>
      <c r="B340" s="4"/>
      <c r="C340" s="28"/>
      <c r="D340" s="4"/>
      <c r="E340" s="4"/>
      <c r="F340" s="3" t="str">
        <f>IF(E340="","",VLOOKUP(E340,Courses!$A$5:$G$10,2,FALSE))</f>
        <v/>
      </c>
      <c r="G340" s="32" t="str">
        <f>IF(E340="","",VLOOKUP(E340,Courses!$A$5:$G$10,3,FALSE))</f>
        <v/>
      </c>
      <c r="H340" s="4"/>
      <c r="I340" s="4"/>
      <c r="J340" s="36" t="str">
        <f>IF(I340="","",VLOOKUP(E340,Courses!$A$5:$G$10,6,FALSE))</f>
        <v/>
      </c>
      <c r="K340" s="32">
        <f t="shared" si="5"/>
        <v>0</v>
      </c>
      <c r="L340" s="4"/>
      <c r="M340" s="4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4"/>
      <c r="B341" s="4"/>
      <c r="C341" s="28"/>
      <c r="D341" s="4"/>
      <c r="E341" s="4"/>
      <c r="F341" s="3" t="str">
        <f>IF(E341="","",VLOOKUP(E341,Courses!$A$5:$G$10,2,FALSE))</f>
        <v/>
      </c>
      <c r="G341" s="32" t="str">
        <f>IF(E341="","",VLOOKUP(E341,Courses!$A$5:$G$10,3,FALSE))</f>
        <v/>
      </c>
      <c r="H341" s="4"/>
      <c r="I341" s="4"/>
      <c r="J341" s="36" t="str">
        <f>IF(I341="","",VLOOKUP(E341,Courses!$A$5:$G$10,6,FALSE))</f>
        <v/>
      </c>
      <c r="K341" s="32">
        <f t="shared" si="5"/>
        <v>0</v>
      </c>
      <c r="L341" s="4"/>
      <c r="M341" s="4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4"/>
      <c r="B342" s="4"/>
      <c r="C342" s="28"/>
      <c r="D342" s="4"/>
      <c r="E342" s="4"/>
      <c r="F342" s="3" t="str">
        <f>IF(E342="","",VLOOKUP(E342,Courses!$A$5:$G$10,2,FALSE))</f>
        <v/>
      </c>
      <c r="G342" s="32" t="str">
        <f>IF(E342="","",VLOOKUP(E342,Courses!$A$5:$G$10,3,FALSE))</f>
        <v/>
      </c>
      <c r="H342" s="4"/>
      <c r="I342" s="4"/>
      <c r="J342" s="36" t="str">
        <f>IF(I342="","",VLOOKUP(E342,Courses!$A$5:$G$10,6,FALSE))</f>
        <v/>
      </c>
      <c r="K342" s="32">
        <f t="shared" si="5"/>
        <v>0</v>
      </c>
      <c r="L342" s="4"/>
      <c r="M342" s="4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4"/>
      <c r="B343" s="4"/>
      <c r="C343" s="28"/>
      <c r="D343" s="4"/>
      <c r="E343" s="4"/>
      <c r="F343" s="3" t="str">
        <f>IF(E343="","",VLOOKUP(E343,Courses!$A$5:$G$10,2,FALSE))</f>
        <v/>
      </c>
      <c r="G343" s="32" t="str">
        <f>IF(E343="","",VLOOKUP(E343,Courses!$A$5:$G$10,3,FALSE))</f>
        <v/>
      </c>
      <c r="H343" s="4"/>
      <c r="I343" s="4"/>
      <c r="J343" s="36" t="str">
        <f>IF(I343="","",VLOOKUP(E343,Courses!$A$5:$G$10,6,FALSE))</f>
        <v/>
      </c>
      <c r="K343" s="32">
        <f t="shared" si="5"/>
        <v>0</v>
      </c>
      <c r="L343" s="4"/>
      <c r="M343" s="4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4"/>
      <c r="B344" s="4"/>
      <c r="C344" s="28"/>
      <c r="D344" s="4"/>
      <c r="E344" s="4"/>
      <c r="F344" s="3" t="str">
        <f>IF(E344="","",VLOOKUP(E344,Courses!$A$5:$G$10,2,FALSE))</f>
        <v/>
      </c>
      <c r="G344" s="32" t="str">
        <f>IF(E344="","",VLOOKUP(E344,Courses!$A$5:$G$10,3,FALSE))</f>
        <v/>
      </c>
      <c r="H344" s="4"/>
      <c r="I344" s="4"/>
      <c r="J344" s="36" t="str">
        <f>IF(I344="","",VLOOKUP(E344,Courses!$A$5:$G$10,6,FALSE))</f>
        <v/>
      </c>
      <c r="K344" s="32">
        <f t="shared" si="5"/>
        <v>0</v>
      </c>
      <c r="L344" s="4"/>
      <c r="M344" s="4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4"/>
      <c r="B345" s="4"/>
      <c r="C345" s="28"/>
      <c r="D345" s="4"/>
      <c r="E345" s="4"/>
      <c r="F345" s="3" t="str">
        <f>IF(E345="","",VLOOKUP(E345,Courses!$A$5:$G$10,2,FALSE))</f>
        <v/>
      </c>
      <c r="G345" s="32" t="str">
        <f>IF(E345="","",VLOOKUP(E345,Courses!$A$5:$G$10,3,FALSE))</f>
        <v/>
      </c>
      <c r="H345" s="4"/>
      <c r="I345" s="4"/>
      <c r="J345" s="36" t="str">
        <f>IF(I345="","",VLOOKUP(E345,Courses!$A$5:$G$10,6,FALSE))</f>
        <v/>
      </c>
      <c r="K345" s="32">
        <f t="shared" si="5"/>
        <v>0</v>
      </c>
      <c r="L345" s="4"/>
      <c r="M345" s="4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4"/>
      <c r="B346" s="4"/>
      <c r="C346" s="28"/>
      <c r="D346" s="4"/>
      <c r="E346" s="4"/>
      <c r="F346" s="3" t="str">
        <f>IF(E346="","",VLOOKUP(E346,Courses!$A$5:$G$10,2,FALSE))</f>
        <v/>
      </c>
      <c r="G346" s="32" t="str">
        <f>IF(E346="","",VLOOKUP(E346,Courses!$A$5:$G$10,3,FALSE))</f>
        <v/>
      </c>
      <c r="H346" s="4"/>
      <c r="I346" s="4"/>
      <c r="J346" s="36" t="str">
        <f>IF(I346="","",VLOOKUP(E346,Courses!$A$5:$G$10,6,FALSE))</f>
        <v/>
      </c>
      <c r="K346" s="32">
        <f t="shared" si="5"/>
        <v>0</v>
      </c>
      <c r="L346" s="4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4"/>
      <c r="B347" s="4"/>
      <c r="C347" s="28"/>
      <c r="D347" s="4"/>
      <c r="E347" s="4"/>
      <c r="F347" s="3" t="str">
        <f>IF(E347="","",VLOOKUP(E347,Courses!$A$5:$G$10,2,FALSE))</f>
        <v/>
      </c>
      <c r="G347" s="32" t="str">
        <f>IF(E347="","",VLOOKUP(E347,Courses!$A$5:$G$10,3,FALSE))</f>
        <v/>
      </c>
      <c r="H347" s="4"/>
      <c r="I347" s="4"/>
      <c r="J347" s="36" t="str">
        <f>IF(I347="","",VLOOKUP(E347,Courses!$A$5:$G$10,6,FALSE))</f>
        <v/>
      </c>
      <c r="K347" s="32">
        <f t="shared" si="5"/>
        <v>0</v>
      </c>
      <c r="L347" s="4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4"/>
      <c r="B348" s="4"/>
      <c r="C348" s="28"/>
      <c r="D348" s="4"/>
      <c r="E348" s="4"/>
      <c r="F348" s="3" t="str">
        <f>IF(E348="","",VLOOKUP(E348,Courses!$A$5:$G$10,2,FALSE))</f>
        <v/>
      </c>
      <c r="G348" s="32" t="str">
        <f>IF(E348="","",VLOOKUP(E348,Courses!$A$5:$G$10,3,FALSE))</f>
        <v/>
      </c>
      <c r="H348" s="4"/>
      <c r="I348" s="4"/>
      <c r="J348" s="36" t="str">
        <f>IF(I348="","",VLOOKUP(E348,Courses!$A$5:$G$10,6,FALSE))</f>
        <v/>
      </c>
      <c r="K348" s="32">
        <f t="shared" si="5"/>
        <v>0</v>
      </c>
      <c r="L348" s="4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4"/>
      <c r="B349" s="4"/>
      <c r="C349" s="28"/>
      <c r="D349" s="4"/>
      <c r="E349" s="4"/>
      <c r="F349" s="3" t="str">
        <f>IF(E349="","",VLOOKUP(E349,Courses!$A$5:$G$10,2,FALSE))</f>
        <v/>
      </c>
      <c r="G349" s="32" t="str">
        <f>IF(E349="","",VLOOKUP(E349,Courses!$A$5:$G$10,3,FALSE))</f>
        <v/>
      </c>
      <c r="H349" s="4"/>
      <c r="I349" s="4"/>
      <c r="J349" s="36" t="str">
        <f>IF(I349="","",VLOOKUP(E349,Courses!$A$5:$G$10,6,FALSE))</f>
        <v/>
      </c>
      <c r="K349" s="32">
        <f t="shared" si="5"/>
        <v>0</v>
      </c>
      <c r="L349" s="4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4"/>
      <c r="B350" s="4"/>
      <c r="C350" s="28"/>
      <c r="D350" s="4"/>
      <c r="E350" s="4"/>
      <c r="F350" s="3" t="str">
        <f>IF(E350="","",VLOOKUP(E350,Courses!$A$5:$G$10,2,FALSE))</f>
        <v/>
      </c>
      <c r="G350" s="32" t="str">
        <f>IF(E350="","",VLOOKUP(E350,Courses!$A$5:$G$10,3,FALSE))</f>
        <v/>
      </c>
      <c r="H350" s="4"/>
      <c r="I350" s="4"/>
      <c r="J350" s="36" t="str">
        <f>IF(I350="","",VLOOKUP(E350,Courses!$A$5:$G$10,6,FALSE))</f>
        <v/>
      </c>
      <c r="K350" s="32">
        <f t="shared" si="5"/>
        <v>0</v>
      </c>
      <c r="L350" s="4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4"/>
      <c r="B351" s="4"/>
      <c r="C351" s="28"/>
      <c r="D351" s="4"/>
      <c r="E351" s="4"/>
      <c r="F351" s="3" t="str">
        <f>IF(E351="","",VLOOKUP(E351,Courses!$A$5:$G$10,2,FALSE))</f>
        <v/>
      </c>
      <c r="G351" s="32" t="str">
        <f>IF(E351="","",VLOOKUP(E351,Courses!$A$5:$G$10,3,FALSE))</f>
        <v/>
      </c>
      <c r="H351" s="4"/>
      <c r="I351" s="4"/>
      <c r="J351" s="36" t="str">
        <f>IF(I351="","",VLOOKUP(E351,Courses!$A$5:$G$10,6,FALSE))</f>
        <v/>
      </c>
      <c r="K351" s="32">
        <f t="shared" si="5"/>
        <v>0</v>
      </c>
      <c r="L351" s="4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4"/>
      <c r="B352" s="4"/>
      <c r="C352" s="28"/>
      <c r="D352" s="4"/>
      <c r="E352" s="4"/>
      <c r="F352" s="3" t="str">
        <f>IF(E352="","",VLOOKUP(E352,Courses!$A$5:$G$10,2,FALSE))</f>
        <v/>
      </c>
      <c r="G352" s="32" t="str">
        <f>IF(E352="","",VLOOKUP(E352,Courses!$A$5:$G$10,3,FALSE))</f>
        <v/>
      </c>
      <c r="H352" s="4"/>
      <c r="I352" s="4"/>
      <c r="J352" s="36" t="str">
        <f>IF(I352="","",VLOOKUP(E352,Courses!$A$5:$G$10,6,FALSE))</f>
        <v/>
      </c>
      <c r="K352" s="32">
        <f t="shared" si="5"/>
        <v>0</v>
      </c>
      <c r="L352" s="4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4"/>
      <c r="B353" s="4"/>
      <c r="C353" s="28"/>
      <c r="D353" s="4"/>
      <c r="E353" s="4"/>
      <c r="F353" s="3" t="str">
        <f>IF(E353="","",VLOOKUP(E353,Courses!$A$5:$G$10,2,FALSE))</f>
        <v/>
      </c>
      <c r="G353" s="32" t="str">
        <f>IF(E353="","",VLOOKUP(E353,Courses!$A$5:$G$10,3,FALSE))</f>
        <v/>
      </c>
      <c r="H353" s="4"/>
      <c r="I353" s="4"/>
      <c r="J353" s="36" t="str">
        <f>IF(I353="","",VLOOKUP(E353,Courses!$A$5:$G$10,6,FALSE))</f>
        <v/>
      </c>
      <c r="K353" s="32">
        <f t="shared" si="5"/>
        <v>0</v>
      </c>
      <c r="L353" s="4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4"/>
      <c r="B354" s="4"/>
      <c r="C354" s="28"/>
      <c r="D354" s="4"/>
      <c r="E354" s="4"/>
      <c r="F354" s="3" t="str">
        <f>IF(E354="","",VLOOKUP(E354,Courses!$A$5:$G$10,2,FALSE))</f>
        <v/>
      </c>
      <c r="G354" s="32" t="str">
        <f>IF(E354="","",VLOOKUP(E354,Courses!$A$5:$G$10,3,FALSE))</f>
        <v/>
      </c>
      <c r="H354" s="4"/>
      <c r="I354" s="4"/>
      <c r="J354" s="36" t="str">
        <f>IF(I354="","",VLOOKUP(E354,Courses!$A$5:$G$10,6,FALSE))</f>
        <v/>
      </c>
      <c r="K354" s="32">
        <f t="shared" si="5"/>
        <v>0</v>
      </c>
      <c r="L354" s="4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4"/>
      <c r="B355" s="4"/>
      <c r="C355" s="28"/>
      <c r="D355" s="4"/>
      <c r="E355" s="4"/>
      <c r="F355" s="3" t="str">
        <f>IF(E355="","",VLOOKUP(E355,Courses!$A$5:$G$10,2,FALSE))</f>
        <v/>
      </c>
      <c r="G355" s="32" t="str">
        <f>IF(E355="","",VLOOKUP(E355,Courses!$A$5:$G$10,3,FALSE))</f>
        <v/>
      </c>
      <c r="H355" s="4"/>
      <c r="I355" s="4"/>
      <c r="J355" s="36" t="str">
        <f>IF(I355="","",VLOOKUP(E355,Courses!$A$5:$G$10,6,FALSE))</f>
        <v/>
      </c>
      <c r="K355" s="32">
        <f t="shared" si="5"/>
        <v>0</v>
      </c>
      <c r="L355" s="4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4"/>
      <c r="B356" s="4"/>
      <c r="C356" s="28"/>
      <c r="D356" s="4"/>
      <c r="E356" s="4"/>
      <c r="F356" s="3" t="str">
        <f>IF(E356="","",VLOOKUP(E356,Courses!$A$5:$G$10,2,FALSE))</f>
        <v/>
      </c>
      <c r="G356" s="32" t="str">
        <f>IF(E356="","",VLOOKUP(E356,Courses!$A$5:$G$10,3,FALSE))</f>
        <v/>
      </c>
      <c r="H356" s="4"/>
      <c r="I356" s="4"/>
      <c r="J356" s="36" t="str">
        <f>IF(I356="","",VLOOKUP(E356,Courses!$A$5:$G$10,6,FALSE))</f>
        <v/>
      </c>
      <c r="K356" s="32">
        <f t="shared" si="5"/>
        <v>0</v>
      </c>
      <c r="L356" s="4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4"/>
      <c r="B357" s="4"/>
      <c r="C357" s="28"/>
      <c r="D357" s="4"/>
      <c r="E357" s="4"/>
      <c r="F357" s="3" t="str">
        <f>IF(E357="","",VLOOKUP(E357,Courses!$A$5:$G$10,2,FALSE))</f>
        <v/>
      </c>
      <c r="G357" s="32" t="str">
        <f>IF(E357="","",VLOOKUP(E357,Courses!$A$5:$G$10,3,FALSE))</f>
        <v/>
      </c>
      <c r="H357" s="4"/>
      <c r="I357" s="4"/>
      <c r="J357" s="36" t="str">
        <f>IF(I357="","",VLOOKUP(E357,Courses!$A$5:$G$10,6,FALSE))</f>
        <v/>
      </c>
      <c r="K357" s="32">
        <f t="shared" si="5"/>
        <v>0</v>
      </c>
      <c r="L357" s="4"/>
      <c r="M357" s="4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4"/>
      <c r="B358" s="4"/>
      <c r="C358" s="28"/>
      <c r="D358" s="4"/>
      <c r="E358" s="4"/>
      <c r="F358" s="3" t="str">
        <f>IF(E358="","",VLOOKUP(E358,Courses!$A$5:$G$10,2,FALSE))</f>
        <v/>
      </c>
      <c r="G358" s="32" t="str">
        <f>IF(E358="","",VLOOKUP(E358,Courses!$A$5:$G$10,3,FALSE))</f>
        <v/>
      </c>
      <c r="H358" s="4"/>
      <c r="I358" s="4"/>
      <c r="J358" s="36" t="str">
        <f>IF(I358="","",VLOOKUP(E358,Courses!$A$5:$G$10,6,FALSE))</f>
        <v/>
      </c>
      <c r="K358" s="32">
        <f t="shared" si="5"/>
        <v>0</v>
      </c>
      <c r="L358" s="4"/>
      <c r="M358" s="4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4"/>
      <c r="B359" s="4"/>
      <c r="C359" s="28"/>
      <c r="D359" s="4"/>
      <c r="E359" s="4"/>
      <c r="F359" s="3" t="str">
        <f>IF(E359="","",VLOOKUP(E359,Courses!$A$5:$G$10,2,FALSE))</f>
        <v/>
      </c>
      <c r="G359" s="32" t="str">
        <f>IF(E359="","",VLOOKUP(E359,Courses!$A$5:$G$10,3,FALSE))</f>
        <v/>
      </c>
      <c r="H359" s="4"/>
      <c r="I359" s="4"/>
      <c r="J359" s="36" t="str">
        <f>IF(I359="","",VLOOKUP(E359,Courses!$A$5:$G$10,6,FALSE))</f>
        <v/>
      </c>
      <c r="K359" s="32">
        <f t="shared" si="5"/>
        <v>0</v>
      </c>
      <c r="L359" s="4"/>
      <c r="M359" s="4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4"/>
      <c r="B360" s="4"/>
      <c r="C360" s="28"/>
      <c r="D360" s="4"/>
      <c r="E360" s="4"/>
      <c r="F360" s="3" t="str">
        <f>IF(E360="","",VLOOKUP(E360,Courses!$A$5:$G$10,2,FALSE))</f>
        <v/>
      </c>
      <c r="G360" s="32" t="str">
        <f>IF(E360="","",VLOOKUP(E360,Courses!$A$5:$G$10,3,FALSE))</f>
        <v/>
      </c>
      <c r="H360" s="4"/>
      <c r="I360" s="4"/>
      <c r="J360" s="36" t="str">
        <f>IF(I360="","",VLOOKUP(E360,Courses!$A$5:$G$10,6,FALSE))</f>
        <v/>
      </c>
      <c r="K360" s="32">
        <f t="shared" si="5"/>
        <v>0</v>
      </c>
      <c r="L360" s="4"/>
      <c r="M360" s="4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4"/>
      <c r="B361" s="4"/>
      <c r="C361" s="28"/>
      <c r="D361" s="4"/>
      <c r="E361" s="4"/>
      <c r="F361" s="3" t="str">
        <f>IF(E361="","",VLOOKUP(E361,Courses!$A$5:$G$10,2,FALSE))</f>
        <v/>
      </c>
      <c r="G361" s="32" t="str">
        <f>IF(E361="","",VLOOKUP(E361,Courses!$A$5:$G$10,3,FALSE))</f>
        <v/>
      </c>
      <c r="H361" s="4"/>
      <c r="I361" s="4"/>
      <c r="J361" s="36" t="str">
        <f>IF(I361="","",VLOOKUP(E361,Courses!$A$5:$G$10,6,FALSE))</f>
        <v/>
      </c>
      <c r="K361" s="32">
        <f t="shared" si="5"/>
        <v>0</v>
      </c>
      <c r="L361" s="4"/>
      <c r="M361" s="4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4"/>
      <c r="B362" s="4"/>
      <c r="C362" s="28"/>
      <c r="D362" s="4"/>
      <c r="E362" s="4"/>
      <c r="F362" s="3" t="str">
        <f>IF(E362="","",VLOOKUP(E362,Courses!$A$5:$G$10,2,FALSE))</f>
        <v/>
      </c>
      <c r="G362" s="32" t="str">
        <f>IF(E362="","",VLOOKUP(E362,Courses!$A$5:$G$10,3,FALSE))</f>
        <v/>
      </c>
      <c r="H362" s="4"/>
      <c r="I362" s="4"/>
      <c r="J362" s="36" t="str">
        <f>IF(I362="","",VLOOKUP(E362,Courses!$A$5:$G$10,6,FALSE))</f>
        <v/>
      </c>
      <c r="K362" s="32">
        <f t="shared" si="5"/>
        <v>0</v>
      </c>
      <c r="L362" s="4"/>
      <c r="M362" s="4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4"/>
      <c r="B363" s="4"/>
      <c r="C363" s="28"/>
      <c r="D363" s="4"/>
      <c r="E363" s="4"/>
      <c r="F363" s="3" t="str">
        <f>IF(E363="","",VLOOKUP(E363,Courses!$A$5:$G$10,2,FALSE))</f>
        <v/>
      </c>
      <c r="G363" s="32" t="str">
        <f>IF(E363="","",VLOOKUP(E363,Courses!$A$5:$G$10,3,FALSE))</f>
        <v/>
      </c>
      <c r="H363" s="4"/>
      <c r="I363" s="4"/>
      <c r="J363" s="36" t="str">
        <f>IF(I363="","",VLOOKUP(E363,Courses!$A$5:$G$10,6,FALSE))</f>
        <v/>
      </c>
      <c r="K363" s="32">
        <f t="shared" si="5"/>
        <v>0</v>
      </c>
      <c r="L363" s="4"/>
      <c r="M363" s="4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4"/>
      <c r="B364" s="4"/>
      <c r="C364" s="28"/>
      <c r="D364" s="4"/>
      <c r="E364" s="4"/>
      <c r="F364" s="3" t="str">
        <f>IF(E364="","",VLOOKUP(E364,Courses!$A$5:$G$10,2,FALSE))</f>
        <v/>
      </c>
      <c r="G364" s="32" t="str">
        <f>IF(E364="","",VLOOKUP(E364,Courses!$A$5:$G$10,3,FALSE))</f>
        <v/>
      </c>
      <c r="H364" s="4"/>
      <c r="I364" s="4"/>
      <c r="J364" s="36" t="str">
        <f>IF(I364="","",VLOOKUP(E364,Courses!$A$5:$G$10,6,FALSE))</f>
        <v/>
      </c>
      <c r="K364" s="32">
        <f t="shared" si="5"/>
        <v>0</v>
      </c>
      <c r="L364" s="4"/>
      <c r="M364" s="4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4"/>
      <c r="B365" s="4"/>
      <c r="C365" s="28"/>
      <c r="D365" s="4"/>
      <c r="E365" s="4"/>
      <c r="F365" s="3" t="str">
        <f>IF(E365="","",VLOOKUP(E365,Courses!$A$5:$G$10,2,FALSE))</f>
        <v/>
      </c>
      <c r="G365" s="32" t="str">
        <f>IF(E365="","",VLOOKUP(E365,Courses!$A$5:$G$10,3,FALSE))</f>
        <v/>
      </c>
      <c r="H365" s="4"/>
      <c r="I365" s="4"/>
      <c r="J365" s="36" t="str">
        <f>IF(I365="","",VLOOKUP(E365,Courses!$A$5:$G$10,6,FALSE))</f>
        <v/>
      </c>
      <c r="K365" s="32">
        <f t="shared" si="5"/>
        <v>0</v>
      </c>
      <c r="L365" s="4"/>
      <c r="M365" s="4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4"/>
      <c r="B366" s="4"/>
      <c r="C366" s="28"/>
      <c r="D366" s="4"/>
      <c r="E366" s="4"/>
      <c r="F366" s="3" t="str">
        <f>IF(E366="","",VLOOKUP(E366,Courses!$A$5:$G$10,2,FALSE))</f>
        <v/>
      </c>
      <c r="G366" s="32" t="str">
        <f>IF(E366="","",VLOOKUP(E366,Courses!$A$5:$G$10,3,FALSE))</f>
        <v/>
      </c>
      <c r="H366" s="4"/>
      <c r="I366" s="4"/>
      <c r="J366" s="36" t="str">
        <f>IF(I366="","",VLOOKUP(E366,Courses!$A$5:$G$10,6,FALSE))</f>
        <v/>
      </c>
      <c r="K366" s="32">
        <f t="shared" si="5"/>
        <v>0</v>
      </c>
      <c r="L366" s="4"/>
      <c r="M366" s="4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4"/>
      <c r="B367" s="4"/>
      <c r="C367" s="28"/>
      <c r="D367" s="4"/>
      <c r="E367" s="4"/>
      <c r="F367" s="3" t="str">
        <f>IF(E367="","",VLOOKUP(E367,Courses!$A$5:$G$10,2,FALSE))</f>
        <v/>
      </c>
      <c r="G367" s="32" t="str">
        <f>IF(E367="","",VLOOKUP(E367,Courses!$A$5:$G$10,3,FALSE))</f>
        <v/>
      </c>
      <c r="H367" s="4"/>
      <c r="I367" s="4"/>
      <c r="J367" s="36" t="str">
        <f>IF(I367="","",VLOOKUP(E367,Courses!$A$5:$G$10,6,FALSE))</f>
        <v/>
      </c>
      <c r="K367" s="32">
        <f t="shared" si="5"/>
        <v>0</v>
      </c>
      <c r="L367" s="4"/>
      <c r="M367" s="4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4"/>
      <c r="B368" s="4"/>
      <c r="C368" s="28"/>
      <c r="D368" s="4"/>
      <c r="E368" s="4"/>
      <c r="F368" s="3" t="str">
        <f>IF(E368="","",VLOOKUP(E368,Courses!$A$5:$G$10,2,FALSE))</f>
        <v/>
      </c>
      <c r="G368" s="32" t="str">
        <f>IF(E368="","",VLOOKUP(E368,Courses!$A$5:$G$10,3,FALSE))</f>
        <v/>
      </c>
      <c r="H368" s="4"/>
      <c r="I368" s="4"/>
      <c r="J368" s="36" t="str">
        <f>IF(I368="","",VLOOKUP(E368,Courses!$A$5:$G$10,6,FALSE))</f>
        <v/>
      </c>
      <c r="K368" s="32">
        <f t="shared" si="5"/>
        <v>0</v>
      </c>
      <c r="L368" s="4"/>
      <c r="M368" s="4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4"/>
      <c r="B369" s="4"/>
      <c r="C369" s="28"/>
      <c r="D369" s="4"/>
      <c r="E369" s="4"/>
      <c r="F369" s="3" t="str">
        <f>IF(E369="","",VLOOKUP(E369,Courses!$A$5:$G$10,2,FALSE))</f>
        <v/>
      </c>
      <c r="G369" s="32" t="str">
        <f>IF(E369="","",VLOOKUP(E369,Courses!$A$5:$G$10,3,FALSE))</f>
        <v/>
      </c>
      <c r="H369" s="4"/>
      <c r="I369" s="4"/>
      <c r="J369" s="36" t="str">
        <f>IF(I369="","",VLOOKUP(E369,Courses!$A$5:$G$10,6,FALSE))</f>
        <v/>
      </c>
      <c r="K369" s="32">
        <f t="shared" si="5"/>
        <v>0</v>
      </c>
      <c r="L369" s="4"/>
      <c r="M369" s="4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4"/>
      <c r="B370" s="4"/>
      <c r="C370" s="28"/>
      <c r="D370" s="4"/>
      <c r="E370" s="4"/>
      <c r="F370" s="3" t="str">
        <f>IF(E370="","",VLOOKUP(E370,Courses!$A$5:$G$10,2,FALSE))</f>
        <v/>
      </c>
      <c r="G370" s="32" t="str">
        <f>IF(E370="","",VLOOKUP(E370,Courses!$A$5:$G$10,3,FALSE))</f>
        <v/>
      </c>
      <c r="H370" s="4"/>
      <c r="I370" s="4"/>
      <c r="J370" s="36" t="str">
        <f>IF(I370="","",VLOOKUP(E370,Courses!$A$5:$G$10,6,FALSE))</f>
        <v/>
      </c>
      <c r="K370" s="32">
        <f t="shared" si="5"/>
        <v>0</v>
      </c>
      <c r="L370" s="4"/>
      <c r="M370" s="4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4"/>
      <c r="B371" s="4"/>
      <c r="C371" s="28"/>
      <c r="D371" s="4"/>
      <c r="E371" s="4"/>
      <c r="F371" s="3" t="str">
        <f>IF(E371="","",VLOOKUP(E371,Courses!$A$5:$G$10,2,FALSE))</f>
        <v/>
      </c>
      <c r="G371" s="32" t="str">
        <f>IF(E371="","",VLOOKUP(E371,Courses!$A$5:$G$10,3,FALSE))</f>
        <v/>
      </c>
      <c r="H371" s="4"/>
      <c r="I371" s="4"/>
      <c r="J371" s="36" t="str">
        <f>IF(I371="","",VLOOKUP(E371,Courses!$A$5:$G$10,6,FALSE))</f>
        <v/>
      </c>
      <c r="K371" s="32">
        <f t="shared" si="5"/>
        <v>0</v>
      </c>
      <c r="L371" s="4"/>
      <c r="M371" s="4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4"/>
      <c r="B372" s="4"/>
      <c r="C372" s="28"/>
      <c r="D372" s="4"/>
      <c r="E372" s="4"/>
      <c r="F372" s="3" t="str">
        <f>IF(E372="","",VLOOKUP(E372,Courses!$A$5:$G$10,2,FALSE))</f>
        <v/>
      </c>
      <c r="G372" s="32" t="str">
        <f>IF(E372="","",VLOOKUP(E372,Courses!$A$5:$G$10,3,FALSE))</f>
        <v/>
      </c>
      <c r="H372" s="4"/>
      <c r="I372" s="4"/>
      <c r="J372" s="36" t="str">
        <f>IF(I372="","",VLOOKUP(E372,Courses!$A$5:$G$10,6,FALSE))</f>
        <v/>
      </c>
      <c r="K372" s="32">
        <f t="shared" si="5"/>
        <v>0</v>
      </c>
      <c r="L372" s="4"/>
      <c r="M372" s="4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4"/>
      <c r="B373" s="4"/>
      <c r="C373" s="28"/>
      <c r="D373" s="4"/>
      <c r="E373" s="4"/>
      <c r="F373" s="3" t="str">
        <f>IF(E373="","",VLOOKUP(E373,Courses!$A$5:$G$10,2,FALSE))</f>
        <v/>
      </c>
      <c r="G373" s="32" t="str">
        <f>IF(E373="","",VLOOKUP(E373,Courses!$A$5:$G$10,3,FALSE))</f>
        <v/>
      </c>
      <c r="H373" s="4"/>
      <c r="I373" s="4"/>
      <c r="J373" s="36" t="str">
        <f>IF(I373="","",VLOOKUP(E373,Courses!$A$5:$G$10,6,FALSE))</f>
        <v/>
      </c>
      <c r="K373" s="32">
        <f t="shared" si="5"/>
        <v>0</v>
      </c>
      <c r="L373" s="4"/>
      <c r="M373" s="4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4"/>
      <c r="B374" s="4"/>
      <c r="C374" s="28"/>
      <c r="D374" s="4"/>
      <c r="E374" s="4"/>
      <c r="F374" s="3" t="str">
        <f>IF(E374="","",VLOOKUP(E374,Courses!$A$5:$G$10,2,FALSE))</f>
        <v/>
      </c>
      <c r="G374" s="32" t="str">
        <f>IF(E374="","",VLOOKUP(E374,Courses!$A$5:$G$10,3,FALSE))</f>
        <v/>
      </c>
      <c r="H374" s="4"/>
      <c r="I374" s="4"/>
      <c r="J374" s="36" t="str">
        <f>IF(I374="","",VLOOKUP(E374,Courses!$A$5:$G$10,6,FALSE))</f>
        <v/>
      </c>
      <c r="K374" s="32">
        <f t="shared" si="5"/>
        <v>0</v>
      </c>
      <c r="L374" s="4"/>
      <c r="M374" s="4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4"/>
      <c r="B375" s="4"/>
      <c r="C375" s="28"/>
      <c r="D375" s="4"/>
      <c r="E375" s="4"/>
      <c r="F375" s="3" t="str">
        <f>IF(E375="","",VLOOKUP(E375,Courses!$A$5:$G$10,2,FALSE))</f>
        <v/>
      </c>
      <c r="G375" s="32" t="str">
        <f>IF(E375="","",VLOOKUP(E375,Courses!$A$5:$G$10,3,FALSE))</f>
        <v/>
      </c>
      <c r="H375" s="4"/>
      <c r="I375" s="4"/>
      <c r="J375" s="36" t="str">
        <f>IF(I375="","",VLOOKUP(E375,Courses!$A$5:$G$10,6,FALSE))</f>
        <v/>
      </c>
      <c r="K375" s="32">
        <f t="shared" si="5"/>
        <v>0</v>
      </c>
      <c r="L375" s="4"/>
      <c r="M375" s="4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4"/>
      <c r="B376" s="4"/>
      <c r="C376" s="28"/>
      <c r="D376" s="4"/>
      <c r="E376" s="4"/>
      <c r="F376" s="3" t="str">
        <f>IF(E376="","",VLOOKUP(E376,Courses!$A$5:$G$10,2,FALSE))</f>
        <v/>
      </c>
      <c r="G376" s="32" t="str">
        <f>IF(E376="","",VLOOKUP(E376,Courses!$A$5:$G$10,3,FALSE))</f>
        <v/>
      </c>
      <c r="H376" s="4"/>
      <c r="I376" s="4"/>
      <c r="J376" s="36" t="str">
        <f>IF(I376="","",VLOOKUP(E376,Courses!$A$5:$G$10,6,FALSE))</f>
        <v/>
      </c>
      <c r="K376" s="32">
        <f t="shared" si="5"/>
        <v>0</v>
      </c>
      <c r="L376" s="4"/>
      <c r="M376" s="4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4"/>
      <c r="B377" s="4"/>
      <c r="C377" s="28"/>
      <c r="D377" s="4"/>
      <c r="E377" s="4"/>
      <c r="F377" s="3" t="str">
        <f>IF(E377="","",VLOOKUP(E377,Courses!$A$5:$G$10,2,FALSE))</f>
        <v/>
      </c>
      <c r="G377" s="32" t="str">
        <f>IF(E377="","",VLOOKUP(E377,Courses!$A$5:$G$10,3,FALSE))</f>
        <v/>
      </c>
      <c r="H377" s="4"/>
      <c r="I377" s="4"/>
      <c r="J377" s="36" t="str">
        <f>IF(I377="","",VLOOKUP(E377,Courses!$A$5:$G$10,6,FALSE))</f>
        <v/>
      </c>
      <c r="K377" s="32">
        <f t="shared" si="5"/>
        <v>0</v>
      </c>
      <c r="L377" s="4"/>
      <c r="M377" s="4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4"/>
      <c r="B378" s="4"/>
      <c r="C378" s="28"/>
      <c r="D378" s="4"/>
      <c r="E378" s="4"/>
      <c r="F378" s="3" t="str">
        <f>IF(E378="","",VLOOKUP(E378,Courses!$A$5:$G$10,2,FALSE))</f>
        <v/>
      </c>
      <c r="G378" s="32" t="str">
        <f>IF(E378="","",VLOOKUP(E378,Courses!$A$5:$G$10,3,FALSE))</f>
        <v/>
      </c>
      <c r="H378" s="4"/>
      <c r="I378" s="4"/>
      <c r="J378" s="36" t="str">
        <f>IF(I378="","",VLOOKUP(E378,Courses!$A$5:$G$10,6,FALSE))</f>
        <v/>
      </c>
      <c r="K378" s="32">
        <f t="shared" si="5"/>
        <v>0</v>
      </c>
      <c r="L378" s="4"/>
      <c r="M378" s="4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4"/>
      <c r="B379" s="4"/>
      <c r="C379" s="28"/>
      <c r="D379" s="4"/>
      <c r="E379" s="4"/>
      <c r="F379" s="3" t="str">
        <f>IF(E379="","",VLOOKUP(E379,Courses!$A$5:$G$10,2,FALSE))</f>
        <v/>
      </c>
      <c r="G379" s="32" t="str">
        <f>IF(E379="","",VLOOKUP(E379,Courses!$A$5:$G$10,3,FALSE))</f>
        <v/>
      </c>
      <c r="H379" s="4"/>
      <c r="I379" s="4"/>
      <c r="J379" s="36" t="str">
        <f>IF(I379="","",VLOOKUP(E379,Courses!$A$5:$G$10,6,FALSE))</f>
        <v/>
      </c>
      <c r="K379" s="32">
        <f t="shared" si="5"/>
        <v>0</v>
      </c>
      <c r="L379" s="4"/>
      <c r="M379" s="4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4"/>
      <c r="B380" s="4"/>
      <c r="C380" s="28"/>
      <c r="D380" s="4"/>
      <c r="E380" s="4"/>
      <c r="F380" s="3" t="str">
        <f>IF(E380="","",VLOOKUP(E380,Courses!$A$5:$G$10,2,FALSE))</f>
        <v/>
      </c>
      <c r="G380" s="32" t="str">
        <f>IF(E380="","",VLOOKUP(E380,Courses!$A$5:$G$10,3,FALSE))</f>
        <v/>
      </c>
      <c r="H380" s="4"/>
      <c r="I380" s="4"/>
      <c r="J380" s="36" t="str">
        <f>IF(I380="","",VLOOKUP(E380,Courses!$A$5:$G$10,6,FALSE))</f>
        <v/>
      </c>
      <c r="K380" s="32">
        <f t="shared" si="5"/>
        <v>0</v>
      </c>
      <c r="L380" s="4"/>
      <c r="M380" s="4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4"/>
      <c r="B381" s="4"/>
      <c r="C381" s="28"/>
      <c r="D381" s="4"/>
      <c r="E381" s="4"/>
      <c r="F381" s="3" t="str">
        <f>IF(E381="","",VLOOKUP(E381,Courses!$A$5:$G$10,2,FALSE))</f>
        <v/>
      </c>
      <c r="G381" s="32" t="str">
        <f>IF(E381="","",VLOOKUP(E381,Courses!$A$5:$G$10,3,FALSE))</f>
        <v/>
      </c>
      <c r="H381" s="4"/>
      <c r="I381" s="4"/>
      <c r="J381" s="36" t="str">
        <f>IF(I381="","",VLOOKUP(E381,Courses!$A$5:$G$10,6,FALSE))</f>
        <v/>
      </c>
      <c r="K381" s="32">
        <f t="shared" si="5"/>
        <v>0</v>
      </c>
      <c r="L381" s="4"/>
      <c r="M381" s="4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4"/>
      <c r="B382" s="4"/>
      <c r="C382" s="28"/>
      <c r="D382" s="4"/>
      <c r="E382" s="4"/>
      <c r="F382" s="3" t="str">
        <f>IF(E382="","",VLOOKUP(E382,Courses!$A$5:$G$10,2,FALSE))</f>
        <v/>
      </c>
      <c r="G382" s="32" t="str">
        <f>IF(E382="","",VLOOKUP(E382,Courses!$A$5:$G$10,3,FALSE))</f>
        <v/>
      </c>
      <c r="H382" s="4"/>
      <c r="I382" s="4"/>
      <c r="J382" s="36" t="str">
        <f>IF(I382="","",VLOOKUP(E382,Courses!$A$5:$G$10,6,FALSE))</f>
        <v/>
      </c>
      <c r="K382" s="32">
        <f t="shared" si="5"/>
        <v>0</v>
      </c>
      <c r="L382" s="4"/>
      <c r="M382" s="4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4"/>
      <c r="B383" s="4"/>
      <c r="C383" s="28"/>
      <c r="D383" s="4"/>
      <c r="E383" s="4"/>
      <c r="F383" s="3" t="str">
        <f>IF(E383="","",VLOOKUP(E383,Courses!$A$5:$G$10,2,FALSE))</f>
        <v/>
      </c>
      <c r="G383" s="32" t="str">
        <f>IF(E383="","",VLOOKUP(E383,Courses!$A$5:$G$10,3,FALSE))</f>
        <v/>
      </c>
      <c r="H383" s="4"/>
      <c r="I383" s="4"/>
      <c r="J383" s="36" t="str">
        <f>IF(I383="","",VLOOKUP(E383,Courses!$A$5:$G$10,6,FALSE))</f>
        <v/>
      </c>
      <c r="K383" s="32">
        <f t="shared" si="5"/>
        <v>0</v>
      </c>
      <c r="L383" s="4"/>
      <c r="M383" s="4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4"/>
      <c r="B384" s="4"/>
      <c r="C384" s="28"/>
      <c r="D384" s="4"/>
      <c r="E384" s="4"/>
      <c r="F384" s="3" t="str">
        <f>IF(E384="","",VLOOKUP(E384,Courses!$A$5:$G$10,2,FALSE))</f>
        <v/>
      </c>
      <c r="G384" s="32" t="str">
        <f>IF(E384="","",VLOOKUP(E384,Courses!$A$5:$G$10,3,FALSE))</f>
        <v/>
      </c>
      <c r="H384" s="4"/>
      <c r="I384" s="4"/>
      <c r="J384" s="36" t="str">
        <f>IF(I384="","",VLOOKUP(E384,Courses!$A$5:$G$10,6,FALSE))</f>
        <v/>
      </c>
      <c r="K384" s="32">
        <f t="shared" si="5"/>
        <v>0</v>
      </c>
      <c r="L384" s="4"/>
      <c r="M384" s="4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4"/>
      <c r="B385" s="4"/>
      <c r="C385" s="28"/>
      <c r="D385" s="4"/>
      <c r="E385" s="4"/>
      <c r="F385" s="3" t="str">
        <f>IF(E385="","",VLOOKUP(E385,Courses!$A$5:$G$10,2,FALSE))</f>
        <v/>
      </c>
      <c r="G385" s="32" t="str">
        <f>IF(E385="","",VLOOKUP(E385,Courses!$A$5:$G$10,3,FALSE))</f>
        <v/>
      </c>
      <c r="H385" s="4"/>
      <c r="I385" s="4"/>
      <c r="J385" s="36" t="str">
        <f>IF(I385="","",VLOOKUP(E385,Courses!$A$5:$G$10,6,FALSE))</f>
        <v/>
      </c>
      <c r="K385" s="32">
        <f t="shared" si="5"/>
        <v>0</v>
      </c>
      <c r="L385" s="4"/>
      <c r="M385" s="4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4"/>
      <c r="B386" s="4"/>
      <c r="C386" s="28"/>
      <c r="D386" s="4"/>
      <c r="E386" s="4"/>
      <c r="F386" s="3" t="str">
        <f>IF(E386="","",VLOOKUP(E386,Courses!$A$5:$G$10,2,FALSE))</f>
        <v/>
      </c>
      <c r="G386" s="32" t="str">
        <f>IF(E386="","",VLOOKUP(E386,Courses!$A$5:$G$10,3,FALSE))</f>
        <v/>
      </c>
      <c r="H386" s="4"/>
      <c r="I386" s="4"/>
      <c r="J386" s="36" t="str">
        <f>IF(I386="","",VLOOKUP(E386,Courses!$A$5:$G$10,6,FALSE))</f>
        <v/>
      </c>
      <c r="K386" s="32">
        <f t="shared" si="5"/>
        <v>0</v>
      </c>
      <c r="L386" s="4"/>
      <c r="M386" s="4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4"/>
      <c r="B387" s="4"/>
      <c r="C387" s="28"/>
      <c r="D387" s="4"/>
      <c r="E387" s="4"/>
      <c r="F387" s="3" t="str">
        <f>IF(E387="","",VLOOKUP(E387,Courses!$A$5:$G$10,2,FALSE))</f>
        <v/>
      </c>
      <c r="G387" s="32" t="str">
        <f>IF(E387="","",VLOOKUP(E387,Courses!$A$5:$G$10,3,FALSE))</f>
        <v/>
      </c>
      <c r="H387" s="4"/>
      <c r="I387" s="4"/>
      <c r="J387" s="36" t="str">
        <f>IF(I387="","",VLOOKUP(E387,Courses!$A$5:$G$10,6,FALSE))</f>
        <v/>
      </c>
      <c r="K387" s="32">
        <f t="shared" si="5"/>
        <v>0</v>
      </c>
      <c r="L387" s="4"/>
      <c r="M387" s="4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4"/>
      <c r="B388" s="4"/>
      <c r="C388" s="28"/>
      <c r="D388" s="4"/>
      <c r="E388" s="4"/>
      <c r="F388" s="3" t="str">
        <f>IF(E388="","",VLOOKUP(E388,Courses!$A$5:$G$10,2,FALSE))</f>
        <v/>
      </c>
      <c r="G388" s="32" t="str">
        <f>IF(E388="","",VLOOKUP(E388,Courses!$A$5:$G$10,3,FALSE))</f>
        <v/>
      </c>
      <c r="H388" s="4"/>
      <c r="I388" s="4"/>
      <c r="J388" s="36" t="str">
        <f>IF(I388="","",VLOOKUP(E388,Courses!$A$5:$G$10,6,FALSE))</f>
        <v/>
      </c>
      <c r="K388" s="32">
        <f t="shared" si="5"/>
        <v>0</v>
      </c>
      <c r="L388" s="4"/>
      <c r="M388" s="4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4"/>
      <c r="B389" s="4"/>
      <c r="C389" s="28"/>
      <c r="D389" s="4"/>
      <c r="E389" s="4"/>
      <c r="F389" s="3" t="str">
        <f>IF(E389="","",VLOOKUP(E389,Courses!$A$5:$G$10,2,FALSE))</f>
        <v/>
      </c>
      <c r="G389" s="32" t="str">
        <f>IF(E389="","",VLOOKUP(E389,Courses!$A$5:$G$10,3,FALSE))</f>
        <v/>
      </c>
      <c r="H389" s="4"/>
      <c r="I389" s="4"/>
      <c r="J389" s="36" t="str">
        <f>IF(I389="","",VLOOKUP(E389,Courses!$A$5:$G$10,6,FALSE))</f>
        <v/>
      </c>
      <c r="K389" s="32">
        <f t="shared" ref="K389:K452" si="6">IF(AND(H389="Paid",I389&lt;&gt;""),G389*J389,0)</f>
        <v>0</v>
      </c>
      <c r="L389" s="4"/>
      <c r="M389" s="4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4"/>
      <c r="B390" s="4"/>
      <c r="C390" s="28"/>
      <c r="D390" s="4"/>
      <c r="E390" s="4"/>
      <c r="F390" s="3" t="str">
        <f>IF(E390="","",VLOOKUP(E390,Courses!$A$5:$G$10,2,FALSE))</f>
        <v/>
      </c>
      <c r="G390" s="32" t="str">
        <f>IF(E390="","",VLOOKUP(E390,Courses!$A$5:$G$10,3,FALSE))</f>
        <v/>
      </c>
      <c r="H390" s="4"/>
      <c r="I390" s="4"/>
      <c r="J390" s="36" t="str">
        <f>IF(I390="","",VLOOKUP(E390,Courses!$A$5:$G$10,6,FALSE))</f>
        <v/>
      </c>
      <c r="K390" s="32">
        <f t="shared" si="6"/>
        <v>0</v>
      </c>
      <c r="L390" s="4"/>
      <c r="M390" s="4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4"/>
      <c r="B391" s="4"/>
      <c r="C391" s="28"/>
      <c r="D391" s="4"/>
      <c r="E391" s="4"/>
      <c r="F391" s="3" t="str">
        <f>IF(E391="","",VLOOKUP(E391,Courses!$A$5:$G$10,2,FALSE))</f>
        <v/>
      </c>
      <c r="G391" s="32" t="str">
        <f>IF(E391="","",VLOOKUP(E391,Courses!$A$5:$G$10,3,FALSE))</f>
        <v/>
      </c>
      <c r="H391" s="4"/>
      <c r="I391" s="4"/>
      <c r="J391" s="36" t="str">
        <f>IF(I391="","",VLOOKUP(E391,Courses!$A$5:$G$10,6,FALSE))</f>
        <v/>
      </c>
      <c r="K391" s="32">
        <f t="shared" si="6"/>
        <v>0</v>
      </c>
      <c r="L391" s="4"/>
      <c r="M391" s="4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4"/>
      <c r="B392" s="4"/>
      <c r="C392" s="28"/>
      <c r="D392" s="4"/>
      <c r="E392" s="4"/>
      <c r="F392" s="3" t="str">
        <f>IF(E392="","",VLOOKUP(E392,Courses!$A$5:$G$10,2,FALSE))</f>
        <v/>
      </c>
      <c r="G392" s="32" t="str">
        <f>IF(E392="","",VLOOKUP(E392,Courses!$A$5:$G$10,3,FALSE))</f>
        <v/>
      </c>
      <c r="H392" s="4"/>
      <c r="I392" s="4"/>
      <c r="J392" s="36" t="str">
        <f>IF(I392="","",VLOOKUP(E392,Courses!$A$5:$G$10,6,FALSE))</f>
        <v/>
      </c>
      <c r="K392" s="32">
        <f t="shared" si="6"/>
        <v>0</v>
      </c>
      <c r="L392" s="4"/>
      <c r="M392" s="4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4"/>
      <c r="B393" s="4"/>
      <c r="C393" s="28"/>
      <c r="D393" s="4"/>
      <c r="E393" s="4"/>
      <c r="F393" s="3" t="str">
        <f>IF(E393="","",VLOOKUP(E393,Courses!$A$5:$G$10,2,FALSE))</f>
        <v/>
      </c>
      <c r="G393" s="32" t="str">
        <f>IF(E393="","",VLOOKUP(E393,Courses!$A$5:$G$10,3,FALSE))</f>
        <v/>
      </c>
      <c r="H393" s="4"/>
      <c r="I393" s="4"/>
      <c r="J393" s="36" t="str">
        <f>IF(I393="","",VLOOKUP(E393,Courses!$A$5:$G$10,6,FALSE))</f>
        <v/>
      </c>
      <c r="K393" s="32">
        <f t="shared" si="6"/>
        <v>0</v>
      </c>
      <c r="L393" s="4"/>
      <c r="M393" s="4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4"/>
      <c r="B394" s="4"/>
      <c r="C394" s="28"/>
      <c r="D394" s="4"/>
      <c r="E394" s="4"/>
      <c r="F394" s="3" t="str">
        <f>IF(E394="","",VLOOKUP(E394,Courses!$A$5:$G$10,2,FALSE))</f>
        <v/>
      </c>
      <c r="G394" s="32" t="str">
        <f>IF(E394="","",VLOOKUP(E394,Courses!$A$5:$G$10,3,FALSE))</f>
        <v/>
      </c>
      <c r="H394" s="4"/>
      <c r="I394" s="4"/>
      <c r="J394" s="36" t="str">
        <f>IF(I394="","",VLOOKUP(E394,Courses!$A$5:$G$10,6,FALSE))</f>
        <v/>
      </c>
      <c r="K394" s="32">
        <f t="shared" si="6"/>
        <v>0</v>
      </c>
      <c r="L394" s="4"/>
      <c r="M394" s="4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4"/>
      <c r="B395" s="4"/>
      <c r="C395" s="28"/>
      <c r="D395" s="4"/>
      <c r="E395" s="4"/>
      <c r="F395" s="3" t="str">
        <f>IF(E395="","",VLOOKUP(E395,Courses!$A$5:$G$10,2,FALSE))</f>
        <v/>
      </c>
      <c r="G395" s="32" t="str">
        <f>IF(E395="","",VLOOKUP(E395,Courses!$A$5:$G$10,3,FALSE))</f>
        <v/>
      </c>
      <c r="H395" s="4"/>
      <c r="I395" s="4"/>
      <c r="J395" s="36" t="str">
        <f>IF(I395="","",VLOOKUP(E395,Courses!$A$5:$G$10,6,FALSE))</f>
        <v/>
      </c>
      <c r="K395" s="32">
        <f t="shared" si="6"/>
        <v>0</v>
      </c>
      <c r="L395" s="4"/>
      <c r="M395" s="4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4"/>
      <c r="B396" s="4"/>
      <c r="C396" s="28"/>
      <c r="D396" s="4"/>
      <c r="E396" s="4"/>
      <c r="F396" s="3" t="str">
        <f>IF(E396="","",VLOOKUP(E396,Courses!$A$5:$G$10,2,FALSE))</f>
        <v/>
      </c>
      <c r="G396" s="32" t="str">
        <f>IF(E396="","",VLOOKUP(E396,Courses!$A$5:$G$10,3,FALSE))</f>
        <v/>
      </c>
      <c r="H396" s="4"/>
      <c r="I396" s="4"/>
      <c r="J396" s="36" t="str">
        <f>IF(I396="","",VLOOKUP(E396,Courses!$A$5:$G$10,6,FALSE))</f>
        <v/>
      </c>
      <c r="K396" s="32">
        <f t="shared" si="6"/>
        <v>0</v>
      </c>
      <c r="L396" s="4"/>
      <c r="M396" s="4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4"/>
      <c r="B397" s="4"/>
      <c r="C397" s="28"/>
      <c r="D397" s="4"/>
      <c r="E397" s="4"/>
      <c r="F397" s="3" t="str">
        <f>IF(E397="","",VLOOKUP(E397,Courses!$A$5:$G$10,2,FALSE))</f>
        <v/>
      </c>
      <c r="G397" s="32" t="str">
        <f>IF(E397="","",VLOOKUP(E397,Courses!$A$5:$G$10,3,FALSE))</f>
        <v/>
      </c>
      <c r="H397" s="4"/>
      <c r="I397" s="4"/>
      <c r="J397" s="36" t="str">
        <f>IF(I397="","",VLOOKUP(E397,Courses!$A$5:$G$10,6,FALSE))</f>
        <v/>
      </c>
      <c r="K397" s="32">
        <f t="shared" si="6"/>
        <v>0</v>
      </c>
      <c r="L397" s="4"/>
      <c r="M397" s="4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4"/>
      <c r="B398" s="4"/>
      <c r="C398" s="28"/>
      <c r="D398" s="4"/>
      <c r="E398" s="4"/>
      <c r="F398" s="3" t="str">
        <f>IF(E398="","",VLOOKUP(E398,Courses!$A$5:$G$10,2,FALSE))</f>
        <v/>
      </c>
      <c r="G398" s="32" t="str">
        <f>IF(E398="","",VLOOKUP(E398,Courses!$A$5:$G$10,3,FALSE))</f>
        <v/>
      </c>
      <c r="H398" s="4"/>
      <c r="I398" s="4"/>
      <c r="J398" s="36" t="str">
        <f>IF(I398="","",VLOOKUP(E398,Courses!$A$5:$G$10,6,FALSE))</f>
        <v/>
      </c>
      <c r="K398" s="32">
        <f t="shared" si="6"/>
        <v>0</v>
      </c>
      <c r="L398" s="4"/>
      <c r="M398" s="4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4"/>
      <c r="B399" s="4"/>
      <c r="C399" s="28"/>
      <c r="D399" s="4"/>
      <c r="E399" s="4"/>
      <c r="F399" s="3" t="str">
        <f>IF(E399="","",VLOOKUP(E399,Courses!$A$5:$G$10,2,FALSE))</f>
        <v/>
      </c>
      <c r="G399" s="32" t="str">
        <f>IF(E399="","",VLOOKUP(E399,Courses!$A$5:$G$10,3,FALSE))</f>
        <v/>
      </c>
      <c r="H399" s="4"/>
      <c r="I399" s="4"/>
      <c r="J399" s="36" t="str">
        <f>IF(I399="","",VLOOKUP(E399,Courses!$A$5:$G$10,6,FALSE))</f>
        <v/>
      </c>
      <c r="K399" s="32">
        <f t="shared" si="6"/>
        <v>0</v>
      </c>
      <c r="L399" s="4"/>
      <c r="M399" s="4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4"/>
      <c r="B400" s="4"/>
      <c r="C400" s="28"/>
      <c r="D400" s="4"/>
      <c r="E400" s="4"/>
      <c r="F400" s="3" t="str">
        <f>IF(E400="","",VLOOKUP(E400,Courses!$A$5:$G$10,2,FALSE))</f>
        <v/>
      </c>
      <c r="G400" s="32" t="str">
        <f>IF(E400="","",VLOOKUP(E400,Courses!$A$5:$G$10,3,FALSE))</f>
        <v/>
      </c>
      <c r="H400" s="4"/>
      <c r="I400" s="4"/>
      <c r="J400" s="36" t="str">
        <f>IF(I400="","",VLOOKUP(E400,Courses!$A$5:$G$10,6,FALSE))</f>
        <v/>
      </c>
      <c r="K400" s="32">
        <f t="shared" si="6"/>
        <v>0</v>
      </c>
      <c r="L400" s="4"/>
      <c r="M400" s="4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4"/>
      <c r="B401" s="4"/>
      <c r="C401" s="28"/>
      <c r="D401" s="4"/>
      <c r="E401" s="4"/>
      <c r="F401" s="3" t="str">
        <f>IF(E401="","",VLOOKUP(E401,Courses!$A$5:$G$10,2,FALSE))</f>
        <v/>
      </c>
      <c r="G401" s="32" t="str">
        <f>IF(E401="","",VLOOKUP(E401,Courses!$A$5:$G$10,3,FALSE))</f>
        <v/>
      </c>
      <c r="H401" s="4"/>
      <c r="I401" s="4"/>
      <c r="J401" s="36" t="str">
        <f>IF(I401="","",VLOOKUP(E401,Courses!$A$5:$G$10,6,FALSE))</f>
        <v/>
      </c>
      <c r="K401" s="32">
        <f t="shared" si="6"/>
        <v>0</v>
      </c>
      <c r="L401" s="4"/>
      <c r="M401" s="4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4"/>
      <c r="B402" s="4"/>
      <c r="C402" s="28"/>
      <c r="D402" s="4"/>
      <c r="E402" s="4"/>
      <c r="F402" s="3" t="str">
        <f>IF(E402="","",VLOOKUP(E402,Courses!$A$5:$G$10,2,FALSE))</f>
        <v/>
      </c>
      <c r="G402" s="32" t="str">
        <f>IF(E402="","",VLOOKUP(E402,Courses!$A$5:$G$10,3,FALSE))</f>
        <v/>
      </c>
      <c r="H402" s="4"/>
      <c r="I402" s="4"/>
      <c r="J402" s="36" t="str">
        <f>IF(I402="","",VLOOKUP(E402,Courses!$A$5:$G$10,6,FALSE))</f>
        <v/>
      </c>
      <c r="K402" s="32">
        <f t="shared" si="6"/>
        <v>0</v>
      </c>
      <c r="L402" s="4"/>
      <c r="M402" s="4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4"/>
      <c r="B403" s="4"/>
      <c r="C403" s="28"/>
      <c r="D403" s="4"/>
      <c r="E403" s="4"/>
      <c r="F403" s="3" t="str">
        <f>IF(E403="","",VLOOKUP(E403,Courses!$A$5:$G$10,2,FALSE))</f>
        <v/>
      </c>
      <c r="G403" s="32" t="str">
        <f>IF(E403="","",VLOOKUP(E403,Courses!$A$5:$G$10,3,FALSE))</f>
        <v/>
      </c>
      <c r="H403" s="4"/>
      <c r="I403" s="4"/>
      <c r="J403" s="36" t="str">
        <f>IF(I403="","",VLOOKUP(E403,Courses!$A$5:$G$10,6,FALSE))</f>
        <v/>
      </c>
      <c r="K403" s="32">
        <f t="shared" si="6"/>
        <v>0</v>
      </c>
      <c r="L403" s="4"/>
      <c r="M403" s="4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4"/>
      <c r="B404" s="4"/>
      <c r="C404" s="28"/>
      <c r="D404" s="4"/>
      <c r="E404" s="4"/>
      <c r="F404" s="3" t="str">
        <f>IF(E404="","",VLOOKUP(E404,Courses!$A$5:$G$10,2,FALSE))</f>
        <v/>
      </c>
      <c r="G404" s="32" t="str">
        <f>IF(E404="","",VLOOKUP(E404,Courses!$A$5:$G$10,3,FALSE))</f>
        <v/>
      </c>
      <c r="H404" s="4"/>
      <c r="I404" s="4"/>
      <c r="J404" s="36" t="str">
        <f>IF(I404="","",VLOOKUP(E404,Courses!$A$5:$G$10,6,FALSE))</f>
        <v/>
      </c>
      <c r="K404" s="32">
        <f t="shared" si="6"/>
        <v>0</v>
      </c>
      <c r="L404" s="4"/>
      <c r="M404" s="4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4"/>
      <c r="B405" s="4"/>
      <c r="C405" s="28"/>
      <c r="D405" s="4"/>
      <c r="E405" s="4"/>
      <c r="F405" s="3" t="str">
        <f>IF(E405="","",VLOOKUP(E405,Courses!$A$5:$G$10,2,FALSE))</f>
        <v/>
      </c>
      <c r="G405" s="32" t="str">
        <f>IF(E405="","",VLOOKUP(E405,Courses!$A$5:$G$10,3,FALSE))</f>
        <v/>
      </c>
      <c r="H405" s="4"/>
      <c r="I405" s="4"/>
      <c r="J405" s="36" t="str">
        <f>IF(I405="","",VLOOKUP(E405,Courses!$A$5:$G$10,6,FALSE))</f>
        <v/>
      </c>
      <c r="K405" s="32">
        <f t="shared" si="6"/>
        <v>0</v>
      </c>
      <c r="L405" s="4"/>
      <c r="M405" s="4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4"/>
      <c r="B406" s="4"/>
      <c r="C406" s="28"/>
      <c r="D406" s="4"/>
      <c r="E406" s="4"/>
      <c r="F406" s="3" t="str">
        <f>IF(E406="","",VLOOKUP(E406,Courses!$A$5:$G$10,2,FALSE))</f>
        <v/>
      </c>
      <c r="G406" s="32" t="str">
        <f>IF(E406="","",VLOOKUP(E406,Courses!$A$5:$G$10,3,FALSE))</f>
        <v/>
      </c>
      <c r="H406" s="4"/>
      <c r="I406" s="4"/>
      <c r="J406" s="36" t="str">
        <f>IF(I406="","",VLOOKUP(E406,Courses!$A$5:$G$10,6,FALSE))</f>
        <v/>
      </c>
      <c r="K406" s="32">
        <f t="shared" si="6"/>
        <v>0</v>
      </c>
      <c r="L406" s="4"/>
      <c r="M406" s="4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4"/>
      <c r="B407" s="4"/>
      <c r="C407" s="28"/>
      <c r="D407" s="4"/>
      <c r="E407" s="4"/>
      <c r="F407" s="3" t="str">
        <f>IF(E407="","",VLOOKUP(E407,Courses!$A$5:$G$10,2,FALSE))</f>
        <v/>
      </c>
      <c r="G407" s="32" t="str">
        <f>IF(E407="","",VLOOKUP(E407,Courses!$A$5:$G$10,3,FALSE))</f>
        <v/>
      </c>
      <c r="H407" s="4"/>
      <c r="I407" s="4"/>
      <c r="J407" s="36" t="str">
        <f>IF(I407="","",VLOOKUP(E407,Courses!$A$5:$G$10,6,FALSE))</f>
        <v/>
      </c>
      <c r="K407" s="32">
        <f t="shared" si="6"/>
        <v>0</v>
      </c>
      <c r="L407" s="4"/>
      <c r="M407" s="4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4"/>
      <c r="B408" s="4"/>
      <c r="C408" s="28"/>
      <c r="D408" s="4"/>
      <c r="E408" s="4"/>
      <c r="F408" s="3" t="str">
        <f>IF(E408="","",VLOOKUP(E408,Courses!$A$5:$G$10,2,FALSE))</f>
        <v/>
      </c>
      <c r="G408" s="32" t="str">
        <f>IF(E408="","",VLOOKUP(E408,Courses!$A$5:$G$10,3,FALSE))</f>
        <v/>
      </c>
      <c r="H408" s="4"/>
      <c r="I408" s="4"/>
      <c r="J408" s="36" t="str">
        <f>IF(I408="","",VLOOKUP(E408,Courses!$A$5:$G$10,6,FALSE))</f>
        <v/>
      </c>
      <c r="K408" s="32">
        <f t="shared" si="6"/>
        <v>0</v>
      </c>
      <c r="L408" s="4"/>
      <c r="M408" s="4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4"/>
      <c r="B409" s="4"/>
      <c r="C409" s="28"/>
      <c r="D409" s="4"/>
      <c r="E409" s="4"/>
      <c r="F409" s="3" t="str">
        <f>IF(E409="","",VLOOKUP(E409,Courses!$A$5:$G$10,2,FALSE))</f>
        <v/>
      </c>
      <c r="G409" s="32" t="str">
        <f>IF(E409="","",VLOOKUP(E409,Courses!$A$5:$G$10,3,FALSE))</f>
        <v/>
      </c>
      <c r="H409" s="4"/>
      <c r="I409" s="4"/>
      <c r="J409" s="36" t="str">
        <f>IF(I409="","",VLOOKUP(E409,Courses!$A$5:$G$10,6,FALSE))</f>
        <v/>
      </c>
      <c r="K409" s="32">
        <f t="shared" si="6"/>
        <v>0</v>
      </c>
      <c r="L409" s="4"/>
      <c r="M409" s="4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4"/>
      <c r="B410" s="4"/>
      <c r="C410" s="28"/>
      <c r="D410" s="4"/>
      <c r="E410" s="4"/>
      <c r="F410" s="3" t="str">
        <f>IF(E410="","",VLOOKUP(E410,Courses!$A$5:$G$10,2,FALSE))</f>
        <v/>
      </c>
      <c r="G410" s="32" t="str">
        <f>IF(E410="","",VLOOKUP(E410,Courses!$A$5:$G$10,3,FALSE))</f>
        <v/>
      </c>
      <c r="H410" s="4"/>
      <c r="I410" s="4"/>
      <c r="J410" s="36" t="str">
        <f>IF(I410="","",VLOOKUP(E410,Courses!$A$5:$G$10,6,FALSE))</f>
        <v/>
      </c>
      <c r="K410" s="32">
        <f t="shared" si="6"/>
        <v>0</v>
      </c>
      <c r="L410" s="4"/>
      <c r="M410" s="4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4"/>
      <c r="B411" s="4"/>
      <c r="C411" s="28"/>
      <c r="D411" s="4"/>
      <c r="E411" s="4"/>
      <c r="F411" s="3" t="str">
        <f>IF(E411="","",VLOOKUP(E411,Courses!$A$5:$G$10,2,FALSE))</f>
        <v/>
      </c>
      <c r="G411" s="32" t="str">
        <f>IF(E411="","",VLOOKUP(E411,Courses!$A$5:$G$10,3,FALSE))</f>
        <v/>
      </c>
      <c r="H411" s="4"/>
      <c r="I411" s="4"/>
      <c r="J411" s="36" t="str">
        <f>IF(I411="","",VLOOKUP(E411,Courses!$A$5:$G$10,6,FALSE))</f>
        <v/>
      </c>
      <c r="K411" s="32">
        <f t="shared" si="6"/>
        <v>0</v>
      </c>
      <c r="L411" s="4"/>
      <c r="M411" s="4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4"/>
      <c r="B412" s="4"/>
      <c r="C412" s="28"/>
      <c r="D412" s="4"/>
      <c r="E412" s="4"/>
      <c r="F412" s="3" t="str">
        <f>IF(E412="","",VLOOKUP(E412,Courses!$A$5:$G$10,2,FALSE))</f>
        <v/>
      </c>
      <c r="G412" s="32" t="str">
        <f>IF(E412="","",VLOOKUP(E412,Courses!$A$5:$G$10,3,FALSE))</f>
        <v/>
      </c>
      <c r="H412" s="4"/>
      <c r="I412" s="4"/>
      <c r="J412" s="36" t="str">
        <f>IF(I412="","",VLOOKUP(E412,Courses!$A$5:$G$10,6,FALSE))</f>
        <v/>
      </c>
      <c r="K412" s="32">
        <f t="shared" si="6"/>
        <v>0</v>
      </c>
      <c r="L412" s="4"/>
      <c r="M412" s="4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4"/>
      <c r="B413" s="4"/>
      <c r="C413" s="28"/>
      <c r="D413" s="4"/>
      <c r="E413" s="4"/>
      <c r="F413" s="3" t="str">
        <f>IF(E413="","",VLOOKUP(E413,Courses!$A$5:$G$10,2,FALSE))</f>
        <v/>
      </c>
      <c r="G413" s="32" t="str">
        <f>IF(E413="","",VLOOKUP(E413,Courses!$A$5:$G$10,3,FALSE))</f>
        <v/>
      </c>
      <c r="H413" s="4"/>
      <c r="I413" s="4"/>
      <c r="J413" s="36" t="str">
        <f>IF(I413="","",VLOOKUP(E413,Courses!$A$5:$G$10,6,FALSE))</f>
        <v/>
      </c>
      <c r="K413" s="32">
        <f t="shared" si="6"/>
        <v>0</v>
      </c>
      <c r="L413" s="4"/>
      <c r="M413" s="4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4"/>
      <c r="B414" s="4"/>
      <c r="C414" s="28"/>
      <c r="D414" s="4"/>
      <c r="E414" s="4"/>
      <c r="F414" s="3" t="str">
        <f>IF(E414="","",VLOOKUP(E414,Courses!$A$5:$G$10,2,FALSE))</f>
        <v/>
      </c>
      <c r="G414" s="32" t="str">
        <f>IF(E414="","",VLOOKUP(E414,Courses!$A$5:$G$10,3,FALSE))</f>
        <v/>
      </c>
      <c r="H414" s="4"/>
      <c r="I414" s="4"/>
      <c r="J414" s="36" t="str">
        <f>IF(I414="","",VLOOKUP(E414,Courses!$A$5:$G$10,6,FALSE))</f>
        <v/>
      </c>
      <c r="K414" s="32">
        <f t="shared" si="6"/>
        <v>0</v>
      </c>
      <c r="L414" s="4"/>
      <c r="M414" s="4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4"/>
      <c r="B415" s="4"/>
      <c r="C415" s="28"/>
      <c r="D415" s="4"/>
      <c r="E415" s="4"/>
      <c r="F415" s="3" t="str">
        <f>IF(E415="","",VLOOKUP(E415,Courses!$A$5:$G$10,2,FALSE))</f>
        <v/>
      </c>
      <c r="G415" s="32" t="str">
        <f>IF(E415="","",VLOOKUP(E415,Courses!$A$5:$G$10,3,FALSE))</f>
        <v/>
      </c>
      <c r="H415" s="4"/>
      <c r="I415" s="4"/>
      <c r="J415" s="36" t="str">
        <f>IF(I415="","",VLOOKUP(E415,Courses!$A$5:$G$10,6,FALSE))</f>
        <v/>
      </c>
      <c r="K415" s="32">
        <f t="shared" si="6"/>
        <v>0</v>
      </c>
      <c r="L415" s="4"/>
      <c r="M415" s="4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4"/>
      <c r="B416" s="4"/>
      <c r="C416" s="28"/>
      <c r="D416" s="4"/>
      <c r="E416" s="4"/>
      <c r="F416" s="3" t="str">
        <f>IF(E416="","",VLOOKUP(E416,Courses!$A$5:$G$10,2,FALSE))</f>
        <v/>
      </c>
      <c r="G416" s="32" t="str">
        <f>IF(E416="","",VLOOKUP(E416,Courses!$A$5:$G$10,3,FALSE))</f>
        <v/>
      </c>
      <c r="H416" s="4"/>
      <c r="I416" s="4"/>
      <c r="J416" s="36" t="str">
        <f>IF(I416="","",VLOOKUP(E416,Courses!$A$5:$G$10,6,FALSE))</f>
        <v/>
      </c>
      <c r="K416" s="32">
        <f t="shared" si="6"/>
        <v>0</v>
      </c>
      <c r="L416" s="4"/>
      <c r="M416" s="4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4"/>
      <c r="B417" s="4"/>
      <c r="C417" s="28"/>
      <c r="D417" s="4"/>
      <c r="E417" s="4"/>
      <c r="F417" s="3" t="str">
        <f>IF(E417="","",VLOOKUP(E417,Courses!$A$5:$G$10,2,FALSE))</f>
        <v/>
      </c>
      <c r="G417" s="32" t="str">
        <f>IF(E417="","",VLOOKUP(E417,Courses!$A$5:$G$10,3,FALSE))</f>
        <v/>
      </c>
      <c r="H417" s="4"/>
      <c r="I417" s="4"/>
      <c r="J417" s="36" t="str">
        <f>IF(I417="","",VLOOKUP(E417,Courses!$A$5:$G$10,6,FALSE))</f>
        <v/>
      </c>
      <c r="K417" s="32">
        <f t="shared" si="6"/>
        <v>0</v>
      </c>
      <c r="L417" s="4"/>
      <c r="M417" s="4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4"/>
      <c r="B418" s="4"/>
      <c r="C418" s="28"/>
      <c r="D418" s="4"/>
      <c r="E418" s="4"/>
      <c r="F418" s="3" t="str">
        <f>IF(E418="","",VLOOKUP(E418,Courses!$A$5:$G$10,2,FALSE))</f>
        <v/>
      </c>
      <c r="G418" s="32" t="str">
        <f>IF(E418="","",VLOOKUP(E418,Courses!$A$5:$G$10,3,FALSE))</f>
        <v/>
      </c>
      <c r="H418" s="4"/>
      <c r="I418" s="4"/>
      <c r="J418" s="36" t="str">
        <f>IF(I418="","",VLOOKUP(E418,Courses!$A$5:$G$10,6,FALSE))</f>
        <v/>
      </c>
      <c r="K418" s="32">
        <f t="shared" si="6"/>
        <v>0</v>
      </c>
      <c r="L418" s="4"/>
      <c r="M418" s="4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4"/>
      <c r="B419" s="4"/>
      <c r="C419" s="28"/>
      <c r="D419" s="4"/>
      <c r="E419" s="4"/>
      <c r="F419" s="3" t="str">
        <f>IF(E419="","",VLOOKUP(E419,Courses!$A$5:$G$10,2,FALSE))</f>
        <v/>
      </c>
      <c r="G419" s="32" t="str">
        <f>IF(E419="","",VLOOKUP(E419,Courses!$A$5:$G$10,3,FALSE))</f>
        <v/>
      </c>
      <c r="H419" s="4"/>
      <c r="I419" s="4"/>
      <c r="J419" s="36" t="str">
        <f>IF(I419="","",VLOOKUP(E419,Courses!$A$5:$G$10,6,FALSE))</f>
        <v/>
      </c>
      <c r="K419" s="32">
        <f t="shared" si="6"/>
        <v>0</v>
      </c>
      <c r="L419" s="4"/>
      <c r="M419" s="4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4"/>
      <c r="B420" s="4"/>
      <c r="C420" s="28"/>
      <c r="D420" s="4"/>
      <c r="E420" s="4"/>
      <c r="F420" s="3" t="str">
        <f>IF(E420="","",VLOOKUP(E420,Courses!$A$5:$G$10,2,FALSE))</f>
        <v/>
      </c>
      <c r="G420" s="32" t="str">
        <f>IF(E420="","",VLOOKUP(E420,Courses!$A$5:$G$10,3,FALSE))</f>
        <v/>
      </c>
      <c r="H420" s="4"/>
      <c r="I420" s="4"/>
      <c r="J420" s="36" t="str">
        <f>IF(I420="","",VLOOKUP(E420,Courses!$A$5:$G$10,6,FALSE))</f>
        <v/>
      </c>
      <c r="K420" s="32">
        <f t="shared" si="6"/>
        <v>0</v>
      </c>
      <c r="L420" s="4"/>
      <c r="M420" s="4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4"/>
      <c r="B421" s="4"/>
      <c r="C421" s="28"/>
      <c r="D421" s="4"/>
      <c r="E421" s="4"/>
      <c r="F421" s="3" t="str">
        <f>IF(E421="","",VLOOKUP(E421,Courses!$A$5:$G$10,2,FALSE))</f>
        <v/>
      </c>
      <c r="G421" s="32" t="str">
        <f>IF(E421="","",VLOOKUP(E421,Courses!$A$5:$G$10,3,FALSE))</f>
        <v/>
      </c>
      <c r="H421" s="4"/>
      <c r="I421" s="4"/>
      <c r="J421" s="36" t="str">
        <f>IF(I421="","",VLOOKUP(E421,Courses!$A$5:$G$10,6,FALSE))</f>
        <v/>
      </c>
      <c r="K421" s="32">
        <f t="shared" si="6"/>
        <v>0</v>
      </c>
      <c r="L421" s="4"/>
      <c r="M421" s="4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4"/>
      <c r="B422" s="4"/>
      <c r="C422" s="28"/>
      <c r="D422" s="4"/>
      <c r="E422" s="4"/>
      <c r="F422" s="3" t="str">
        <f>IF(E422="","",VLOOKUP(E422,Courses!$A$5:$G$10,2,FALSE))</f>
        <v/>
      </c>
      <c r="G422" s="32" t="str">
        <f>IF(E422="","",VLOOKUP(E422,Courses!$A$5:$G$10,3,FALSE))</f>
        <v/>
      </c>
      <c r="H422" s="4"/>
      <c r="I422" s="4"/>
      <c r="J422" s="36" t="str">
        <f>IF(I422="","",VLOOKUP(E422,Courses!$A$5:$G$10,6,FALSE))</f>
        <v/>
      </c>
      <c r="K422" s="32">
        <f t="shared" si="6"/>
        <v>0</v>
      </c>
      <c r="L422" s="4"/>
      <c r="M422" s="4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4"/>
      <c r="B423" s="4"/>
      <c r="C423" s="28"/>
      <c r="D423" s="4"/>
      <c r="E423" s="4"/>
      <c r="F423" s="3" t="str">
        <f>IF(E423="","",VLOOKUP(E423,Courses!$A$5:$G$10,2,FALSE))</f>
        <v/>
      </c>
      <c r="G423" s="32" t="str">
        <f>IF(E423="","",VLOOKUP(E423,Courses!$A$5:$G$10,3,FALSE))</f>
        <v/>
      </c>
      <c r="H423" s="4"/>
      <c r="I423" s="4"/>
      <c r="J423" s="36" t="str">
        <f>IF(I423="","",VLOOKUP(E423,Courses!$A$5:$G$10,6,FALSE))</f>
        <v/>
      </c>
      <c r="K423" s="32">
        <f t="shared" si="6"/>
        <v>0</v>
      </c>
      <c r="L423" s="4"/>
      <c r="M423" s="4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4"/>
      <c r="B424" s="4"/>
      <c r="C424" s="28"/>
      <c r="D424" s="4"/>
      <c r="E424" s="4"/>
      <c r="F424" s="3" t="str">
        <f>IF(E424="","",VLOOKUP(E424,Courses!$A$5:$G$10,2,FALSE))</f>
        <v/>
      </c>
      <c r="G424" s="32" t="str">
        <f>IF(E424="","",VLOOKUP(E424,Courses!$A$5:$G$10,3,FALSE))</f>
        <v/>
      </c>
      <c r="H424" s="4"/>
      <c r="I424" s="4"/>
      <c r="J424" s="36" t="str">
        <f>IF(I424="","",VLOOKUP(E424,Courses!$A$5:$G$10,6,FALSE))</f>
        <v/>
      </c>
      <c r="K424" s="32">
        <f t="shared" si="6"/>
        <v>0</v>
      </c>
      <c r="L424" s="4"/>
      <c r="M424" s="4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4"/>
      <c r="B425" s="4"/>
      <c r="C425" s="28"/>
      <c r="D425" s="4"/>
      <c r="E425" s="4"/>
      <c r="F425" s="3" t="str">
        <f>IF(E425="","",VLOOKUP(E425,Courses!$A$5:$G$10,2,FALSE))</f>
        <v/>
      </c>
      <c r="G425" s="32" t="str">
        <f>IF(E425="","",VLOOKUP(E425,Courses!$A$5:$G$10,3,FALSE))</f>
        <v/>
      </c>
      <c r="H425" s="4"/>
      <c r="I425" s="4"/>
      <c r="J425" s="36" t="str">
        <f>IF(I425="","",VLOOKUP(E425,Courses!$A$5:$G$10,6,FALSE))</f>
        <v/>
      </c>
      <c r="K425" s="32">
        <f t="shared" si="6"/>
        <v>0</v>
      </c>
      <c r="L425" s="4"/>
      <c r="M425" s="4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4"/>
      <c r="B426" s="4"/>
      <c r="C426" s="28"/>
      <c r="D426" s="4"/>
      <c r="E426" s="4"/>
      <c r="F426" s="3" t="str">
        <f>IF(E426="","",VLOOKUP(E426,Courses!$A$5:$G$10,2,FALSE))</f>
        <v/>
      </c>
      <c r="G426" s="32" t="str">
        <f>IF(E426="","",VLOOKUP(E426,Courses!$A$5:$G$10,3,FALSE))</f>
        <v/>
      </c>
      <c r="H426" s="4"/>
      <c r="I426" s="4"/>
      <c r="J426" s="36" t="str">
        <f>IF(I426="","",VLOOKUP(E426,Courses!$A$5:$G$10,6,FALSE))</f>
        <v/>
      </c>
      <c r="K426" s="32">
        <f t="shared" si="6"/>
        <v>0</v>
      </c>
      <c r="L426" s="4"/>
      <c r="M426" s="4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4"/>
      <c r="B427" s="4"/>
      <c r="C427" s="28"/>
      <c r="D427" s="4"/>
      <c r="E427" s="4"/>
      <c r="F427" s="3" t="str">
        <f>IF(E427="","",VLOOKUP(E427,Courses!$A$5:$G$10,2,FALSE))</f>
        <v/>
      </c>
      <c r="G427" s="32" t="str">
        <f>IF(E427="","",VLOOKUP(E427,Courses!$A$5:$G$10,3,FALSE))</f>
        <v/>
      </c>
      <c r="H427" s="4"/>
      <c r="I427" s="4"/>
      <c r="J427" s="36" t="str">
        <f>IF(I427="","",VLOOKUP(E427,Courses!$A$5:$G$10,6,FALSE))</f>
        <v/>
      </c>
      <c r="K427" s="32">
        <f t="shared" si="6"/>
        <v>0</v>
      </c>
      <c r="L427" s="4"/>
      <c r="M427" s="4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4"/>
      <c r="B428" s="4"/>
      <c r="C428" s="28"/>
      <c r="D428" s="4"/>
      <c r="E428" s="4"/>
      <c r="F428" s="3" t="str">
        <f>IF(E428="","",VLOOKUP(E428,Courses!$A$5:$G$10,2,FALSE))</f>
        <v/>
      </c>
      <c r="G428" s="32" t="str">
        <f>IF(E428="","",VLOOKUP(E428,Courses!$A$5:$G$10,3,FALSE))</f>
        <v/>
      </c>
      <c r="H428" s="4"/>
      <c r="I428" s="4"/>
      <c r="J428" s="36" t="str">
        <f>IF(I428="","",VLOOKUP(E428,Courses!$A$5:$G$10,6,FALSE))</f>
        <v/>
      </c>
      <c r="K428" s="32">
        <f t="shared" si="6"/>
        <v>0</v>
      </c>
      <c r="L428" s="4"/>
      <c r="M428" s="4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4"/>
      <c r="B429" s="4"/>
      <c r="C429" s="28"/>
      <c r="D429" s="4"/>
      <c r="E429" s="4"/>
      <c r="F429" s="3" t="str">
        <f>IF(E429="","",VLOOKUP(E429,Courses!$A$5:$G$10,2,FALSE))</f>
        <v/>
      </c>
      <c r="G429" s="32" t="str">
        <f>IF(E429="","",VLOOKUP(E429,Courses!$A$5:$G$10,3,FALSE))</f>
        <v/>
      </c>
      <c r="H429" s="4"/>
      <c r="I429" s="4"/>
      <c r="J429" s="36" t="str">
        <f>IF(I429="","",VLOOKUP(E429,Courses!$A$5:$G$10,6,FALSE))</f>
        <v/>
      </c>
      <c r="K429" s="32">
        <f t="shared" si="6"/>
        <v>0</v>
      </c>
      <c r="L429" s="4"/>
      <c r="M429" s="4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4"/>
      <c r="B430" s="4"/>
      <c r="C430" s="28"/>
      <c r="D430" s="4"/>
      <c r="E430" s="4"/>
      <c r="F430" s="3" t="str">
        <f>IF(E430="","",VLOOKUP(E430,Courses!$A$5:$G$10,2,FALSE))</f>
        <v/>
      </c>
      <c r="G430" s="32" t="str">
        <f>IF(E430="","",VLOOKUP(E430,Courses!$A$5:$G$10,3,FALSE))</f>
        <v/>
      </c>
      <c r="H430" s="4"/>
      <c r="I430" s="4"/>
      <c r="J430" s="36" t="str">
        <f>IF(I430="","",VLOOKUP(E430,Courses!$A$5:$G$10,6,FALSE))</f>
        <v/>
      </c>
      <c r="K430" s="32">
        <f t="shared" si="6"/>
        <v>0</v>
      </c>
      <c r="L430" s="4"/>
      <c r="M430" s="4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4"/>
      <c r="B431" s="4"/>
      <c r="C431" s="28"/>
      <c r="D431" s="4"/>
      <c r="E431" s="4"/>
      <c r="F431" s="3" t="str">
        <f>IF(E431="","",VLOOKUP(E431,Courses!$A$5:$G$10,2,FALSE))</f>
        <v/>
      </c>
      <c r="G431" s="32" t="str">
        <f>IF(E431="","",VLOOKUP(E431,Courses!$A$5:$G$10,3,FALSE))</f>
        <v/>
      </c>
      <c r="H431" s="4"/>
      <c r="I431" s="4"/>
      <c r="J431" s="36" t="str">
        <f>IF(I431="","",VLOOKUP(E431,Courses!$A$5:$G$10,6,FALSE))</f>
        <v/>
      </c>
      <c r="K431" s="32">
        <f t="shared" si="6"/>
        <v>0</v>
      </c>
      <c r="L431" s="4"/>
      <c r="M431" s="4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4"/>
      <c r="B432" s="4"/>
      <c r="C432" s="28"/>
      <c r="D432" s="4"/>
      <c r="E432" s="4"/>
      <c r="F432" s="3" t="str">
        <f>IF(E432="","",VLOOKUP(E432,Courses!$A$5:$G$10,2,FALSE))</f>
        <v/>
      </c>
      <c r="G432" s="32" t="str">
        <f>IF(E432="","",VLOOKUP(E432,Courses!$A$5:$G$10,3,FALSE))</f>
        <v/>
      </c>
      <c r="H432" s="4"/>
      <c r="I432" s="4"/>
      <c r="J432" s="36" t="str">
        <f>IF(I432="","",VLOOKUP(E432,Courses!$A$5:$G$10,6,FALSE))</f>
        <v/>
      </c>
      <c r="K432" s="32">
        <f t="shared" si="6"/>
        <v>0</v>
      </c>
      <c r="L432" s="4"/>
      <c r="M432" s="4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4"/>
      <c r="B433" s="4"/>
      <c r="C433" s="28"/>
      <c r="D433" s="4"/>
      <c r="E433" s="4"/>
      <c r="F433" s="3" t="str">
        <f>IF(E433="","",VLOOKUP(E433,Courses!$A$5:$G$10,2,FALSE))</f>
        <v/>
      </c>
      <c r="G433" s="32" t="str">
        <f>IF(E433="","",VLOOKUP(E433,Courses!$A$5:$G$10,3,FALSE))</f>
        <v/>
      </c>
      <c r="H433" s="4"/>
      <c r="I433" s="4"/>
      <c r="J433" s="36" t="str">
        <f>IF(I433="","",VLOOKUP(E433,Courses!$A$5:$G$10,6,FALSE))</f>
        <v/>
      </c>
      <c r="K433" s="32">
        <f t="shared" si="6"/>
        <v>0</v>
      </c>
      <c r="L433" s="4"/>
      <c r="M433" s="4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4"/>
      <c r="B434" s="4"/>
      <c r="C434" s="28"/>
      <c r="D434" s="4"/>
      <c r="E434" s="4"/>
      <c r="F434" s="3" t="str">
        <f>IF(E434="","",VLOOKUP(E434,Courses!$A$5:$G$10,2,FALSE))</f>
        <v/>
      </c>
      <c r="G434" s="32" t="str">
        <f>IF(E434="","",VLOOKUP(E434,Courses!$A$5:$G$10,3,FALSE))</f>
        <v/>
      </c>
      <c r="H434" s="4"/>
      <c r="I434" s="4"/>
      <c r="J434" s="36" t="str">
        <f>IF(I434="","",VLOOKUP(E434,Courses!$A$5:$G$10,6,FALSE))</f>
        <v/>
      </c>
      <c r="K434" s="32">
        <f t="shared" si="6"/>
        <v>0</v>
      </c>
      <c r="L434" s="4"/>
      <c r="M434" s="4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4"/>
      <c r="B435" s="4"/>
      <c r="C435" s="28"/>
      <c r="D435" s="4"/>
      <c r="E435" s="4"/>
      <c r="F435" s="3" t="str">
        <f>IF(E435="","",VLOOKUP(E435,Courses!$A$5:$G$10,2,FALSE))</f>
        <v/>
      </c>
      <c r="G435" s="32" t="str">
        <f>IF(E435="","",VLOOKUP(E435,Courses!$A$5:$G$10,3,FALSE))</f>
        <v/>
      </c>
      <c r="H435" s="4"/>
      <c r="I435" s="4"/>
      <c r="J435" s="36" t="str">
        <f>IF(I435="","",VLOOKUP(E435,Courses!$A$5:$G$10,6,FALSE))</f>
        <v/>
      </c>
      <c r="K435" s="32">
        <f t="shared" si="6"/>
        <v>0</v>
      </c>
      <c r="L435" s="4"/>
      <c r="M435" s="4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4"/>
      <c r="B436" s="4"/>
      <c r="C436" s="28"/>
      <c r="D436" s="4"/>
      <c r="E436" s="4"/>
      <c r="F436" s="3" t="str">
        <f>IF(E436="","",VLOOKUP(E436,Courses!$A$5:$G$10,2,FALSE))</f>
        <v/>
      </c>
      <c r="G436" s="32" t="str">
        <f>IF(E436="","",VLOOKUP(E436,Courses!$A$5:$G$10,3,FALSE))</f>
        <v/>
      </c>
      <c r="H436" s="4"/>
      <c r="I436" s="4"/>
      <c r="J436" s="36" t="str">
        <f>IF(I436="","",VLOOKUP(E436,Courses!$A$5:$G$10,6,FALSE))</f>
        <v/>
      </c>
      <c r="K436" s="32">
        <f t="shared" si="6"/>
        <v>0</v>
      </c>
      <c r="L436" s="4"/>
      <c r="M436" s="4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4"/>
      <c r="B437" s="4"/>
      <c r="C437" s="28"/>
      <c r="D437" s="4"/>
      <c r="E437" s="4"/>
      <c r="F437" s="3" t="str">
        <f>IF(E437="","",VLOOKUP(E437,Courses!$A$5:$G$10,2,FALSE))</f>
        <v/>
      </c>
      <c r="G437" s="32" t="str">
        <f>IF(E437="","",VLOOKUP(E437,Courses!$A$5:$G$10,3,FALSE))</f>
        <v/>
      </c>
      <c r="H437" s="4"/>
      <c r="I437" s="4"/>
      <c r="J437" s="36" t="str">
        <f>IF(I437="","",VLOOKUP(E437,Courses!$A$5:$G$10,6,FALSE))</f>
        <v/>
      </c>
      <c r="K437" s="32">
        <f t="shared" si="6"/>
        <v>0</v>
      </c>
      <c r="L437" s="4"/>
      <c r="M437" s="4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4"/>
      <c r="B438" s="4"/>
      <c r="C438" s="28"/>
      <c r="D438" s="4"/>
      <c r="E438" s="4"/>
      <c r="F438" s="3" t="str">
        <f>IF(E438="","",VLOOKUP(E438,Courses!$A$5:$G$10,2,FALSE))</f>
        <v/>
      </c>
      <c r="G438" s="32" t="str">
        <f>IF(E438="","",VLOOKUP(E438,Courses!$A$5:$G$10,3,FALSE))</f>
        <v/>
      </c>
      <c r="H438" s="4"/>
      <c r="I438" s="4"/>
      <c r="J438" s="36" t="str">
        <f>IF(I438="","",VLOOKUP(E438,Courses!$A$5:$G$10,6,FALSE))</f>
        <v/>
      </c>
      <c r="K438" s="32">
        <f t="shared" si="6"/>
        <v>0</v>
      </c>
      <c r="L438" s="4"/>
      <c r="M438" s="4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4"/>
      <c r="B439" s="4"/>
      <c r="C439" s="28"/>
      <c r="D439" s="4"/>
      <c r="E439" s="4"/>
      <c r="F439" s="3" t="str">
        <f>IF(E439="","",VLOOKUP(E439,Courses!$A$5:$G$10,2,FALSE))</f>
        <v/>
      </c>
      <c r="G439" s="32" t="str">
        <f>IF(E439="","",VLOOKUP(E439,Courses!$A$5:$G$10,3,FALSE))</f>
        <v/>
      </c>
      <c r="H439" s="4"/>
      <c r="I439" s="4"/>
      <c r="J439" s="36" t="str">
        <f>IF(I439="","",VLOOKUP(E439,Courses!$A$5:$G$10,6,FALSE))</f>
        <v/>
      </c>
      <c r="K439" s="32">
        <f t="shared" si="6"/>
        <v>0</v>
      </c>
      <c r="L439" s="4"/>
      <c r="M439" s="4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4"/>
      <c r="B440" s="4"/>
      <c r="C440" s="28"/>
      <c r="D440" s="4"/>
      <c r="E440" s="4"/>
      <c r="F440" s="3" t="str">
        <f>IF(E440="","",VLOOKUP(E440,Courses!$A$5:$G$10,2,FALSE))</f>
        <v/>
      </c>
      <c r="G440" s="32" t="str">
        <f>IF(E440="","",VLOOKUP(E440,Courses!$A$5:$G$10,3,FALSE))</f>
        <v/>
      </c>
      <c r="H440" s="4"/>
      <c r="I440" s="4"/>
      <c r="J440" s="36" t="str">
        <f>IF(I440="","",VLOOKUP(E440,Courses!$A$5:$G$10,6,FALSE))</f>
        <v/>
      </c>
      <c r="K440" s="32">
        <f t="shared" si="6"/>
        <v>0</v>
      </c>
      <c r="L440" s="4"/>
      <c r="M440" s="4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4"/>
      <c r="B441" s="4"/>
      <c r="C441" s="28"/>
      <c r="D441" s="4"/>
      <c r="E441" s="4"/>
      <c r="F441" s="3" t="str">
        <f>IF(E441="","",VLOOKUP(E441,Courses!$A$5:$G$10,2,FALSE))</f>
        <v/>
      </c>
      <c r="G441" s="32" t="str">
        <f>IF(E441="","",VLOOKUP(E441,Courses!$A$5:$G$10,3,FALSE))</f>
        <v/>
      </c>
      <c r="H441" s="4"/>
      <c r="I441" s="4"/>
      <c r="J441" s="36" t="str">
        <f>IF(I441="","",VLOOKUP(E441,Courses!$A$5:$G$10,6,FALSE))</f>
        <v/>
      </c>
      <c r="K441" s="32">
        <f t="shared" si="6"/>
        <v>0</v>
      </c>
      <c r="L441" s="4"/>
      <c r="M441" s="4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4"/>
      <c r="B442" s="4"/>
      <c r="C442" s="28"/>
      <c r="D442" s="4"/>
      <c r="E442" s="4"/>
      <c r="F442" s="3" t="str">
        <f>IF(E442="","",VLOOKUP(E442,Courses!$A$5:$G$10,2,FALSE))</f>
        <v/>
      </c>
      <c r="G442" s="32" t="str">
        <f>IF(E442="","",VLOOKUP(E442,Courses!$A$5:$G$10,3,FALSE))</f>
        <v/>
      </c>
      <c r="H442" s="4"/>
      <c r="I442" s="4"/>
      <c r="J442" s="36" t="str">
        <f>IF(I442="","",VLOOKUP(E442,Courses!$A$5:$G$10,6,FALSE))</f>
        <v/>
      </c>
      <c r="K442" s="32">
        <f t="shared" si="6"/>
        <v>0</v>
      </c>
      <c r="L442" s="4"/>
      <c r="M442" s="4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4"/>
      <c r="B443" s="4"/>
      <c r="C443" s="28"/>
      <c r="D443" s="4"/>
      <c r="E443" s="4"/>
      <c r="F443" s="3" t="str">
        <f>IF(E443="","",VLOOKUP(E443,Courses!$A$5:$G$10,2,FALSE))</f>
        <v/>
      </c>
      <c r="G443" s="32" t="str">
        <f>IF(E443="","",VLOOKUP(E443,Courses!$A$5:$G$10,3,FALSE))</f>
        <v/>
      </c>
      <c r="H443" s="4"/>
      <c r="I443" s="4"/>
      <c r="J443" s="36" t="str">
        <f>IF(I443="","",VLOOKUP(E443,Courses!$A$5:$G$10,6,FALSE))</f>
        <v/>
      </c>
      <c r="K443" s="32">
        <f t="shared" si="6"/>
        <v>0</v>
      </c>
      <c r="L443" s="4"/>
      <c r="M443" s="4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4"/>
      <c r="B444" s="4"/>
      <c r="C444" s="28"/>
      <c r="D444" s="4"/>
      <c r="E444" s="4"/>
      <c r="F444" s="3" t="str">
        <f>IF(E444="","",VLOOKUP(E444,Courses!$A$5:$G$10,2,FALSE))</f>
        <v/>
      </c>
      <c r="G444" s="32" t="str">
        <f>IF(E444="","",VLOOKUP(E444,Courses!$A$5:$G$10,3,FALSE))</f>
        <v/>
      </c>
      <c r="H444" s="4"/>
      <c r="I444" s="4"/>
      <c r="J444" s="36" t="str">
        <f>IF(I444="","",VLOOKUP(E444,Courses!$A$5:$G$10,6,FALSE))</f>
        <v/>
      </c>
      <c r="K444" s="32">
        <f t="shared" si="6"/>
        <v>0</v>
      </c>
      <c r="L444" s="4"/>
      <c r="M444" s="4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4"/>
      <c r="B445" s="4"/>
      <c r="C445" s="28"/>
      <c r="D445" s="4"/>
      <c r="E445" s="4"/>
      <c r="F445" s="3" t="str">
        <f>IF(E445="","",VLOOKUP(E445,Courses!$A$5:$G$10,2,FALSE))</f>
        <v/>
      </c>
      <c r="G445" s="32" t="str">
        <f>IF(E445="","",VLOOKUP(E445,Courses!$A$5:$G$10,3,FALSE))</f>
        <v/>
      </c>
      <c r="H445" s="4"/>
      <c r="I445" s="4"/>
      <c r="J445" s="36" t="str">
        <f>IF(I445="","",VLOOKUP(E445,Courses!$A$5:$G$10,6,FALSE))</f>
        <v/>
      </c>
      <c r="K445" s="32">
        <f t="shared" si="6"/>
        <v>0</v>
      </c>
      <c r="L445" s="4"/>
      <c r="M445" s="4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4"/>
      <c r="B446" s="4"/>
      <c r="C446" s="28"/>
      <c r="D446" s="4"/>
      <c r="E446" s="4"/>
      <c r="F446" s="3" t="str">
        <f>IF(E446="","",VLOOKUP(E446,Courses!$A$5:$G$10,2,FALSE))</f>
        <v/>
      </c>
      <c r="G446" s="32" t="str">
        <f>IF(E446="","",VLOOKUP(E446,Courses!$A$5:$G$10,3,FALSE))</f>
        <v/>
      </c>
      <c r="H446" s="4"/>
      <c r="I446" s="4"/>
      <c r="J446" s="36" t="str">
        <f>IF(I446="","",VLOOKUP(E446,Courses!$A$5:$G$10,6,FALSE))</f>
        <v/>
      </c>
      <c r="K446" s="32">
        <f t="shared" si="6"/>
        <v>0</v>
      </c>
      <c r="L446" s="4"/>
      <c r="M446" s="4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4"/>
      <c r="B447" s="4"/>
      <c r="C447" s="28"/>
      <c r="D447" s="4"/>
      <c r="E447" s="4"/>
      <c r="F447" s="3" t="str">
        <f>IF(E447="","",VLOOKUP(E447,Courses!$A$5:$G$10,2,FALSE))</f>
        <v/>
      </c>
      <c r="G447" s="32" t="str">
        <f>IF(E447="","",VLOOKUP(E447,Courses!$A$5:$G$10,3,FALSE))</f>
        <v/>
      </c>
      <c r="H447" s="4"/>
      <c r="I447" s="4"/>
      <c r="J447" s="36" t="str">
        <f>IF(I447="","",VLOOKUP(E447,Courses!$A$5:$G$10,6,FALSE))</f>
        <v/>
      </c>
      <c r="K447" s="32">
        <f t="shared" si="6"/>
        <v>0</v>
      </c>
      <c r="L447" s="4"/>
      <c r="M447" s="4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4"/>
      <c r="B448" s="4"/>
      <c r="C448" s="28"/>
      <c r="D448" s="4"/>
      <c r="E448" s="4"/>
      <c r="F448" s="3" t="str">
        <f>IF(E448="","",VLOOKUP(E448,Courses!$A$5:$G$10,2,FALSE))</f>
        <v/>
      </c>
      <c r="G448" s="32" t="str">
        <f>IF(E448="","",VLOOKUP(E448,Courses!$A$5:$G$10,3,FALSE))</f>
        <v/>
      </c>
      <c r="H448" s="4"/>
      <c r="I448" s="4"/>
      <c r="J448" s="36" t="str">
        <f>IF(I448="","",VLOOKUP(E448,Courses!$A$5:$G$10,6,FALSE))</f>
        <v/>
      </c>
      <c r="K448" s="32">
        <f t="shared" si="6"/>
        <v>0</v>
      </c>
      <c r="L448" s="4"/>
      <c r="M448" s="4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4"/>
      <c r="B449" s="4"/>
      <c r="C449" s="28"/>
      <c r="D449" s="4"/>
      <c r="E449" s="4"/>
      <c r="F449" s="3" t="str">
        <f>IF(E449="","",VLOOKUP(E449,Courses!$A$5:$G$10,2,FALSE))</f>
        <v/>
      </c>
      <c r="G449" s="32" t="str">
        <f>IF(E449="","",VLOOKUP(E449,Courses!$A$5:$G$10,3,FALSE))</f>
        <v/>
      </c>
      <c r="H449" s="4"/>
      <c r="I449" s="4"/>
      <c r="J449" s="36" t="str">
        <f>IF(I449="","",VLOOKUP(E449,Courses!$A$5:$G$10,6,FALSE))</f>
        <v/>
      </c>
      <c r="K449" s="32">
        <f t="shared" si="6"/>
        <v>0</v>
      </c>
      <c r="L449" s="4"/>
      <c r="M449" s="4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4"/>
      <c r="B450" s="4"/>
      <c r="C450" s="28"/>
      <c r="D450" s="4"/>
      <c r="E450" s="4"/>
      <c r="F450" s="3" t="str">
        <f>IF(E450="","",VLOOKUP(E450,Courses!$A$5:$G$10,2,FALSE))</f>
        <v/>
      </c>
      <c r="G450" s="32" t="str">
        <f>IF(E450="","",VLOOKUP(E450,Courses!$A$5:$G$10,3,FALSE))</f>
        <v/>
      </c>
      <c r="H450" s="4"/>
      <c r="I450" s="4"/>
      <c r="J450" s="36" t="str">
        <f>IF(I450="","",VLOOKUP(E450,Courses!$A$5:$G$10,6,FALSE))</f>
        <v/>
      </c>
      <c r="K450" s="32">
        <f t="shared" si="6"/>
        <v>0</v>
      </c>
      <c r="L450" s="4"/>
      <c r="M450" s="4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4"/>
      <c r="B451" s="4"/>
      <c r="C451" s="28"/>
      <c r="D451" s="4"/>
      <c r="E451" s="4"/>
      <c r="F451" s="3" t="str">
        <f>IF(E451="","",VLOOKUP(E451,Courses!$A$5:$G$10,2,FALSE))</f>
        <v/>
      </c>
      <c r="G451" s="32" t="str">
        <f>IF(E451="","",VLOOKUP(E451,Courses!$A$5:$G$10,3,FALSE))</f>
        <v/>
      </c>
      <c r="H451" s="4"/>
      <c r="I451" s="4"/>
      <c r="J451" s="36" t="str">
        <f>IF(I451="","",VLOOKUP(E451,Courses!$A$5:$G$10,6,FALSE))</f>
        <v/>
      </c>
      <c r="K451" s="32">
        <f t="shared" si="6"/>
        <v>0</v>
      </c>
      <c r="L451" s="4"/>
      <c r="M451" s="4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4"/>
      <c r="B452" s="4"/>
      <c r="C452" s="28"/>
      <c r="D452" s="4"/>
      <c r="E452" s="4"/>
      <c r="F452" s="3" t="str">
        <f>IF(E452="","",VLOOKUP(E452,Courses!$A$5:$G$10,2,FALSE))</f>
        <v/>
      </c>
      <c r="G452" s="32" t="str">
        <f>IF(E452="","",VLOOKUP(E452,Courses!$A$5:$G$10,3,FALSE))</f>
        <v/>
      </c>
      <c r="H452" s="4"/>
      <c r="I452" s="4"/>
      <c r="J452" s="36" t="str">
        <f>IF(I452="","",VLOOKUP(E452,Courses!$A$5:$G$10,6,FALSE))</f>
        <v/>
      </c>
      <c r="K452" s="32">
        <f t="shared" si="6"/>
        <v>0</v>
      </c>
      <c r="L452" s="4"/>
      <c r="M452" s="4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4"/>
      <c r="B453" s="4"/>
      <c r="C453" s="28"/>
      <c r="D453" s="4"/>
      <c r="E453" s="4"/>
      <c r="F453" s="3" t="str">
        <f>IF(E453="","",VLOOKUP(E453,Courses!$A$5:$G$10,2,FALSE))</f>
        <v/>
      </c>
      <c r="G453" s="32" t="str">
        <f>IF(E453="","",VLOOKUP(E453,Courses!$A$5:$G$10,3,FALSE))</f>
        <v/>
      </c>
      <c r="H453" s="4"/>
      <c r="I453" s="4"/>
      <c r="J453" s="36" t="str">
        <f>IF(I453="","",VLOOKUP(E453,Courses!$A$5:$G$10,6,FALSE))</f>
        <v/>
      </c>
      <c r="K453" s="32">
        <f t="shared" ref="K453:K504" si="7">IF(AND(H453="Paid",I453&lt;&gt;""),G453*J453,0)</f>
        <v>0</v>
      </c>
      <c r="L453" s="4"/>
      <c r="M453" s="4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4"/>
      <c r="B454" s="4"/>
      <c r="C454" s="28"/>
      <c r="D454" s="4"/>
      <c r="E454" s="4"/>
      <c r="F454" s="3" t="str">
        <f>IF(E454="","",VLOOKUP(E454,Courses!$A$5:$G$10,2,FALSE))</f>
        <v/>
      </c>
      <c r="G454" s="32" t="str">
        <f>IF(E454="","",VLOOKUP(E454,Courses!$A$5:$G$10,3,FALSE))</f>
        <v/>
      </c>
      <c r="H454" s="4"/>
      <c r="I454" s="4"/>
      <c r="J454" s="36" t="str">
        <f>IF(I454="","",VLOOKUP(E454,Courses!$A$5:$G$10,6,FALSE))</f>
        <v/>
      </c>
      <c r="K454" s="32">
        <f t="shared" si="7"/>
        <v>0</v>
      </c>
      <c r="L454" s="4"/>
      <c r="M454" s="4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4"/>
      <c r="B455" s="4"/>
      <c r="C455" s="28"/>
      <c r="D455" s="4"/>
      <c r="E455" s="4"/>
      <c r="F455" s="3" t="str">
        <f>IF(E455="","",VLOOKUP(E455,Courses!$A$5:$G$10,2,FALSE))</f>
        <v/>
      </c>
      <c r="G455" s="32" t="str">
        <f>IF(E455="","",VLOOKUP(E455,Courses!$A$5:$G$10,3,FALSE))</f>
        <v/>
      </c>
      <c r="H455" s="4"/>
      <c r="I455" s="4"/>
      <c r="J455" s="36" t="str">
        <f>IF(I455="","",VLOOKUP(E455,Courses!$A$5:$G$10,6,FALSE))</f>
        <v/>
      </c>
      <c r="K455" s="32">
        <f t="shared" si="7"/>
        <v>0</v>
      </c>
      <c r="L455" s="4"/>
      <c r="M455" s="4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4"/>
      <c r="B456" s="4"/>
      <c r="C456" s="28"/>
      <c r="D456" s="4"/>
      <c r="E456" s="4"/>
      <c r="F456" s="3" t="str">
        <f>IF(E456="","",VLOOKUP(E456,Courses!$A$5:$G$10,2,FALSE))</f>
        <v/>
      </c>
      <c r="G456" s="32" t="str">
        <f>IF(E456="","",VLOOKUP(E456,Courses!$A$5:$G$10,3,FALSE))</f>
        <v/>
      </c>
      <c r="H456" s="4"/>
      <c r="I456" s="4"/>
      <c r="J456" s="36" t="str">
        <f>IF(I456="","",VLOOKUP(E456,Courses!$A$5:$G$10,6,FALSE))</f>
        <v/>
      </c>
      <c r="K456" s="32">
        <f t="shared" si="7"/>
        <v>0</v>
      </c>
      <c r="L456" s="4"/>
      <c r="M456" s="4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4"/>
      <c r="B457" s="4"/>
      <c r="C457" s="28"/>
      <c r="D457" s="4"/>
      <c r="E457" s="4"/>
      <c r="F457" s="3" t="str">
        <f>IF(E457="","",VLOOKUP(E457,Courses!$A$5:$G$10,2,FALSE))</f>
        <v/>
      </c>
      <c r="G457" s="32" t="str">
        <f>IF(E457="","",VLOOKUP(E457,Courses!$A$5:$G$10,3,FALSE))</f>
        <v/>
      </c>
      <c r="H457" s="4"/>
      <c r="I457" s="4"/>
      <c r="J457" s="36" t="str">
        <f>IF(I457="","",VLOOKUP(E457,Courses!$A$5:$G$10,6,FALSE))</f>
        <v/>
      </c>
      <c r="K457" s="32">
        <f t="shared" si="7"/>
        <v>0</v>
      </c>
      <c r="L457" s="4"/>
      <c r="M457" s="4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4"/>
      <c r="B458" s="4"/>
      <c r="C458" s="28"/>
      <c r="D458" s="4"/>
      <c r="E458" s="4"/>
      <c r="F458" s="3" t="str">
        <f>IF(E458="","",VLOOKUP(E458,Courses!$A$5:$G$10,2,FALSE))</f>
        <v/>
      </c>
      <c r="G458" s="32" t="str">
        <f>IF(E458="","",VLOOKUP(E458,Courses!$A$5:$G$10,3,FALSE))</f>
        <v/>
      </c>
      <c r="H458" s="4"/>
      <c r="I458" s="4"/>
      <c r="J458" s="36" t="str">
        <f>IF(I458="","",VLOOKUP(E458,Courses!$A$5:$G$10,6,FALSE))</f>
        <v/>
      </c>
      <c r="K458" s="32">
        <f t="shared" si="7"/>
        <v>0</v>
      </c>
      <c r="L458" s="4"/>
      <c r="M458" s="4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4"/>
      <c r="B459" s="4"/>
      <c r="C459" s="28"/>
      <c r="D459" s="4"/>
      <c r="E459" s="4"/>
      <c r="F459" s="3" t="str">
        <f>IF(E459="","",VLOOKUP(E459,Courses!$A$5:$G$10,2,FALSE))</f>
        <v/>
      </c>
      <c r="G459" s="32" t="str">
        <f>IF(E459="","",VLOOKUP(E459,Courses!$A$5:$G$10,3,FALSE))</f>
        <v/>
      </c>
      <c r="H459" s="4"/>
      <c r="I459" s="4"/>
      <c r="J459" s="36" t="str">
        <f>IF(I459="","",VLOOKUP(E459,Courses!$A$5:$G$10,6,FALSE))</f>
        <v/>
      </c>
      <c r="K459" s="32">
        <f t="shared" si="7"/>
        <v>0</v>
      </c>
      <c r="L459" s="4"/>
      <c r="M459" s="4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4"/>
      <c r="B460" s="4"/>
      <c r="C460" s="28"/>
      <c r="D460" s="4"/>
      <c r="E460" s="4"/>
      <c r="F460" s="3" t="str">
        <f>IF(E460="","",VLOOKUP(E460,Courses!$A$5:$G$10,2,FALSE))</f>
        <v/>
      </c>
      <c r="G460" s="32" t="str">
        <f>IF(E460="","",VLOOKUP(E460,Courses!$A$5:$G$10,3,FALSE))</f>
        <v/>
      </c>
      <c r="H460" s="4"/>
      <c r="I460" s="4"/>
      <c r="J460" s="36" t="str">
        <f>IF(I460="","",VLOOKUP(E460,Courses!$A$5:$G$10,6,FALSE))</f>
        <v/>
      </c>
      <c r="K460" s="32">
        <f t="shared" si="7"/>
        <v>0</v>
      </c>
      <c r="L460" s="4"/>
      <c r="M460" s="4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4"/>
      <c r="B461" s="4"/>
      <c r="C461" s="28"/>
      <c r="D461" s="4"/>
      <c r="E461" s="4"/>
      <c r="F461" s="3" t="str">
        <f>IF(E461="","",VLOOKUP(E461,Courses!$A$5:$G$10,2,FALSE))</f>
        <v/>
      </c>
      <c r="G461" s="32" t="str">
        <f>IF(E461="","",VLOOKUP(E461,Courses!$A$5:$G$10,3,FALSE))</f>
        <v/>
      </c>
      <c r="H461" s="4"/>
      <c r="I461" s="4"/>
      <c r="J461" s="36" t="str">
        <f>IF(I461="","",VLOOKUP(E461,Courses!$A$5:$G$10,6,FALSE))</f>
        <v/>
      </c>
      <c r="K461" s="32">
        <f t="shared" si="7"/>
        <v>0</v>
      </c>
      <c r="L461" s="4"/>
      <c r="M461" s="4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4"/>
      <c r="B462" s="4"/>
      <c r="C462" s="28"/>
      <c r="D462" s="4"/>
      <c r="E462" s="4"/>
      <c r="F462" s="3" t="str">
        <f>IF(E462="","",VLOOKUP(E462,Courses!$A$5:$G$10,2,FALSE))</f>
        <v/>
      </c>
      <c r="G462" s="32" t="str">
        <f>IF(E462="","",VLOOKUP(E462,Courses!$A$5:$G$10,3,FALSE))</f>
        <v/>
      </c>
      <c r="H462" s="4"/>
      <c r="I462" s="4"/>
      <c r="J462" s="36" t="str">
        <f>IF(I462="","",VLOOKUP(E462,Courses!$A$5:$G$10,6,FALSE))</f>
        <v/>
      </c>
      <c r="K462" s="32">
        <f t="shared" si="7"/>
        <v>0</v>
      </c>
      <c r="L462" s="4"/>
      <c r="M462" s="4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4"/>
      <c r="B463" s="4"/>
      <c r="C463" s="28"/>
      <c r="D463" s="4"/>
      <c r="E463" s="4"/>
      <c r="F463" s="3" t="str">
        <f>IF(E463="","",VLOOKUP(E463,Courses!$A$5:$G$10,2,FALSE))</f>
        <v/>
      </c>
      <c r="G463" s="32" t="str">
        <f>IF(E463="","",VLOOKUP(E463,Courses!$A$5:$G$10,3,FALSE))</f>
        <v/>
      </c>
      <c r="H463" s="4"/>
      <c r="I463" s="4"/>
      <c r="J463" s="36" t="str">
        <f>IF(I463="","",VLOOKUP(E463,Courses!$A$5:$G$10,6,FALSE))</f>
        <v/>
      </c>
      <c r="K463" s="32">
        <f t="shared" si="7"/>
        <v>0</v>
      </c>
      <c r="L463" s="4"/>
      <c r="M463" s="4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4"/>
      <c r="B464" s="4"/>
      <c r="C464" s="28"/>
      <c r="D464" s="4"/>
      <c r="E464" s="4"/>
      <c r="F464" s="3" t="str">
        <f>IF(E464="","",VLOOKUP(E464,Courses!$A$5:$G$10,2,FALSE))</f>
        <v/>
      </c>
      <c r="G464" s="32" t="str">
        <f>IF(E464="","",VLOOKUP(E464,Courses!$A$5:$G$10,3,FALSE))</f>
        <v/>
      </c>
      <c r="H464" s="4"/>
      <c r="I464" s="4"/>
      <c r="J464" s="36" t="str">
        <f>IF(I464="","",VLOOKUP(E464,Courses!$A$5:$G$10,6,FALSE))</f>
        <v/>
      </c>
      <c r="K464" s="32">
        <f t="shared" si="7"/>
        <v>0</v>
      </c>
      <c r="L464" s="4"/>
      <c r="M464" s="4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4"/>
      <c r="B465" s="4"/>
      <c r="C465" s="28"/>
      <c r="D465" s="4"/>
      <c r="E465" s="4"/>
      <c r="F465" s="3" t="str">
        <f>IF(E465="","",VLOOKUP(E465,Courses!$A$5:$G$10,2,FALSE))</f>
        <v/>
      </c>
      <c r="G465" s="32" t="str">
        <f>IF(E465="","",VLOOKUP(E465,Courses!$A$5:$G$10,3,FALSE))</f>
        <v/>
      </c>
      <c r="H465" s="4"/>
      <c r="I465" s="4"/>
      <c r="J465" s="36" t="str">
        <f>IF(I465="","",VLOOKUP(E465,Courses!$A$5:$G$10,6,FALSE))</f>
        <v/>
      </c>
      <c r="K465" s="32">
        <f t="shared" si="7"/>
        <v>0</v>
      </c>
      <c r="L465" s="4"/>
      <c r="M465" s="4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4"/>
      <c r="B466" s="4"/>
      <c r="C466" s="28"/>
      <c r="D466" s="4"/>
      <c r="E466" s="4"/>
      <c r="F466" s="3" t="str">
        <f>IF(E466="","",VLOOKUP(E466,Courses!$A$5:$G$10,2,FALSE))</f>
        <v/>
      </c>
      <c r="G466" s="32" t="str">
        <f>IF(E466="","",VLOOKUP(E466,Courses!$A$5:$G$10,3,FALSE))</f>
        <v/>
      </c>
      <c r="H466" s="4"/>
      <c r="I466" s="4"/>
      <c r="J466" s="36" t="str">
        <f>IF(I466="","",VLOOKUP(E466,Courses!$A$5:$G$10,6,FALSE))</f>
        <v/>
      </c>
      <c r="K466" s="32">
        <f t="shared" si="7"/>
        <v>0</v>
      </c>
      <c r="L466" s="4"/>
      <c r="M466" s="4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4"/>
      <c r="B467" s="4"/>
      <c r="C467" s="28"/>
      <c r="D467" s="4"/>
      <c r="E467" s="4"/>
      <c r="F467" s="3" t="str">
        <f>IF(E467="","",VLOOKUP(E467,Courses!$A$5:$G$10,2,FALSE))</f>
        <v/>
      </c>
      <c r="G467" s="32" t="str">
        <f>IF(E467="","",VLOOKUP(E467,Courses!$A$5:$G$10,3,FALSE))</f>
        <v/>
      </c>
      <c r="H467" s="4"/>
      <c r="I467" s="4"/>
      <c r="J467" s="36" t="str">
        <f>IF(I467="","",VLOOKUP(E467,Courses!$A$5:$G$10,6,FALSE))</f>
        <v/>
      </c>
      <c r="K467" s="32">
        <f t="shared" si="7"/>
        <v>0</v>
      </c>
      <c r="L467" s="4"/>
      <c r="M467" s="4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4"/>
      <c r="B468" s="4"/>
      <c r="C468" s="28"/>
      <c r="D468" s="4"/>
      <c r="E468" s="4"/>
      <c r="F468" s="3" t="str">
        <f>IF(E468="","",VLOOKUP(E468,Courses!$A$5:$G$10,2,FALSE))</f>
        <v/>
      </c>
      <c r="G468" s="32" t="str">
        <f>IF(E468="","",VLOOKUP(E468,Courses!$A$5:$G$10,3,FALSE))</f>
        <v/>
      </c>
      <c r="H468" s="4"/>
      <c r="I468" s="4"/>
      <c r="J468" s="36" t="str">
        <f>IF(I468="","",VLOOKUP(E468,Courses!$A$5:$G$10,6,FALSE))</f>
        <v/>
      </c>
      <c r="K468" s="32">
        <f t="shared" si="7"/>
        <v>0</v>
      </c>
      <c r="L468" s="4"/>
      <c r="M468" s="4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4"/>
      <c r="B469" s="4"/>
      <c r="C469" s="28"/>
      <c r="D469" s="4"/>
      <c r="E469" s="4"/>
      <c r="F469" s="3" t="str">
        <f>IF(E469="","",VLOOKUP(E469,Courses!$A$5:$G$10,2,FALSE))</f>
        <v/>
      </c>
      <c r="G469" s="32" t="str">
        <f>IF(E469="","",VLOOKUP(E469,Courses!$A$5:$G$10,3,FALSE))</f>
        <v/>
      </c>
      <c r="H469" s="4"/>
      <c r="I469" s="4"/>
      <c r="J469" s="36" t="str">
        <f>IF(I469="","",VLOOKUP(E469,Courses!$A$5:$G$10,6,FALSE))</f>
        <v/>
      </c>
      <c r="K469" s="32">
        <f t="shared" si="7"/>
        <v>0</v>
      </c>
      <c r="L469" s="4"/>
      <c r="M469" s="4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4"/>
      <c r="B470" s="4"/>
      <c r="C470" s="28"/>
      <c r="D470" s="4"/>
      <c r="E470" s="4"/>
      <c r="F470" s="3" t="str">
        <f>IF(E470="","",VLOOKUP(E470,Courses!$A$5:$G$10,2,FALSE))</f>
        <v/>
      </c>
      <c r="G470" s="32" t="str">
        <f>IF(E470="","",VLOOKUP(E470,Courses!$A$5:$G$10,3,FALSE))</f>
        <v/>
      </c>
      <c r="H470" s="4"/>
      <c r="I470" s="4"/>
      <c r="J470" s="36" t="str">
        <f>IF(I470="","",VLOOKUP(E470,Courses!$A$5:$G$10,6,FALSE))</f>
        <v/>
      </c>
      <c r="K470" s="32">
        <f t="shared" si="7"/>
        <v>0</v>
      </c>
      <c r="L470" s="4"/>
      <c r="M470" s="4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4"/>
      <c r="B471" s="4"/>
      <c r="C471" s="28"/>
      <c r="D471" s="4"/>
      <c r="E471" s="4"/>
      <c r="F471" s="3" t="str">
        <f>IF(E471="","",VLOOKUP(E471,Courses!$A$5:$G$10,2,FALSE))</f>
        <v/>
      </c>
      <c r="G471" s="32" t="str">
        <f>IF(E471="","",VLOOKUP(E471,Courses!$A$5:$G$10,3,FALSE))</f>
        <v/>
      </c>
      <c r="H471" s="4"/>
      <c r="I471" s="4"/>
      <c r="J471" s="36" t="str">
        <f>IF(I471="","",VLOOKUP(E471,Courses!$A$5:$G$10,6,FALSE))</f>
        <v/>
      </c>
      <c r="K471" s="32">
        <f t="shared" si="7"/>
        <v>0</v>
      </c>
      <c r="L471" s="4"/>
      <c r="M471" s="4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4"/>
      <c r="B472" s="4"/>
      <c r="C472" s="28"/>
      <c r="D472" s="4"/>
      <c r="E472" s="4"/>
      <c r="F472" s="3" t="str">
        <f>IF(E472="","",VLOOKUP(E472,Courses!$A$5:$G$10,2,FALSE))</f>
        <v/>
      </c>
      <c r="G472" s="32" t="str">
        <f>IF(E472="","",VLOOKUP(E472,Courses!$A$5:$G$10,3,FALSE))</f>
        <v/>
      </c>
      <c r="H472" s="4"/>
      <c r="I472" s="4"/>
      <c r="J472" s="36" t="str">
        <f>IF(I472="","",VLOOKUP(E472,Courses!$A$5:$G$10,6,FALSE))</f>
        <v/>
      </c>
      <c r="K472" s="32">
        <f t="shared" si="7"/>
        <v>0</v>
      </c>
      <c r="L472" s="4"/>
      <c r="M472" s="4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4"/>
      <c r="B473" s="4"/>
      <c r="C473" s="28"/>
      <c r="D473" s="4"/>
      <c r="E473" s="4"/>
      <c r="F473" s="3" t="str">
        <f>IF(E473="","",VLOOKUP(E473,Courses!$A$5:$G$10,2,FALSE))</f>
        <v/>
      </c>
      <c r="G473" s="32" t="str">
        <f>IF(E473="","",VLOOKUP(E473,Courses!$A$5:$G$10,3,FALSE))</f>
        <v/>
      </c>
      <c r="H473" s="4"/>
      <c r="I473" s="4"/>
      <c r="J473" s="36" t="str">
        <f>IF(I473="","",VLOOKUP(E473,Courses!$A$5:$G$10,6,FALSE))</f>
        <v/>
      </c>
      <c r="K473" s="32">
        <f t="shared" si="7"/>
        <v>0</v>
      </c>
      <c r="L473" s="4"/>
      <c r="M473" s="4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4"/>
      <c r="B474" s="4"/>
      <c r="C474" s="28"/>
      <c r="D474" s="4"/>
      <c r="E474" s="4"/>
      <c r="F474" s="3" t="str">
        <f>IF(E474="","",VLOOKUP(E474,Courses!$A$5:$G$10,2,FALSE))</f>
        <v/>
      </c>
      <c r="G474" s="32" t="str">
        <f>IF(E474="","",VLOOKUP(E474,Courses!$A$5:$G$10,3,FALSE))</f>
        <v/>
      </c>
      <c r="H474" s="4"/>
      <c r="I474" s="4"/>
      <c r="J474" s="36" t="str">
        <f>IF(I474="","",VLOOKUP(E474,Courses!$A$5:$G$10,6,FALSE))</f>
        <v/>
      </c>
      <c r="K474" s="32">
        <f t="shared" si="7"/>
        <v>0</v>
      </c>
      <c r="L474" s="4"/>
      <c r="M474" s="4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4"/>
      <c r="B475" s="4"/>
      <c r="C475" s="28"/>
      <c r="D475" s="4"/>
      <c r="E475" s="4"/>
      <c r="F475" s="3" t="str">
        <f>IF(E475="","",VLOOKUP(E475,Courses!$A$5:$G$10,2,FALSE))</f>
        <v/>
      </c>
      <c r="G475" s="32" t="str">
        <f>IF(E475="","",VLOOKUP(E475,Courses!$A$5:$G$10,3,FALSE))</f>
        <v/>
      </c>
      <c r="H475" s="4"/>
      <c r="I475" s="4"/>
      <c r="J475" s="36" t="str">
        <f>IF(I475="","",VLOOKUP(E475,Courses!$A$5:$G$10,6,FALSE))</f>
        <v/>
      </c>
      <c r="K475" s="32">
        <f t="shared" si="7"/>
        <v>0</v>
      </c>
      <c r="L475" s="4"/>
      <c r="M475" s="4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4"/>
      <c r="B476" s="4"/>
      <c r="C476" s="28"/>
      <c r="D476" s="4"/>
      <c r="E476" s="4"/>
      <c r="F476" s="3" t="str">
        <f>IF(E476="","",VLOOKUP(E476,Courses!$A$5:$G$10,2,FALSE))</f>
        <v/>
      </c>
      <c r="G476" s="32" t="str">
        <f>IF(E476="","",VLOOKUP(E476,Courses!$A$5:$G$10,3,FALSE))</f>
        <v/>
      </c>
      <c r="H476" s="4"/>
      <c r="I476" s="4"/>
      <c r="J476" s="36" t="str">
        <f>IF(I476="","",VLOOKUP(E476,Courses!$A$5:$G$10,6,FALSE))</f>
        <v/>
      </c>
      <c r="K476" s="32">
        <f t="shared" si="7"/>
        <v>0</v>
      </c>
      <c r="L476" s="4"/>
      <c r="M476" s="4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4"/>
      <c r="B477" s="4"/>
      <c r="C477" s="28"/>
      <c r="D477" s="4"/>
      <c r="E477" s="4"/>
      <c r="F477" s="3" t="str">
        <f>IF(E477="","",VLOOKUP(E477,Courses!$A$5:$G$10,2,FALSE))</f>
        <v/>
      </c>
      <c r="G477" s="32" t="str">
        <f>IF(E477="","",VLOOKUP(E477,Courses!$A$5:$G$10,3,FALSE))</f>
        <v/>
      </c>
      <c r="H477" s="4"/>
      <c r="I477" s="4"/>
      <c r="J477" s="36" t="str">
        <f>IF(I477="","",VLOOKUP(E477,Courses!$A$5:$G$10,6,FALSE))</f>
        <v/>
      </c>
      <c r="K477" s="32">
        <f t="shared" si="7"/>
        <v>0</v>
      </c>
      <c r="L477" s="4"/>
      <c r="M477" s="4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4"/>
      <c r="B478" s="4"/>
      <c r="C478" s="28"/>
      <c r="D478" s="4"/>
      <c r="E478" s="4"/>
      <c r="F478" s="3" t="str">
        <f>IF(E478="","",VLOOKUP(E478,Courses!$A$5:$G$10,2,FALSE))</f>
        <v/>
      </c>
      <c r="G478" s="32" t="str">
        <f>IF(E478="","",VLOOKUP(E478,Courses!$A$5:$G$10,3,FALSE))</f>
        <v/>
      </c>
      <c r="H478" s="4"/>
      <c r="I478" s="4"/>
      <c r="J478" s="36" t="str">
        <f>IF(I478="","",VLOOKUP(E478,Courses!$A$5:$G$10,6,FALSE))</f>
        <v/>
      </c>
      <c r="K478" s="32">
        <f t="shared" si="7"/>
        <v>0</v>
      </c>
      <c r="L478" s="4"/>
      <c r="M478" s="4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4"/>
      <c r="B479" s="4"/>
      <c r="C479" s="28"/>
      <c r="D479" s="4"/>
      <c r="E479" s="4"/>
      <c r="F479" s="3" t="str">
        <f>IF(E479="","",VLOOKUP(E479,Courses!$A$5:$G$10,2,FALSE))</f>
        <v/>
      </c>
      <c r="G479" s="32" t="str">
        <f>IF(E479="","",VLOOKUP(E479,Courses!$A$5:$G$10,3,FALSE))</f>
        <v/>
      </c>
      <c r="H479" s="4"/>
      <c r="I479" s="4"/>
      <c r="J479" s="36" t="str">
        <f>IF(I479="","",VLOOKUP(E479,Courses!$A$5:$G$10,6,FALSE))</f>
        <v/>
      </c>
      <c r="K479" s="32">
        <f t="shared" si="7"/>
        <v>0</v>
      </c>
      <c r="L479" s="4"/>
      <c r="M479" s="4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4"/>
      <c r="B480" s="4"/>
      <c r="C480" s="28"/>
      <c r="D480" s="4"/>
      <c r="E480" s="4"/>
      <c r="F480" s="3" t="str">
        <f>IF(E480="","",VLOOKUP(E480,Courses!$A$5:$G$10,2,FALSE))</f>
        <v/>
      </c>
      <c r="G480" s="32" t="str">
        <f>IF(E480="","",VLOOKUP(E480,Courses!$A$5:$G$10,3,FALSE))</f>
        <v/>
      </c>
      <c r="H480" s="4"/>
      <c r="I480" s="4"/>
      <c r="J480" s="36" t="str">
        <f>IF(I480="","",VLOOKUP(E480,Courses!$A$5:$G$10,6,FALSE))</f>
        <v/>
      </c>
      <c r="K480" s="32">
        <f t="shared" si="7"/>
        <v>0</v>
      </c>
      <c r="L480" s="4"/>
      <c r="M480" s="4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4"/>
      <c r="B481" s="4"/>
      <c r="C481" s="28"/>
      <c r="D481" s="4"/>
      <c r="E481" s="4"/>
      <c r="F481" s="3" t="str">
        <f>IF(E481="","",VLOOKUP(E481,Courses!$A$5:$G$10,2,FALSE))</f>
        <v/>
      </c>
      <c r="G481" s="32" t="str">
        <f>IF(E481="","",VLOOKUP(E481,Courses!$A$5:$G$10,3,FALSE))</f>
        <v/>
      </c>
      <c r="H481" s="4"/>
      <c r="I481" s="4"/>
      <c r="J481" s="36" t="str">
        <f>IF(I481="","",VLOOKUP(E481,Courses!$A$5:$G$10,6,FALSE))</f>
        <v/>
      </c>
      <c r="K481" s="32">
        <f t="shared" si="7"/>
        <v>0</v>
      </c>
      <c r="L481" s="4"/>
      <c r="M481" s="4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4"/>
      <c r="B482" s="4"/>
      <c r="C482" s="28"/>
      <c r="D482" s="4"/>
      <c r="E482" s="4"/>
      <c r="F482" s="3" t="str">
        <f>IF(E482="","",VLOOKUP(E482,Courses!$A$5:$G$10,2,FALSE))</f>
        <v/>
      </c>
      <c r="G482" s="32" t="str">
        <f>IF(E482="","",VLOOKUP(E482,Courses!$A$5:$G$10,3,FALSE))</f>
        <v/>
      </c>
      <c r="H482" s="4"/>
      <c r="I482" s="4"/>
      <c r="J482" s="36" t="str">
        <f>IF(I482="","",VLOOKUP(E482,Courses!$A$5:$G$10,6,FALSE))</f>
        <v/>
      </c>
      <c r="K482" s="32">
        <f t="shared" si="7"/>
        <v>0</v>
      </c>
      <c r="L482" s="4"/>
      <c r="M482" s="4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4"/>
      <c r="B483" s="4"/>
      <c r="C483" s="28"/>
      <c r="D483" s="4"/>
      <c r="E483" s="4"/>
      <c r="F483" s="3" t="str">
        <f>IF(E483="","",VLOOKUP(E483,Courses!$A$5:$G$10,2,FALSE))</f>
        <v/>
      </c>
      <c r="G483" s="32" t="str">
        <f>IF(E483="","",VLOOKUP(E483,Courses!$A$5:$G$10,3,FALSE))</f>
        <v/>
      </c>
      <c r="H483" s="4"/>
      <c r="I483" s="4"/>
      <c r="J483" s="36" t="str">
        <f>IF(I483="","",VLOOKUP(E483,Courses!$A$5:$G$10,6,FALSE))</f>
        <v/>
      </c>
      <c r="K483" s="32">
        <f t="shared" si="7"/>
        <v>0</v>
      </c>
      <c r="L483" s="4"/>
      <c r="M483" s="4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4"/>
      <c r="B484" s="4"/>
      <c r="C484" s="28"/>
      <c r="D484" s="4"/>
      <c r="E484" s="4"/>
      <c r="F484" s="3" t="str">
        <f>IF(E484="","",VLOOKUP(E484,Courses!$A$5:$G$10,2,FALSE))</f>
        <v/>
      </c>
      <c r="G484" s="32" t="str">
        <f>IF(E484="","",VLOOKUP(E484,Courses!$A$5:$G$10,3,FALSE))</f>
        <v/>
      </c>
      <c r="H484" s="4"/>
      <c r="I484" s="4"/>
      <c r="J484" s="36" t="str">
        <f>IF(I484="","",VLOOKUP(E484,Courses!$A$5:$G$10,6,FALSE))</f>
        <v/>
      </c>
      <c r="K484" s="32">
        <f t="shared" si="7"/>
        <v>0</v>
      </c>
      <c r="L484" s="4"/>
      <c r="M484" s="4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4"/>
      <c r="B485" s="4"/>
      <c r="C485" s="28"/>
      <c r="D485" s="4"/>
      <c r="E485" s="4"/>
      <c r="F485" s="3" t="str">
        <f>IF(E485="","",VLOOKUP(E485,Courses!$A$5:$G$10,2,FALSE))</f>
        <v/>
      </c>
      <c r="G485" s="32" t="str">
        <f>IF(E485="","",VLOOKUP(E485,Courses!$A$5:$G$10,3,FALSE))</f>
        <v/>
      </c>
      <c r="H485" s="4"/>
      <c r="I485" s="4"/>
      <c r="J485" s="36" t="str">
        <f>IF(I485="","",VLOOKUP(E485,Courses!$A$5:$G$10,6,FALSE))</f>
        <v/>
      </c>
      <c r="K485" s="32">
        <f t="shared" si="7"/>
        <v>0</v>
      </c>
      <c r="L485" s="4"/>
      <c r="M485" s="4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4"/>
      <c r="B486" s="4"/>
      <c r="C486" s="28"/>
      <c r="D486" s="4"/>
      <c r="E486" s="4"/>
      <c r="F486" s="3" t="str">
        <f>IF(E486="","",VLOOKUP(E486,Courses!$A$5:$G$10,2,FALSE))</f>
        <v/>
      </c>
      <c r="G486" s="32" t="str">
        <f>IF(E486="","",VLOOKUP(E486,Courses!$A$5:$G$10,3,FALSE))</f>
        <v/>
      </c>
      <c r="H486" s="4"/>
      <c r="I486" s="4"/>
      <c r="J486" s="36" t="str">
        <f>IF(I486="","",VLOOKUP(E486,Courses!$A$5:$G$10,6,FALSE))</f>
        <v/>
      </c>
      <c r="K486" s="32">
        <f t="shared" si="7"/>
        <v>0</v>
      </c>
      <c r="L486" s="4"/>
      <c r="M486" s="4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4"/>
      <c r="B487" s="4"/>
      <c r="C487" s="28"/>
      <c r="D487" s="4"/>
      <c r="E487" s="4"/>
      <c r="F487" s="3" t="str">
        <f>IF(E487="","",VLOOKUP(E487,Courses!$A$5:$G$10,2,FALSE))</f>
        <v/>
      </c>
      <c r="G487" s="32" t="str">
        <f>IF(E487="","",VLOOKUP(E487,Courses!$A$5:$G$10,3,FALSE))</f>
        <v/>
      </c>
      <c r="H487" s="4"/>
      <c r="I487" s="4"/>
      <c r="J487" s="36" t="str">
        <f>IF(I487="","",VLOOKUP(E487,Courses!$A$5:$G$10,6,FALSE))</f>
        <v/>
      </c>
      <c r="K487" s="32">
        <f t="shared" si="7"/>
        <v>0</v>
      </c>
      <c r="L487" s="4"/>
      <c r="M487" s="4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4"/>
      <c r="B488" s="4"/>
      <c r="C488" s="28"/>
      <c r="D488" s="4"/>
      <c r="E488" s="4"/>
      <c r="F488" s="3" t="str">
        <f>IF(E488="","",VLOOKUP(E488,Courses!$A$5:$G$10,2,FALSE))</f>
        <v/>
      </c>
      <c r="G488" s="32" t="str">
        <f>IF(E488="","",VLOOKUP(E488,Courses!$A$5:$G$10,3,FALSE))</f>
        <v/>
      </c>
      <c r="H488" s="4"/>
      <c r="I488" s="4"/>
      <c r="J488" s="36" t="str">
        <f>IF(I488="","",VLOOKUP(E488,Courses!$A$5:$G$10,6,FALSE))</f>
        <v/>
      </c>
      <c r="K488" s="32">
        <f t="shared" si="7"/>
        <v>0</v>
      </c>
      <c r="L488" s="4"/>
      <c r="M488" s="4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4"/>
      <c r="B489" s="4"/>
      <c r="C489" s="28"/>
      <c r="D489" s="4"/>
      <c r="E489" s="4"/>
      <c r="F489" s="3" t="str">
        <f>IF(E489="","",VLOOKUP(E489,Courses!$A$5:$G$10,2,FALSE))</f>
        <v/>
      </c>
      <c r="G489" s="32" t="str">
        <f>IF(E489="","",VLOOKUP(E489,Courses!$A$5:$G$10,3,FALSE))</f>
        <v/>
      </c>
      <c r="H489" s="4"/>
      <c r="I489" s="4"/>
      <c r="J489" s="36" t="str">
        <f>IF(I489="","",VLOOKUP(E489,Courses!$A$5:$G$10,6,FALSE))</f>
        <v/>
      </c>
      <c r="K489" s="32">
        <f t="shared" si="7"/>
        <v>0</v>
      </c>
      <c r="L489" s="4"/>
      <c r="M489" s="4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4"/>
      <c r="B490" s="4"/>
      <c r="C490" s="28"/>
      <c r="D490" s="4"/>
      <c r="E490" s="4"/>
      <c r="F490" s="3" t="str">
        <f>IF(E490="","",VLOOKUP(E490,Courses!$A$5:$G$10,2,FALSE))</f>
        <v/>
      </c>
      <c r="G490" s="32" t="str">
        <f>IF(E490="","",VLOOKUP(E490,Courses!$A$5:$G$10,3,FALSE))</f>
        <v/>
      </c>
      <c r="H490" s="4"/>
      <c r="I490" s="4"/>
      <c r="J490" s="36" t="str">
        <f>IF(I490="","",VLOOKUP(E490,Courses!$A$5:$G$10,6,FALSE))</f>
        <v/>
      </c>
      <c r="K490" s="32">
        <f t="shared" si="7"/>
        <v>0</v>
      </c>
      <c r="L490" s="4"/>
      <c r="M490" s="4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4"/>
      <c r="B491" s="4"/>
      <c r="C491" s="28"/>
      <c r="D491" s="4"/>
      <c r="E491" s="4"/>
      <c r="F491" s="3" t="str">
        <f>IF(E491="","",VLOOKUP(E491,Courses!$A$5:$G$10,2,FALSE))</f>
        <v/>
      </c>
      <c r="G491" s="32" t="str">
        <f>IF(E491="","",VLOOKUP(E491,Courses!$A$5:$G$10,3,FALSE))</f>
        <v/>
      </c>
      <c r="H491" s="4"/>
      <c r="I491" s="4"/>
      <c r="J491" s="36" t="str">
        <f>IF(I491="","",VLOOKUP(E491,Courses!$A$5:$G$10,6,FALSE))</f>
        <v/>
      </c>
      <c r="K491" s="32">
        <f t="shared" si="7"/>
        <v>0</v>
      </c>
      <c r="L491" s="4"/>
      <c r="M491" s="4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4"/>
      <c r="B492" s="4"/>
      <c r="C492" s="28"/>
      <c r="D492" s="4"/>
      <c r="E492" s="4"/>
      <c r="F492" s="3" t="str">
        <f>IF(E492="","",VLOOKUP(E492,Courses!$A$5:$G$10,2,FALSE))</f>
        <v/>
      </c>
      <c r="G492" s="32" t="str">
        <f>IF(E492="","",VLOOKUP(E492,Courses!$A$5:$G$10,3,FALSE))</f>
        <v/>
      </c>
      <c r="H492" s="4"/>
      <c r="I492" s="4"/>
      <c r="J492" s="36" t="str">
        <f>IF(I492="","",VLOOKUP(E492,Courses!$A$5:$G$10,6,FALSE))</f>
        <v/>
      </c>
      <c r="K492" s="32">
        <f t="shared" si="7"/>
        <v>0</v>
      </c>
      <c r="L492" s="4"/>
      <c r="M492" s="4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4"/>
      <c r="B493" s="4"/>
      <c r="C493" s="28"/>
      <c r="D493" s="4"/>
      <c r="E493" s="4"/>
      <c r="F493" s="3" t="str">
        <f>IF(E493="","",VLOOKUP(E493,Courses!$A$5:$G$10,2,FALSE))</f>
        <v/>
      </c>
      <c r="G493" s="32" t="str">
        <f>IF(E493="","",VLOOKUP(E493,Courses!$A$5:$G$10,3,FALSE))</f>
        <v/>
      </c>
      <c r="H493" s="4"/>
      <c r="I493" s="4"/>
      <c r="J493" s="36" t="str">
        <f>IF(I493="","",VLOOKUP(E493,Courses!$A$5:$G$10,6,FALSE))</f>
        <v/>
      </c>
      <c r="K493" s="32">
        <f t="shared" si="7"/>
        <v>0</v>
      </c>
      <c r="L493" s="4"/>
      <c r="M493" s="4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4"/>
      <c r="B494" s="4"/>
      <c r="C494" s="28"/>
      <c r="D494" s="4"/>
      <c r="E494" s="4"/>
      <c r="F494" s="3" t="str">
        <f>IF(E494="","",VLOOKUP(E494,Courses!$A$5:$G$10,2,FALSE))</f>
        <v/>
      </c>
      <c r="G494" s="32" t="str">
        <f>IF(E494="","",VLOOKUP(E494,Courses!$A$5:$G$10,3,FALSE))</f>
        <v/>
      </c>
      <c r="H494" s="4"/>
      <c r="I494" s="4"/>
      <c r="J494" s="36" t="str">
        <f>IF(I494="","",VLOOKUP(E494,Courses!$A$5:$G$10,6,FALSE))</f>
        <v/>
      </c>
      <c r="K494" s="32">
        <f t="shared" si="7"/>
        <v>0</v>
      </c>
      <c r="L494" s="4"/>
      <c r="M494" s="4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4"/>
      <c r="B495" s="4"/>
      <c r="C495" s="28"/>
      <c r="D495" s="4"/>
      <c r="E495" s="4"/>
      <c r="F495" s="3" t="str">
        <f>IF(E495="","",VLOOKUP(E495,Courses!$A$5:$G$10,2,FALSE))</f>
        <v/>
      </c>
      <c r="G495" s="32" t="str">
        <f>IF(E495="","",VLOOKUP(E495,Courses!$A$5:$G$10,3,FALSE))</f>
        <v/>
      </c>
      <c r="H495" s="4"/>
      <c r="I495" s="4"/>
      <c r="J495" s="36" t="str">
        <f>IF(I495="","",VLOOKUP(E495,Courses!$A$5:$G$10,6,FALSE))</f>
        <v/>
      </c>
      <c r="K495" s="32">
        <f t="shared" si="7"/>
        <v>0</v>
      </c>
      <c r="L495" s="4"/>
      <c r="M495" s="4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4"/>
      <c r="B496" s="4"/>
      <c r="C496" s="28"/>
      <c r="D496" s="4"/>
      <c r="E496" s="4"/>
      <c r="F496" s="3" t="str">
        <f>IF(E496="","",VLOOKUP(E496,Courses!$A$5:$G$10,2,FALSE))</f>
        <v/>
      </c>
      <c r="G496" s="32" t="str">
        <f>IF(E496="","",VLOOKUP(E496,Courses!$A$5:$G$10,3,FALSE))</f>
        <v/>
      </c>
      <c r="H496" s="4"/>
      <c r="I496" s="4"/>
      <c r="J496" s="36" t="str">
        <f>IF(I496="","",VLOOKUP(E496,Courses!$A$5:$G$10,6,FALSE))</f>
        <v/>
      </c>
      <c r="K496" s="32">
        <f t="shared" si="7"/>
        <v>0</v>
      </c>
      <c r="L496" s="4"/>
      <c r="M496" s="4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4"/>
      <c r="B497" s="4"/>
      <c r="C497" s="28"/>
      <c r="D497" s="4"/>
      <c r="E497" s="4"/>
      <c r="F497" s="3" t="str">
        <f>IF(E497="","",VLOOKUP(E497,Courses!$A$5:$G$10,2,FALSE))</f>
        <v/>
      </c>
      <c r="G497" s="32" t="str">
        <f>IF(E497="","",VLOOKUP(E497,Courses!$A$5:$G$10,3,FALSE))</f>
        <v/>
      </c>
      <c r="H497" s="4"/>
      <c r="I497" s="4"/>
      <c r="J497" s="36" t="str">
        <f>IF(I497="","",VLOOKUP(E497,Courses!$A$5:$G$10,6,FALSE))</f>
        <v/>
      </c>
      <c r="K497" s="32">
        <f t="shared" si="7"/>
        <v>0</v>
      </c>
      <c r="L497" s="4"/>
      <c r="M497" s="4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4"/>
      <c r="B498" s="4"/>
      <c r="C498" s="28"/>
      <c r="D498" s="4"/>
      <c r="E498" s="4"/>
      <c r="F498" s="3" t="str">
        <f>IF(E498="","",VLOOKUP(E498,Courses!$A$5:$G$10,2,FALSE))</f>
        <v/>
      </c>
      <c r="G498" s="32" t="str">
        <f>IF(E498="","",VLOOKUP(E498,Courses!$A$5:$G$10,3,FALSE))</f>
        <v/>
      </c>
      <c r="H498" s="4"/>
      <c r="I498" s="4"/>
      <c r="J498" s="36" t="str">
        <f>IF(I498="","",VLOOKUP(E498,Courses!$A$5:$G$10,6,FALSE))</f>
        <v/>
      </c>
      <c r="K498" s="32">
        <f t="shared" si="7"/>
        <v>0</v>
      </c>
      <c r="L498" s="4"/>
      <c r="M498" s="4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4"/>
      <c r="B499" s="4"/>
      <c r="C499" s="28"/>
      <c r="D499" s="4"/>
      <c r="E499" s="4"/>
      <c r="F499" s="3" t="str">
        <f>IF(E499="","",VLOOKUP(E499,Courses!$A$5:$G$10,2,FALSE))</f>
        <v/>
      </c>
      <c r="G499" s="32" t="str">
        <f>IF(E499="","",VLOOKUP(E499,Courses!$A$5:$G$10,3,FALSE))</f>
        <v/>
      </c>
      <c r="H499" s="4"/>
      <c r="I499" s="4"/>
      <c r="J499" s="36" t="str">
        <f>IF(I499="","",VLOOKUP(E499,Courses!$A$5:$G$10,6,FALSE))</f>
        <v/>
      </c>
      <c r="K499" s="32">
        <f t="shared" si="7"/>
        <v>0</v>
      </c>
      <c r="L499" s="4"/>
      <c r="M499" s="4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4"/>
      <c r="B500" s="4"/>
      <c r="C500" s="28"/>
      <c r="D500" s="4"/>
      <c r="E500" s="4"/>
      <c r="F500" s="3" t="str">
        <f>IF(E500="","",VLOOKUP(E500,Courses!$A$5:$G$10,2,FALSE))</f>
        <v/>
      </c>
      <c r="G500" s="32" t="str">
        <f>IF(E500="","",VLOOKUP(E500,Courses!$A$5:$G$10,3,FALSE))</f>
        <v/>
      </c>
      <c r="H500" s="4"/>
      <c r="I500" s="4"/>
      <c r="J500" s="36" t="str">
        <f>IF(I500="","",VLOOKUP(E500,Courses!$A$5:$G$10,6,FALSE))</f>
        <v/>
      </c>
      <c r="K500" s="32">
        <f t="shared" si="7"/>
        <v>0</v>
      </c>
      <c r="L500" s="4"/>
      <c r="M500" s="4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4"/>
      <c r="B501" s="4"/>
      <c r="C501" s="28"/>
      <c r="D501" s="4"/>
      <c r="E501" s="4"/>
      <c r="F501" s="3" t="str">
        <f>IF(E501="","",VLOOKUP(E501,Courses!$A$5:$G$10,2,FALSE))</f>
        <v/>
      </c>
      <c r="G501" s="32" t="str">
        <f>IF(E501="","",VLOOKUP(E501,Courses!$A$5:$G$10,3,FALSE))</f>
        <v/>
      </c>
      <c r="H501" s="4"/>
      <c r="I501" s="4"/>
      <c r="J501" s="36" t="str">
        <f>IF(I501="","",VLOOKUP(E501,Courses!$A$5:$G$10,6,FALSE))</f>
        <v/>
      </c>
      <c r="K501" s="32">
        <f t="shared" si="7"/>
        <v>0</v>
      </c>
      <c r="L501" s="4"/>
      <c r="M501" s="4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4"/>
      <c r="B502" s="4"/>
      <c r="C502" s="28"/>
      <c r="D502" s="4"/>
      <c r="E502" s="4"/>
      <c r="F502" s="3" t="str">
        <f>IF(E502="","",VLOOKUP(E502,Courses!$A$5:$G$10,2,FALSE))</f>
        <v/>
      </c>
      <c r="G502" s="32" t="str">
        <f>IF(E502="","",VLOOKUP(E502,Courses!$A$5:$G$10,3,FALSE))</f>
        <v/>
      </c>
      <c r="H502" s="4"/>
      <c r="I502" s="4"/>
      <c r="J502" s="36" t="str">
        <f>IF(I502="","",VLOOKUP(E502,Courses!$A$5:$G$10,6,FALSE))</f>
        <v/>
      </c>
      <c r="K502" s="32">
        <f t="shared" si="7"/>
        <v>0</v>
      </c>
      <c r="L502" s="4"/>
      <c r="M502" s="4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4"/>
      <c r="B503" s="4"/>
      <c r="C503" s="28"/>
      <c r="D503" s="4"/>
      <c r="E503" s="4"/>
      <c r="F503" s="3" t="str">
        <f>IF(E503="","",VLOOKUP(E503,Courses!$A$5:$G$10,2,FALSE))</f>
        <v/>
      </c>
      <c r="G503" s="32" t="str">
        <f>IF(E503="","",VLOOKUP(E503,Courses!$A$5:$G$10,3,FALSE))</f>
        <v/>
      </c>
      <c r="H503" s="4"/>
      <c r="I503" s="4"/>
      <c r="J503" s="36" t="str">
        <f>IF(I503="","",VLOOKUP(E503,Courses!$A$5:$G$10,6,FALSE))</f>
        <v/>
      </c>
      <c r="K503" s="32">
        <f t="shared" si="7"/>
        <v>0</v>
      </c>
      <c r="L503" s="4"/>
      <c r="M503" s="4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3"/>
      <c r="B504" s="13"/>
      <c r="C504" s="29"/>
      <c r="D504" s="13"/>
      <c r="E504" s="13"/>
      <c r="F504" s="10" t="str">
        <f>IF(E504="","",VLOOKUP(E504,Courses!$A$5:$G$10,2,FALSE))</f>
        <v/>
      </c>
      <c r="G504" s="35" t="str">
        <f>IF(E504="","",VLOOKUP(E504,Courses!$A$5:$G$10,3,FALSE))</f>
        <v/>
      </c>
      <c r="H504" s="13"/>
      <c r="I504" s="13"/>
      <c r="J504" s="37" t="str">
        <f>IF(I504="","",VLOOKUP(E504,Courses!$A$5:$G$10,6,FALSE))</f>
        <v/>
      </c>
      <c r="K504" s="35">
        <f t="shared" si="7"/>
        <v>0</v>
      </c>
      <c r="L504" s="13"/>
      <c r="M504" s="1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2">
    <mergeCell ref="A1:M1"/>
    <mergeCell ref="A2:M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Courses!$A$5:$A$10</xm:f>
          </x14:formula1>
          <xm:sqref>E5:E504</xm:sqref>
        </x14:dataValidation>
        <x14:dataValidation type="list" xr:uid="{00000000-0002-0000-0400-000001000000}">
          <x14:formula1>
            <xm:f>Lists!$C$5:$C$8</xm:f>
          </x14:formula1>
          <xm:sqref>H5:H504</xm:sqref>
        </x14:dataValidation>
        <x14:dataValidation type="list" xr:uid="{00000000-0002-0000-0400-000002000000}">
          <x14:formula1>
            <xm:f>Lists!$E$5:$E$8</xm:f>
          </x14:formula1>
          <xm:sqref>L5:L504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00"/>
  <sheetViews>
    <sheetView showGridLines="0" workbookViewId="0">
      <pane ySplit="4" topLeftCell="A5" activePane="bottomLeft" state="frozen"/>
      <selection pane="bottomLeft" activeCell="H5" sqref="H5"/>
    </sheetView>
  </sheetViews>
  <sheetFormatPr defaultRowHeight="14.25"/>
  <cols>
    <col min="1" max="2" width="15" customWidth="1"/>
    <col min="3" max="3" width="24" customWidth="1"/>
    <col min="4" max="4" width="30" customWidth="1"/>
    <col min="5" max="5" width="17" customWidth="1"/>
    <col min="6" max="6" width="15" customWidth="1"/>
    <col min="7" max="7" width="16" customWidth="1"/>
    <col min="8" max="8" width="20" customWidth="1"/>
    <col min="9" max="9" width="15" customWidth="1"/>
    <col min="10" max="10" width="19" customWidth="1"/>
    <col min="11" max="11" width="18" customWidth="1"/>
    <col min="12" max="12" width="30" customWidth="1"/>
  </cols>
  <sheetData>
    <row r="1" spans="1:26" ht="24.95" customHeight="1">
      <c r="A1" s="42" t="s">
        <v>87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95" customHeight="1">
      <c r="A2" s="44" t="s">
        <v>88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38" t="s">
        <v>89</v>
      </c>
      <c r="B4" s="38" t="s">
        <v>34</v>
      </c>
      <c r="C4" s="38" t="s">
        <v>90</v>
      </c>
      <c r="D4" s="38" t="s">
        <v>91</v>
      </c>
      <c r="E4" s="38" t="s">
        <v>92</v>
      </c>
      <c r="F4" s="38" t="s">
        <v>93</v>
      </c>
      <c r="G4" s="38" t="s">
        <v>94</v>
      </c>
      <c r="H4" s="38" t="s">
        <v>95</v>
      </c>
      <c r="I4" s="38" t="s">
        <v>96</v>
      </c>
      <c r="J4" s="38" t="s">
        <v>97</v>
      </c>
      <c r="K4" s="38" t="s">
        <v>98</v>
      </c>
      <c r="L4" s="38" t="s">
        <v>99</v>
      </c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>
      <c r="A5" s="4" t="str">
        <f>+Customers!C5</f>
        <v>Shivam Kumar Jha</v>
      </c>
      <c r="B5" s="4" t="str">
        <f>+Customers!A5</f>
        <v>SKLC0001</v>
      </c>
      <c r="C5" s="3" t="str">
        <f>IF(B5="","",VLOOKUP(B5,Customers!$A$5:$J$504,3,FALSE))</f>
        <v>Shivam Kumar Jha</v>
      </c>
      <c r="D5" s="3" t="str">
        <f>IF(B5="","",VLOOKUP(B5,Customers!$A$5:$J$504,4,FALSE))</f>
        <v>iamshivamjha4u@gmail.com</v>
      </c>
      <c r="E5" s="40" t="s">
        <v>142</v>
      </c>
      <c r="F5" s="28">
        <v>46322</v>
      </c>
      <c r="G5" s="4" t="s">
        <v>112</v>
      </c>
      <c r="H5" s="32">
        <f>IF(A5="","",SUMIFS(Sales!$K$5:$K$504,Sales!$I$5:$I$504,A5,Sales!$L$5:$L$504,"Approved"))</f>
        <v>0</v>
      </c>
      <c r="I5" s="32">
        <f>IF(A5="","",SUMIFS(Payouts!$G$5:$G$504,Payouts!$B$5:$B$504,A5,Payouts!$H$5:$H$504,"Paid"))</f>
        <v>0</v>
      </c>
      <c r="J5" s="32">
        <f t="shared" ref="J5:J68" si="0">IF(A5="","",H5-I5)</f>
        <v>0</v>
      </c>
      <c r="K5" s="4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/>
      <c r="B6" s="4"/>
      <c r="C6" s="3" t="str">
        <f>IF(B6="","",VLOOKUP(B6,Customers!$A$5:$J$504,3,FALSE))</f>
        <v/>
      </c>
      <c r="D6" s="3" t="str">
        <f>IF(B6="","",VLOOKUP(B6,Customers!$A$5:$J$504,4,FALSE))</f>
        <v/>
      </c>
      <c r="E6" s="4"/>
      <c r="F6" s="28"/>
      <c r="G6" s="4"/>
      <c r="H6" s="32" t="str">
        <f>IF(A6="","",SUMIFS(Sales!$K$5:$K$504,Sales!$I$5:$I$504,A6,Sales!$L$5:$L$504,"Approved"))</f>
        <v/>
      </c>
      <c r="I6" s="32" t="str">
        <f>IF(A6="","",SUMIFS(Payouts!$G$5:$G$504,Payouts!$B$5:$B$504,A6,Payouts!$H$5:$H$504,"Paid"))</f>
        <v/>
      </c>
      <c r="J6" s="32" t="str">
        <f t="shared" si="0"/>
        <v/>
      </c>
      <c r="K6" s="4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/>
      <c r="B7" s="4"/>
      <c r="C7" s="3" t="str">
        <f>IF(B7="","",VLOOKUP(B7,Customers!$A$5:$J$504,3,FALSE))</f>
        <v/>
      </c>
      <c r="D7" s="3" t="str">
        <f>IF(B7="","",VLOOKUP(B7,Customers!$A$5:$J$504,4,FALSE))</f>
        <v/>
      </c>
      <c r="E7" s="4"/>
      <c r="F7" s="28"/>
      <c r="G7" s="4"/>
      <c r="H7" s="32" t="str">
        <f>IF(A7="","",SUMIFS(Sales!$K$5:$K$504,Sales!$I$5:$I$504,A7,Sales!$L$5:$L$504,"Approved"))</f>
        <v/>
      </c>
      <c r="I7" s="32" t="str">
        <f>IF(A7="","",SUMIFS(Payouts!$G$5:$G$504,Payouts!$B$5:$B$504,A7,Payouts!$H$5:$H$504,"Paid"))</f>
        <v/>
      </c>
      <c r="J7" s="32" t="str">
        <f t="shared" si="0"/>
        <v/>
      </c>
      <c r="K7" s="4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/>
      <c r="B8" s="4"/>
      <c r="C8" s="3" t="str">
        <f>IF(B8="","",VLOOKUP(B8,Customers!$A$5:$J$504,3,FALSE))</f>
        <v/>
      </c>
      <c r="D8" s="3" t="str">
        <f>IF(B8="","",VLOOKUP(B8,Customers!$A$5:$J$504,4,FALSE))</f>
        <v/>
      </c>
      <c r="E8" s="4"/>
      <c r="F8" s="28"/>
      <c r="G8" s="4"/>
      <c r="H8" s="32" t="str">
        <f>IF(A8="","",SUMIFS(Sales!$K$5:$K$504,Sales!$I$5:$I$504,A8,Sales!$L$5:$L$504,"Approved"))</f>
        <v/>
      </c>
      <c r="I8" s="32" t="str">
        <f>IF(A8="","",SUMIFS(Payouts!$G$5:$G$504,Payouts!$B$5:$B$504,A8,Payouts!$H$5:$H$504,"Paid"))</f>
        <v/>
      </c>
      <c r="J8" s="32" t="str">
        <f t="shared" si="0"/>
        <v/>
      </c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4"/>
      <c r="C9" s="3" t="str">
        <f>IF(B9="","",VLOOKUP(B9,Customers!$A$5:$J$504,3,FALSE))</f>
        <v/>
      </c>
      <c r="D9" s="3" t="str">
        <f>IF(B9="","",VLOOKUP(B9,Customers!$A$5:$J$504,4,FALSE))</f>
        <v/>
      </c>
      <c r="E9" s="4"/>
      <c r="F9" s="28"/>
      <c r="G9" s="4"/>
      <c r="H9" s="32" t="str">
        <f>IF(A9="","",SUMIFS(Sales!$K$5:$K$504,Sales!$I$5:$I$504,A9,Sales!$L$5:$L$504,"Approved"))</f>
        <v/>
      </c>
      <c r="I9" s="32" t="str">
        <f>IF(A9="","",SUMIFS(Payouts!$G$5:$G$504,Payouts!$B$5:$B$504,A9,Payouts!$H$5:$H$504,"Paid"))</f>
        <v/>
      </c>
      <c r="J9" s="32" t="str">
        <f t="shared" si="0"/>
        <v/>
      </c>
      <c r="K9" s="4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4"/>
      <c r="C10" s="3" t="str">
        <f>IF(B10="","",VLOOKUP(B10,Customers!$A$5:$J$504,3,FALSE))</f>
        <v/>
      </c>
      <c r="D10" s="3" t="str">
        <f>IF(B10="","",VLOOKUP(B10,Customers!$A$5:$J$504,4,FALSE))</f>
        <v/>
      </c>
      <c r="E10" s="4"/>
      <c r="F10" s="28"/>
      <c r="G10" s="4"/>
      <c r="H10" s="32" t="str">
        <f>IF(A10="","",SUMIFS(Sales!$K$5:$K$504,Sales!$I$5:$I$504,A10,Sales!$L$5:$L$504,"Approved"))</f>
        <v/>
      </c>
      <c r="I10" s="32" t="str">
        <f>IF(A10="","",SUMIFS(Payouts!$G$5:$G$504,Payouts!$B$5:$B$504,A10,Payouts!$H$5:$H$504,"Paid"))</f>
        <v/>
      </c>
      <c r="J10" s="32" t="str">
        <f t="shared" si="0"/>
        <v/>
      </c>
      <c r="K10" s="4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3" t="str">
        <f>IF(B11="","",VLOOKUP(B11,Customers!$A$5:$J$504,3,FALSE))</f>
        <v/>
      </c>
      <c r="D11" s="3" t="str">
        <f>IF(B11="","",VLOOKUP(B11,Customers!$A$5:$J$504,4,FALSE))</f>
        <v/>
      </c>
      <c r="E11" s="4"/>
      <c r="F11" s="28"/>
      <c r="G11" s="4"/>
      <c r="H11" s="32" t="str">
        <f>IF(A11="","",SUMIFS(Sales!$K$5:$K$504,Sales!$I$5:$I$504,A11,Sales!$L$5:$L$504,"Approved"))</f>
        <v/>
      </c>
      <c r="I11" s="32" t="str">
        <f>IF(A11="","",SUMIFS(Payouts!$G$5:$G$504,Payouts!$B$5:$B$504,A11,Payouts!$H$5:$H$504,"Paid"))</f>
        <v/>
      </c>
      <c r="J11" s="32" t="str">
        <f t="shared" si="0"/>
        <v/>
      </c>
      <c r="K11" s="4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3" t="str">
        <f>IF(B12="","",VLOOKUP(B12,Customers!$A$5:$J$504,3,FALSE))</f>
        <v/>
      </c>
      <c r="D12" s="3" t="str">
        <f>IF(B12="","",VLOOKUP(B12,Customers!$A$5:$J$504,4,FALSE))</f>
        <v/>
      </c>
      <c r="E12" s="4"/>
      <c r="F12" s="28"/>
      <c r="G12" s="4"/>
      <c r="H12" s="32" t="str">
        <f>IF(A12="","",SUMIFS(Sales!$K$5:$K$504,Sales!$I$5:$I$504,A12,Sales!$L$5:$L$504,"Approved"))</f>
        <v/>
      </c>
      <c r="I12" s="32" t="str">
        <f>IF(A12="","",SUMIFS(Payouts!$G$5:$G$504,Payouts!$B$5:$B$504,A12,Payouts!$H$5:$H$504,"Paid"))</f>
        <v/>
      </c>
      <c r="J12" s="32" t="str">
        <f t="shared" si="0"/>
        <v/>
      </c>
      <c r="K12" s="4"/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3" t="str">
        <f>IF(B13="","",VLOOKUP(B13,Customers!$A$5:$J$504,3,FALSE))</f>
        <v/>
      </c>
      <c r="D13" s="3" t="str">
        <f>IF(B13="","",VLOOKUP(B13,Customers!$A$5:$J$504,4,FALSE))</f>
        <v/>
      </c>
      <c r="E13" s="4"/>
      <c r="F13" s="28"/>
      <c r="G13" s="4"/>
      <c r="H13" s="32" t="str">
        <f>IF(A13="","",SUMIFS(Sales!$K$5:$K$504,Sales!$I$5:$I$504,A13,Sales!$L$5:$L$504,"Approved"))</f>
        <v/>
      </c>
      <c r="I13" s="32" t="str">
        <f>IF(A13="","",SUMIFS(Payouts!$G$5:$G$504,Payouts!$B$5:$B$504,A13,Payouts!$H$5:$H$504,"Paid"))</f>
        <v/>
      </c>
      <c r="J13" s="32" t="str">
        <f t="shared" si="0"/>
        <v/>
      </c>
      <c r="K13" s="4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3" t="str">
        <f>IF(B14="","",VLOOKUP(B14,Customers!$A$5:$J$504,3,FALSE))</f>
        <v/>
      </c>
      <c r="D14" s="3" t="str">
        <f>IF(B14="","",VLOOKUP(B14,Customers!$A$5:$J$504,4,FALSE))</f>
        <v/>
      </c>
      <c r="E14" s="4"/>
      <c r="F14" s="28"/>
      <c r="G14" s="4"/>
      <c r="H14" s="32" t="str">
        <f>IF(A14="","",SUMIFS(Sales!$K$5:$K$504,Sales!$I$5:$I$504,A14,Sales!$L$5:$L$504,"Approved"))</f>
        <v/>
      </c>
      <c r="I14" s="32" t="str">
        <f>IF(A14="","",SUMIFS(Payouts!$G$5:$G$504,Payouts!$B$5:$B$504,A14,Payouts!$H$5:$H$504,"Paid"))</f>
        <v/>
      </c>
      <c r="J14" s="32" t="str">
        <f t="shared" si="0"/>
        <v/>
      </c>
      <c r="K14" s="4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3" t="str">
        <f>IF(B15="","",VLOOKUP(B15,Customers!$A$5:$J$504,3,FALSE))</f>
        <v/>
      </c>
      <c r="D15" s="3" t="str">
        <f>IF(B15="","",VLOOKUP(B15,Customers!$A$5:$J$504,4,FALSE))</f>
        <v/>
      </c>
      <c r="E15" s="4"/>
      <c r="F15" s="28"/>
      <c r="G15" s="4"/>
      <c r="H15" s="32" t="str">
        <f>IF(A15="","",SUMIFS(Sales!$K$5:$K$504,Sales!$I$5:$I$504,A15,Sales!$L$5:$L$504,"Approved"))</f>
        <v/>
      </c>
      <c r="I15" s="32" t="str">
        <f>IF(A15="","",SUMIFS(Payouts!$G$5:$G$504,Payouts!$B$5:$B$504,A15,Payouts!$H$5:$H$504,"Paid"))</f>
        <v/>
      </c>
      <c r="J15" s="32" t="str">
        <f t="shared" si="0"/>
        <v/>
      </c>
      <c r="K15" s="4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3" t="str">
        <f>IF(B16="","",VLOOKUP(B16,Customers!$A$5:$J$504,3,FALSE))</f>
        <v/>
      </c>
      <c r="D16" s="3" t="str">
        <f>IF(B16="","",VLOOKUP(B16,Customers!$A$5:$J$504,4,FALSE))</f>
        <v/>
      </c>
      <c r="E16" s="4"/>
      <c r="F16" s="28"/>
      <c r="G16" s="4"/>
      <c r="H16" s="32" t="str">
        <f>IF(A16="","",SUMIFS(Sales!$K$5:$K$504,Sales!$I$5:$I$504,A16,Sales!$L$5:$L$504,"Approved"))</f>
        <v/>
      </c>
      <c r="I16" s="32" t="str">
        <f>IF(A16="","",SUMIFS(Payouts!$G$5:$G$504,Payouts!$B$5:$B$504,A16,Payouts!$H$5:$H$504,"Paid"))</f>
        <v/>
      </c>
      <c r="J16" s="32" t="str">
        <f t="shared" si="0"/>
        <v/>
      </c>
      <c r="K16" s="4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3" t="str">
        <f>IF(B17="","",VLOOKUP(B17,Customers!$A$5:$J$504,3,FALSE))</f>
        <v/>
      </c>
      <c r="D17" s="3" t="str">
        <f>IF(B17="","",VLOOKUP(B17,Customers!$A$5:$J$504,4,FALSE))</f>
        <v/>
      </c>
      <c r="E17" s="4"/>
      <c r="F17" s="28"/>
      <c r="G17" s="4"/>
      <c r="H17" s="32" t="str">
        <f>IF(A17="","",SUMIFS(Sales!$K$5:$K$504,Sales!$I$5:$I$504,A17,Sales!$L$5:$L$504,"Approved"))</f>
        <v/>
      </c>
      <c r="I17" s="32" t="str">
        <f>IF(A17="","",SUMIFS(Payouts!$G$5:$G$504,Payouts!$B$5:$B$504,A17,Payouts!$H$5:$H$504,"Paid"))</f>
        <v/>
      </c>
      <c r="J17" s="32" t="str">
        <f t="shared" si="0"/>
        <v/>
      </c>
      <c r="K17" s="4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3" t="str">
        <f>IF(B18="","",VLOOKUP(B18,Customers!$A$5:$J$504,3,FALSE))</f>
        <v/>
      </c>
      <c r="D18" s="3" t="str">
        <f>IF(B18="","",VLOOKUP(B18,Customers!$A$5:$J$504,4,FALSE))</f>
        <v/>
      </c>
      <c r="E18" s="4"/>
      <c r="F18" s="28"/>
      <c r="G18" s="4"/>
      <c r="H18" s="32" t="str">
        <f>IF(A18="","",SUMIFS(Sales!$K$5:$K$504,Sales!$I$5:$I$504,A18,Sales!$L$5:$L$504,"Approved"))</f>
        <v/>
      </c>
      <c r="I18" s="32" t="str">
        <f>IF(A18="","",SUMIFS(Payouts!$G$5:$G$504,Payouts!$B$5:$B$504,A18,Payouts!$H$5:$H$504,"Paid"))</f>
        <v/>
      </c>
      <c r="J18" s="32" t="str">
        <f t="shared" si="0"/>
        <v/>
      </c>
      <c r="K18" s="4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3" t="str">
        <f>IF(B19="","",VLOOKUP(B19,Customers!$A$5:$J$504,3,FALSE))</f>
        <v/>
      </c>
      <c r="D19" s="3" t="str">
        <f>IF(B19="","",VLOOKUP(B19,Customers!$A$5:$J$504,4,FALSE))</f>
        <v/>
      </c>
      <c r="E19" s="4"/>
      <c r="F19" s="28"/>
      <c r="G19" s="4"/>
      <c r="H19" s="32" t="str">
        <f>IF(A19="","",SUMIFS(Sales!$K$5:$K$504,Sales!$I$5:$I$504,A19,Sales!$L$5:$L$504,"Approved"))</f>
        <v/>
      </c>
      <c r="I19" s="32" t="str">
        <f>IF(A19="","",SUMIFS(Payouts!$G$5:$G$504,Payouts!$B$5:$B$504,A19,Payouts!$H$5:$H$504,"Paid"))</f>
        <v/>
      </c>
      <c r="J19" s="32" t="str">
        <f t="shared" si="0"/>
        <v/>
      </c>
      <c r="K19" s="4"/>
      <c r="L19" s="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3" t="str">
        <f>IF(B20="","",VLOOKUP(B20,Customers!$A$5:$J$504,3,FALSE))</f>
        <v/>
      </c>
      <c r="D20" s="3" t="str">
        <f>IF(B20="","",VLOOKUP(B20,Customers!$A$5:$J$504,4,FALSE))</f>
        <v/>
      </c>
      <c r="E20" s="4"/>
      <c r="F20" s="28"/>
      <c r="G20" s="4"/>
      <c r="H20" s="32" t="str">
        <f>IF(A20="","",SUMIFS(Sales!$K$5:$K$504,Sales!$I$5:$I$504,A20,Sales!$L$5:$L$504,"Approved"))</f>
        <v/>
      </c>
      <c r="I20" s="32" t="str">
        <f>IF(A20="","",SUMIFS(Payouts!$G$5:$G$504,Payouts!$B$5:$B$504,A20,Payouts!$H$5:$H$504,"Paid"))</f>
        <v/>
      </c>
      <c r="J20" s="32" t="str">
        <f t="shared" si="0"/>
        <v/>
      </c>
      <c r="K20" s="4"/>
      <c r="L20" s="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3" t="str">
        <f>IF(B21="","",VLOOKUP(B21,Customers!$A$5:$J$504,3,FALSE))</f>
        <v/>
      </c>
      <c r="D21" s="3" t="str">
        <f>IF(B21="","",VLOOKUP(B21,Customers!$A$5:$J$504,4,FALSE))</f>
        <v/>
      </c>
      <c r="E21" s="4"/>
      <c r="F21" s="28"/>
      <c r="G21" s="4"/>
      <c r="H21" s="32" t="str">
        <f>IF(A21="","",SUMIFS(Sales!$K$5:$K$504,Sales!$I$5:$I$504,A21,Sales!$L$5:$L$504,"Approved"))</f>
        <v/>
      </c>
      <c r="I21" s="32" t="str">
        <f>IF(A21="","",SUMIFS(Payouts!$G$5:$G$504,Payouts!$B$5:$B$504,A21,Payouts!$H$5:$H$504,"Paid"))</f>
        <v/>
      </c>
      <c r="J21" s="32" t="str">
        <f t="shared" si="0"/>
        <v/>
      </c>
      <c r="K21" s="4"/>
      <c r="L21" s="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3" t="str">
        <f>IF(B22="","",VLOOKUP(B22,Customers!$A$5:$J$504,3,FALSE))</f>
        <v/>
      </c>
      <c r="D22" s="3" t="str">
        <f>IF(B22="","",VLOOKUP(B22,Customers!$A$5:$J$504,4,FALSE))</f>
        <v/>
      </c>
      <c r="E22" s="4"/>
      <c r="F22" s="28"/>
      <c r="G22" s="4"/>
      <c r="H22" s="32" t="str">
        <f>IF(A22="","",SUMIFS(Sales!$K$5:$K$504,Sales!$I$5:$I$504,A22,Sales!$L$5:$L$504,"Approved"))</f>
        <v/>
      </c>
      <c r="I22" s="32" t="str">
        <f>IF(A22="","",SUMIFS(Payouts!$G$5:$G$504,Payouts!$B$5:$B$504,A22,Payouts!$H$5:$H$504,"Paid"))</f>
        <v/>
      </c>
      <c r="J22" s="32" t="str">
        <f t="shared" si="0"/>
        <v/>
      </c>
      <c r="K22" s="4"/>
      <c r="L22" s="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3" t="str">
        <f>IF(B23="","",VLOOKUP(B23,Customers!$A$5:$J$504,3,FALSE))</f>
        <v/>
      </c>
      <c r="D23" s="3" t="str">
        <f>IF(B23="","",VLOOKUP(B23,Customers!$A$5:$J$504,4,FALSE))</f>
        <v/>
      </c>
      <c r="E23" s="4"/>
      <c r="F23" s="28"/>
      <c r="G23" s="4"/>
      <c r="H23" s="32" t="str">
        <f>IF(A23="","",SUMIFS(Sales!$K$5:$K$504,Sales!$I$5:$I$504,A23,Sales!$L$5:$L$504,"Approved"))</f>
        <v/>
      </c>
      <c r="I23" s="32" t="str">
        <f>IF(A23="","",SUMIFS(Payouts!$G$5:$G$504,Payouts!$B$5:$B$504,A23,Payouts!$H$5:$H$504,"Paid"))</f>
        <v/>
      </c>
      <c r="J23" s="32" t="str">
        <f t="shared" si="0"/>
        <v/>
      </c>
      <c r="K23" s="4"/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3" t="str">
        <f>IF(B24="","",VLOOKUP(B24,Customers!$A$5:$J$504,3,FALSE))</f>
        <v/>
      </c>
      <c r="D24" s="3" t="str">
        <f>IF(B24="","",VLOOKUP(B24,Customers!$A$5:$J$504,4,FALSE))</f>
        <v/>
      </c>
      <c r="E24" s="4"/>
      <c r="F24" s="28"/>
      <c r="G24" s="4"/>
      <c r="H24" s="32" t="str">
        <f>IF(A24="","",SUMIFS(Sales!$K$5:$K$504,Sales!$I$5:$I$504,A24,Sales!$L$5:$L$504,"Approved"))</f>
        <v/>
      </c>
      <c r="I24" s="32" t="str">
        <f>IF(A24="","",SUMIFS(Payouts!$G$5:$G$504,Payouts!$B$5:$B$504,A24,Payouts!$H$5:$H$504,"Paid"))</f>
        <v/>
      </c>
      <c r="J24" s="32" t="str">
        <f t="shared" si="0"/>
        <v/>
      </c>
      <c r="K24" s="4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3" t="str">
        <f>IF(B25="","",VLOOKUP(B25,Customers!$A$5:$J$504,3,FALSE))</f>
        <v/>
      </c>
      <c r="D25" s="3" t="str">
        <f>IF(B25="","",VLOOKUP(B25,Customers!$A$5:$J$504,4,FALSE))</f>
        <v/>
      </c>
      <c r="E25" s="4"/>
      <c r="F25" s="28"/>
      <c r="G25" s="4"/>
      <c r="H25" s="32" t="str">
        <f>IF(A25="","",SUMIFS(Sales!$K$5:$K$504,Sales!$I$5:$I$504,A25,Sales!$L$5:$L$504,"Approved"))</f>
        <v/>
      </c>
      <c r="I25" s="32" t="str">
        <f>IF(A25="","",SUMIFS(Payouts!$G$5:$G$504,Payouts!$B$5:$B$504,A25,Payouts!$H$5:$H$504,"Paid"))</f>
        <v/>
      </c>
      <c r="J25" s="32" t="str">
        <f t="shared" si="0"/>
        <v/>
      </c>
      <c r="K25" s="4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3" t="str">
        <f>IF(B26="","",VLOOKUP(B26,Customers!$A$5:$J$504,3,FALSE))</f>
        <v/>
      </c>
      <c r="D26" s="3" t="str">
        <f>IF(B26="","",VLOOKUP(B26,Customers!$A$5:$J$504,4,FALSE))</f>
        <v/>
      </c>
      <c r="E26" s="4"/>
      <c r="F26" s="28"/>
      <c r="G26" s="4"/>
      <c r="H26" s="32" t="str">
        <f>IF(A26="","",SUMIFS(Sales!$K$5:$K$504,Sales!$I$5:$I$504,A26,Sales!$L$5:$L$504,"Approved"))</f>
        <v/>
      </c>
      <c r="I26" s="32" t="str">
        <f>IF(A26="","",SUMIFS(Payouts!$G$5:$G$504,Payouts!$B$5:$B$504,A26,Payouts!$H$5:$H$504,"Paid"))</f>
        <v/>
      </c>
      <c r="J26" s="32" t="str">
        <f t="shared" si="0"/>
        <v/>
      </c>
      <c r="K26" s="4"/>
      <c r="L26" s="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/>
      <c r="B27" s="4"/>
      <c r="C27" s="3" t="str">
        <f>IF(B27="","",VLOOKUP(B27,Customers!$A$5:$J$504,3,FALSE))</f>
        <v/>
      </c>
      <c r="D27" s="3" t="str">
        <f>IF(B27="","",VLOOKUP(B27,Customers!$A$5:$J$504,4,FALSE))</f>
        <v/>
      </c>
      <c r="E27" s="4"/>
      <c r="F27" s="28"/>
      <c r="G27" s="4"/>
      <c r="H27" s="32" t="str">
        <f>IF(A27="","",SUMIFS(Sales!$K$5:$K$504,Sales!$I$5:$I$504,A27,Sales!$L$5:$L$504,"Approved"))</f>
        <v/>
      </c>
      <c r="I27" s="32" t="str">
        <f>IF(A27="","",SUMIFS(Payouts!$G$5:$G$504,Payouts!$B$5:$B$504,A27,Payouts!$H$5:$H$504,"Paid"))</f>
        <v/>
      </c>
      <c r="J27" s="32" t="str">
        <f t="shared" si="0"/>
        <v/>
      </c>
      <c r="K27" s="4"/>
      <c r="L27" s="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/>
      <c r="B28" s="4"/>
      <c r="C28" s="3" t="str">
        <f>IF(B28="","",VLOOKUP(B28,Customers!$A$5:$J$504,3,FALSE))</f>
        <v/>
      </c>
      <c r="D28" s="3" t="str">
        <f>IF(B28="","",VLOOKUP(B28,Customers!$A$5:$J$504,4,FALSE))</f>
        <v/>
      </c>
      <c r="E28" s="4"/>
      <c r="F28" s="28"/>
      <c r="G28" s="4"/>
      <c r="H28" s="32" t="str">
        <f>IF(A28="","",SUMIFS(Sales!$K$5:$K$504,Sales!$I$5:$I$504,A28,Sales!$L$5:$L$504,"Approved"))</f>
        <v/>
      </c>
      <c r="I28" s="32" t="str">
        <f>IF(A28="","",SUMIFS(Payouts!$G$5:$G$504,Payouts!$B$5:$B$504,A28,Payouts!$H$5:$H$504,"Paid"))</f>
        <v/>
      </c>
      <c r="J28" s="32" t="str">
        <f t="shared" si="0"/>
        <v/>
      </c>
      <c r="K28" s="4"/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"/>
      <c r="B29" s="4"/>
      <c r="C29" s="3" t="str">
        <f>IF(B29="","",VLOOKUP(B29,Customers!$A$5:$J$504,3,FALSE))</f>
        <v/>
      </c>
      <c r="D29" s="3" t="str">
        <f>IF(B29="","",VLOOKUP(B29,Customers!$A$5:$J$504,4,FALSE))</f>
        <v/>
      </c>
      <c r="E29" s="4"/>
      <c r="F29" s="28"/>
      <c r="G29" s="4"/>
      <c r="H29" s="32" t="str">
        <f>IF(A29="","",SUMIFS(Sales!$K$5:$K$504,Sales!$I$5:$I$504,A29,Sales!$L$5:$L$504,"Approved"))</f>
        <v/>
      </c>
      <c r="I29" s="32" t="str">
        <f>IF(A29="","",SUMIFS(Payouts!$G$5:$G$504,Payouts!$B$5:$B$504,A29,Payouts!$H$5:$H$504,"Paid"))</f>
        <v/>
      </c>
      <c r="J29" s="32" t="str">
        <f t="shared" si="0"/>
        <v/>
      </c>
      <c r="K29" s="4"/>
      <c r="L29" s="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"/>
      <c r="B30" s="4"/>
      <c r="C30" s="3" t="str">
        <f>IF(B30="","",VLOOKUP(B30,Customers!$A$5:$J$504,3,FALSE))</f>
        <v/>
      </c>
      <c r="D30" s="3" t="str">
        <f>IF(B30="","",VLOOKUP(B30,Customers!$A$5:$J$504,4,FALSE))</f>
        <v/>
      </c>
      <c r="E30" s="4"/>
      <c r="F30" s="28"/>
      <c r="G30" s="4"/>
      <c r="H30" s="32" t="str">
        <f>IF(A30="","",SUMIFS(Sales!$K$5:$K$504,Sales!$I$5:$I$504,A30,Sales!$L$5:$L$504,"Approved"))</f>
        <v/>
      </c>
      <c r="I30" s="32" t="str">
        <f>IF(A30="","",SUMIFS(Payouts!$G$5:$G$504,Payouts!$B$5:$B$504,A30,Payouts!$H$5:$H$504,"Paid"))</f>
        <v/>
      </c>
      <c r="J30" s="32" t="str">
        <f t="shared" si="0"/>
        <v/>
      </c>
      <c r="K30" s="4"/>
      <c r="L30" s="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4"/>
      <c r="B31" s="4"/>
      <c r="C31" s="3" t="str">
        <f>IF(B31="","",VLOOKUP(B31,Customers!$A$5:$J$504,3,FALSE))</f>
        <v/>
      </c>
      <c r="D31" s="3" t="str">
        <f>IF(B31="","",VLOOKUP(B31,Customers!$A$5:$J$504,4,FALSE))</f>
        <v/>
      </c>
      <c r="E31" s="4"/>
      <c r="F31" s="28"/>
      <c r="G31" s="4"/>
      <c r="H31" s="32" t="str">
        <f>IF(A31="","",SUMIFS(Sales!$K$5:$K$504,Sales!$I$5:$I$504,A31,Sales!$L$5:$L$504,"Approved"))</f>
        <v/>
      </c>
      <c r="I31" s="32" t="str">
        <f>IF(A31="","",SUMIFS(Payouts!$G$5:$G$504,Payouts!$B$5:$B$504,A31,Payouts!$H$5:$H$504,"Paid"))</f>
        <v/>
      </c>
      <c r="J31" s="32" t="str">
        <f t="shared" si="0"/>
        <v/>
      </c>
      <c r="K31" s="4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4"/>
      <c r="B32" s="4"/>
      <c r="C32" s="3" t="str">
        <f>IF(B32="","",VLOOKUP(B32,Customers!$A$5:$J$504,3,FALSE))</f>
        <v/>
      </c>
      <c r="D32" s="3" t="str">
        <f>IF(B32="","",VLOOKUP(B32,Customers!$A$5:$J$504,4,FALSE))</f>
        <v/>
      </c>
      <c r="E32" s="4"/>
      <c r="F32" s="28"/>
      <c r="G32" s="4"/>
      <c r="H32" s="32" t="str">
        <f>IF(A32="","",SUMIFS(Sales!$K$5:$K$504,Sales!$I$5:$I$504,A32,Sales!$L$5:$L$504,"Approved"))</f>
        <v/>
      </c>
      <c r="I32" s="32" t="str">
        <f>IF(A32="","",SUMIFS(Payouts!$G$5:$G$504,Payouts!$B$5:$B$504,A32,Payouts!$H$5:$H$504,"Paid"))</f>
        <v/>
      </c>
      <c r="J32" s="32" t="str">
        <f t="shared" si="0"/>
        <v/>
      </c>
      <c r="K32" s="4"/>
      <c r="L32" s="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"/>
      <c r="B33" s="4"/>
      <c r="C33" s="3" t="str">
        <f>IF(B33="","",VLOOKUP(B33,Customers!$A$5:$J$504,3,FALSE))</f>
        <v/>
      </c>
      <c r="D33" s="3" t="str">
        <f>IF(B33="","",VLOOKUP(B33,Customers!$A$5:$J$504,4,FALSE))</f>
        <v/>
      </c>
      <c r="E33" s="4"/>
      <c r="F33" s="28"/>
      <c r="G33" s="4"/>
      <c r="H33" s="32" t="str">
        <f>IF(A33="","",SUMIFS(Sales!$K$5:$K$504,Sales!$I$5:$I$504,A33,Sales!$L$5:$L$504,"Approved"))</f>
        <v/>
      </c>
      <c r="I33" s="32" t="str">
        <f>IF(A33="","",SUMIFS(Payouts!$G$5:$G$504,Payouts!$B$5:$B$504,A33,Payouts!$H$5:$H$504,"Paid"))</f>
        <v/>
      </c>
      <c r="J33" s="32" t="str">
        <f t="shared" si="0"/>
        <v/>
      </c>
      <c r="K33" s="4"/>
      <c r="L33" s="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"/>
      <c r="B34" s="4"/>
      <c r="C34" s="3" t="str">
        <f>IF(B34="","",VLOOKUP(B34,Customers!$A$5:$J$504,3,FALSE))</f>
        <v/>
      </c>
      <c r="D34" s="3" t="str">
        <f>IF(B34="","",VLOOKUP(B34,Customers!$A$5:$J$504,4,FALSE))</f>
        <v/>
      </c>
      <c r="E34" s="4"/>
      <c r="F34" s="28"/>
      <c r="G34" s="4"/>
      <c r="H34" s="32" t="str">
        <f>IF(A34="","",SUMIFS(Sales!$K$5:$K$504,Sales!$I$5:$I$504,A34,Sales!$L$5:$L$504,"Approved"))</f>
        <v/>
      </c>
      <c r="I34" s="32" t="str">
        <f>IF(A34="","",SUMIFS(Payouts!$G$5:$G$504,Payouts!$B$5:$B$504,A34,Payouts!$H$5:$H$504,"Paid"))</f>
        <v/>
      </c>
      <c r="J34" s="32" t="str">
        <f t="shared" si="0"/>
        <v/>
      </c>
      <c r="K34" s="4"/>
      <c r="L34" s="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4"/>
      <c r="B35" s="4"/>
      <c r="C35" s="3" t="str">
        <f>IF(B35="","",VLOOKUP(B35,Customers!$A$5:$J$504,3,FALSE))</f>
        <v/>
      </c>
      <c r="D35" s="3" t="str">
        <f>IF(B35="","",VLOOKUP(B35,Customers!$A$5:$J$504,4,FALSE))</f>
        <v/>
      </c>
      <c r="E35" s="4"/>
      <c r="F35" s="28"/>
      <c r="G35" s="4"/>
      <c r="H35" s="32" t="str">
        <f>IF(A35="","",SUMIFS(Sales!$K$5:$K$504,Sales!$I$5:$I$504,A35,Sales!$L$5:$L$504,"Approved"))</f>
        <v/>
      </c>
      <c r="I35" s="32" t="str">
        <f>IF(A35="","",SUMIFS(Payouts!$G$5:$G$504,Payouts!$B$5:$B$504,A35,Payouts!$H$5:$H$504,"Paid"))</f>
        <v/>
      </c>
      <c r="J35" s="32" t="str">
        <f t="shared" si="0"/>
        <v/>
      </c>
      <c r="K35" s="4"/>
      <c r="L35" s="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"/>
      <c r="B36" s="4"/>
      <c r="C36" s="3" t="str">
        <f>IF(B36="","",VLOOKUP(B36,Customers!$A$5:$J$504,3,FALSE))</f>
        <v/>
      </c>
      <c r="D36" s="3" t="str">
        <f>IF(B36="","",VLOOKUP(B36,Customers!$A$5:$J$504,4,FALSE))</f>
        <v/>
      </c>
      <c r="E36" s="4"/>
      <c r="F36" s="28"/>
      <c r="G36" s="4"/>
      <c r="H36" s="32" t="str">
        <f>IF(A36="","",SUMIFS(Sales!$K$5:$K$504,Sales!$I$5:$I$504,A36,Sales!$L$5:$L$504,"Approved"))</f>
        <v/>
      </c>
      <c r="I36" s="32" t="str">
        <f>IF(A36="","",SUMIFS(Payouts!$G$5:$G$504,Payouts!$B$5:$B$504,A36,Payouts!$H$5:$H$504,"Paid"))</f>
        <v/>
      </c>
      <c r="J36" s="32" t="str">
        <f t="shared" si="0"/>
        <v/>
      </c>
      <c r="K36" s="4"/>
      <c r="L36" s="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4"/>
      <c r="B37" s="4"/>
      <c r="C37" s="3" t="str">
        <f>IF(B37="","",VLOOKUP(B37,Customers!$A$5:$J$504,3,FALSE))</f>
        <v/>
      </c>
      <c r="D37" s="3" t="str">
        <f>IF(B37="","",VLOOKUP(B37,Customers!$A$5:$J$504,4,FALSE))</f>
        <v/>
      </c>
      <c r="E37" s="4"/>
      <c r="F37" s="28"/>
      <c r="G37" s="4"/>
      <c r="H37" s="32" t="str">
        <f>IF(A37="","",SUMIFS(Sales!$K$5:$K$504,Sales!$I$5:$I$504,A37,Sales!$L$5:$L$504,"Approved"))</f>
        <v/>
      </c>
      <c r="I37" s="32" t="str">
        <f>IF(A37="","",SUMIFS(Payouts!$G$5:$G$504,Payouts!$B$5:$B$504,A37,Payouts!$H$5:$H$504,"Paid"))</f>
        <v/>
      </c>
      <c r="J37" s="32" t="str">
        <f t="shared" si="0"/>
        <v/>
      </c>
      <c r="K37" s="4"/>
      <c r="L37" s="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"/>
      <c r="B38" s="4"/>
      <c r="C38" s="3" t="str">
        <f>IF(B38="","",VLOOKUP(B38,Customers!$A$5:$J$504,3,FALSE))</f>
        <v/>
      </c>
      <c r="D38" s="3" t="str">
        <f>IF(B38="","",VLOOKUP(B38,Customers!$A$5:$J$504,4,FALSE))</f>
        <v/>
      </c>
      <c r="E38" s="4"/>
      <c r="F38" s="28"/>
      <c r="G38" s="4"/>
      <c r="H38" s="32" t="str">
        <f>IF(A38="","",SUMIFS(Sales!$K$5:$K$504,Sales!$I$5:$I$504,A38,Sales!$L$5:$L$504,"Approved"))</f>
        <v/>
      </c>
      <c r="I38" s="32" t="str">
        <f>IF(A38="","",SUMIFS(Payouts!$G$5:$G$504,Payouts!$B$5:$B$504,A38,Payouts!$H$5:$H$504,"Paid"))</f>
        <v/>
      </c>
      <c r="J38" s="32" t="str">
        <f t="shared" si="0"/>
        <v/>
      </c>
      <c r="K38" s="4"/>
      <c r="L38" s="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4"/>
      <c r="B39" s="4"/>
      <c r="C39" s="3" t="str">
        <f>IF(B39="","",VLOOKUP(B39,Customers!$A$5:$J$504,3,FALSE))</f>
        <v/>
      </c>
      <c r="D39" s="3" t="str">
        <f>IF(B39="","",VLOOKUP(B39,Customers!$A$5:$J$504,4,FALSE))</f>
        <v/>
      </c>
      <c r="E39" s="4"/>
      <c r="F39" s="28"/>
      <c r="G39" s="4"/>
      <c r="H39" s="32" t="str">
        <f>IF(A39="","",SUMIFS(Sales!$K$5:$K$504,Sales!$I$5:$I$504,A39,Sales!$L$5:$L$504,"Approved"))</f>
        <v/>
      </c>
      <c r="I39" s="32" t="str">
        <f>IF(A39="","",SUMIFS(Payouts!$G$5:$G$504,Payouts!$B$5:$B$504,A39,Payouts!$H$5:$H$504,"Paid"))</f>
        <v/>
      </c>
      <c r="J39" s="32" t="str">
        <f t="shared" si="0"/>
        <v/>
      </c>
      <c r="K39" s="4"/>
      <c r="L39" s="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4"/>
      <c r="B40" s="4"/>
      <c r="C40" s="3" t="str">
        <f>IF(B40="","",VLOOKUP(B40,Customers!$A$5:$J$504,3,FALSE))</f>
        <v/>
      </c>
      <c r="D40" s="3" t="str">
        <f>IF(B40="","",VLOOKUP(B40,Customers!$A$5:$J$504,4,FALSE))</f>
        <v/>
      </c>
      <c r="E40" s="4"/>
      <c r="F40" s="28"/>
      <c r="G40" s="4"/>
      <c r="H40" s="32" t="str">
        <f>IF(A40="","",SUMIFS(Sales!$K$5:$K$504,Sales!$I$5:$I$504,A40,Sales!$L$5:$L$504,"Approved"))</f>
        <v/>
      </c>
      <c r="I40" s="32" t="str">
        <f>IF(A40="","",SUMIFS(Payouts!$G$5:$G$504,Payouts!$B$5:$B$504,A40,Payouts!$H$5:$H$504,"Paid"))</f>
        <v/>
      </c>
      <c r="J40" s="32" t="str">
        <f t="shared" si="0"/>
        <v/>
      </c>
      <c r="K40" s="4"/>
      <c r="L40" s="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"/>
      <c r="B41" s="4"/>
      <c r="C41" s="3" t="str">
        <f>IF(B41="","",VLOOKUP(B41,Customers!$A$5:$J$504,3,FALSE))</f>
        <v/>
      </c>
      <c r="D41" s="3" t="str">
        <f>IF(B41="","",VLOOKUP(B41,Customers!$A$5:$J$504,4,FALSE))</f>
        <v/>
      </c>
      <c r="E41" s="4"/>
      <c r="F41" s="28"/>
      <c r="G41" s="4"/>
      <c r="H41" s="32" t="str">
        <f>IF(A41="","",SUMIFS(Sales!$K$5:$K$504,Sales!$I$5:$I$504,A41,Sales!$L$5:$L$504,"Approved"))</f>
        <v/>
      </c>
      <c r="I41" s="32" t="str">
        <f>IF(A41="","",SUMIFS(Payouts!$G$5:$G$504,Payouts!$B$5:$B$504,A41,Payouts!$H$5:$H$504,"Paid"))</f>
        <v/>
      </c>
      <c r="J41" s="32" t="str">
        <f t="shared" si="0"/>
        <v/>
      </c>
      <c r="K41" s="4"/>
      <c r="L41" s="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4"/>
      <c r="B42" s="4"/>
      <c r="C42" s="3" t="str">
        <f>IF(B42="","",VLOOKUP(B42,Customers!$A$5:$J$504,3,FALSE))</f>
        <v/>
      </c>
      <c r="D42" s="3" t="str">
        <f>IF(B42="","",VLOOKUP(B42,Customers!$A$5:$J$504,4,FALSE))</f>
        <v/>
      </c>
      <c r="E42" s="4"/>
      <c r="F42" s="28"/>
      <c r="G42" s="4"/>
      <c r="H42" s="32" t="str">
        <f>IF(A42="","",SUMIFS(Sales!$K$5:$K$504,Sales!$I$5:$I$504,A42,Sales!$L$5:$L$504,"Approved"))</f>
        <v/>
      </c>
      <c r="I42" s="32" t="str">
        <f>IF(A42="","",SUMIFS(Payouts!$G$5:$G$504,Payouts!$B$5:$B$504,A42,Payouts!$H$5:$H$504,"Paid"))</f>
        <v/>
      </c>
      <c r="J42" s="32" t="str">
        <f t="shared" si="0"/>
        <v/>
      </c>
      <c r="K42" s="4"/>
      <c r="L42" s="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"/>
      <c r="B43" s="4"/>
      <c r="C43" s="3" t="str">
        <f>IF(B43="","",VLOOKUP(B43,Customers!$A$5:$J$504,3,FALSE))</f>
        <v/>
      </c>
      <c r="D43" s="3" t="str">
        <f>IF(B43="","",VLOOKUP(B43,Customers!$A$5:$J$504,4,FALSE))</f>
        <v/>
      </c>
      <c r="E43" s="4"/>
      <c r="F43" s="28"/>
      <c r="G43" s="4"/>
      <c r="H43" s="32" t="str">
        <f>IF(A43="","",SUMIFS(Sales!$K$5:$K$504,Sales!$I$5:$I$504,A43,Sales!$L$5:$L$504,"Approved"))</f>
        <v/>
      </c>
      <c r="I43" s="32" t="str">
        <f>IF(A43="","",SUMIFS(Payouts!$G$5:$G$504,Payouts!$B$5:$B$504,A43,Payouts!$H$5:$H$504,"Paid"))</f>
        <v/>
      </c>
      <c r="J43" s="32" t="str">
        <f t="shared" si="0"/>
        <v/>
      </c>
      <c r="K43" s="4"/>
      <c r="L43" s="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4"/>
      <c r="B44" s="4"/>
      <c r="C44" s="3" t="str">
        <f>IF(B44="","",VLOOKUP(B44,Customers!$A$5:$J$504,3,FALSE))</f>
        <v/>
      </c>
      <c r="D44" s="3" t="str">
        <f>IF(B44="","",VLOOKUP(B44,Customers!$A$5:$J$504,4,FALSE))</f>
        <v/>
      </c>
      <c r="E44" s="4"/>
      <c r="F44" s="28"/>
      <c r="G44" s="4"/>
      <c r="H44" s="32" t="str">
        <f>IF(A44="","",SUMIFS(Sales!$K$5:$K$504,Sales!$I$5:$I$504,A44,Sales!$L$5:$L$504,"Approved"))</f>
        <v/>
      </c>
      <c r="I44" s="32" t="str">
        <f>IF(A44="","",SUMIFS(Payouts!$G$5:$G$504,Payouts!$B$5:$B$504,A44,Payouts!$H$5:$H$504,"Paid"))</f>
        <v/>
      </c>
      <c r="J44" s="32" t="str">
        <f t="shared" si="0"/>
        <v/>
      </c>
      <c r="K44" s="4"/>
      <c r="L44" s="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"/>
      <c r="B45" s="4"/>
      <c r="C45" s="3" t="str">
        <f>IF(B45="","",VLOOKUP(B45,Customers!$A$5:$J$504,3,FALSE))</f>
        <v/>
      </c>
      <c r="D45" s="3" t="str">
        <f>IF(B45="","",VLOOKUP(B45,Customers!$A$5:$J$504,4,FALSE))</f>
        <v/>
      </c>
      <c r="E45" s="4"/>
      <c r="F45" s="28"/>
      <c r="G45" s="4"/>
      <c r="H45" s="32" t="str">
        <f>IF(A45="","",SUMIFS(Sales!$K$5:$K$504,Sales!$I$5:$I$504,A45,Sales!$L$5:$L$504,"Approved"))</f>
        <v/>
      </c>
      <c r="I45" s="32" t="str">
        <f>IF(A45="","",SUMIFS(Payouts!$G$5:$G$504,Payouts!$B$5:$B$504,A45,Payouts!$H$5:$H$504,"Paid"))</f>
        <v/>
      </c>
      <c r="J45" s="32" t="str">
        <f t="shared" si="0"/>
        <v/>
      </c>
      <c r="K45" s="4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4"/>
      <c r="B46" s="4"/>
      <c r="C46" s="3" t="str">
        <f>IF(B46="","",VLOOKUP(B46,Customers!$A$5:$J$504,3,FALSE))</f>
        <v/>
      </c>
      <c r="D46" s="3" t="str">
        <f>IF(B46="","",VLOOKUP(B46,Customers!$A$5:$J$504,4,FALSE))</f>
        <v/>
      </c>
      <c r="E46" s="4"/>
      <c r="F46" s="28"/>
      <c r="G46" s="4"/>
      <c r="H46" s="32" t="str">
        <f>IF(A46="","",SUMIFS(Sales!$K$5:$K$504,Sales!$I$5:$I$504,A46,Sales!$L$5:$L$504,"Approved"))</f>
        <v/>
      </c>
      <c r="I46" s="32" t="str">
        <f>IF(A46="","",SUMIFS(Payouts!$G$5:$G$504,Payouts!$B$5:$B$504,A46,Payouts!$H$5:$H$504,"Paid"))</f>
        <v/>
      </c>
      <c r="J46" s="32" t="str">
        <f t="shared" si="0"/>
        <v/>
      </c>
      <c r="K46" s="4"/>
      <c r="L46" s="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4"/>
      <c r="B47" s="4"/>
      <c r="C47" s="3" t="str">
        <f>IF(B47="","",VLOOKUP(B47,Customers!$A$5:$J$504,3,FALSE))</f>
        <v/>
      </c>
      <c r="D47" s="3" t="str">
        <f>IF(B47="","",VLOOKUP(B47,Customers!$A$5:$J$504,4,FALSE))</f>
        <v/>
      </c>
      <c r="E47" s="4"/>
      <c r="F47" s="28"/>
      <c r="G47" s="4"/>
      <c r="H47" s="32" t="str">
        <f>IF(A47="","",SUMIFS(Sales!$K$5:$K$504,Sales!$I$5:$I$504,A47,Sales!$L$5:$L$504,"Approved"))</f>
        <v/>
      </c>
      <c r="I47" s="32" t="str">
        <f>IF(A47="","",SUMIFS(Payouts!$G$5:$G$504,Payouts!$B$5:$B$504,A47,Payouts!$H$5:$H$504,"Paid"))</f>
        <v/>
      </c>
      <c r="J47" s="32" t="str">
        <f t="shared" si="0"/>
        <v/>
      </c>
      <c r="K47" s="4"/>
      <c r="L47" s="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4"/>
      <c r="B48" s="4"/>
      <c r="C48" s="3" t="str">
        <f>IF(B48="","",VLOOKUP(B48,Customers!$A$5:$J$504,3,FALSE))</f>
        <v/>
      </c>
      <c r="D48" s="3" t="str">
        <f>IF(B48="","",VLOOKUP(B48,Customers!$A$5:$J$504,4,FALSE))</f>
        <v/>
      </c>
      <c r="E48" s="4"/>
      <c r="F48" s="28"/>
      <c r="G48" s="4"/>
      <c r="H48" s="32" t="str">
        <f>IF(A48="","",SUMIFS(Sales!$K$5:$K$504,Sales!$I$5:$I$504,A48,Sales!$L$5:$L$504,"Approved"))</f>
        <v/>
      </c>
      <c r="I48" s="32" t="str">
        <f>IF(A48="","",SUMIFS(Payouts!$G$5:$G$504,Payouts!$B$5:$B$504,A48,Payouts!$H$5:$H$504,"Paid"))</f>
        <v/>
      </c>
      <c r="J48" s="32" t="str">
        <f t="shared" si="0"/>
        <v/>
      </c>
      <c r="K48" s="4"/>
      <c r="L48" s="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4"/>
      <c r="B49" s="4"/>
      <c r="C49" s="3" t="str">
        <f>IF(B49="","",VLOOKUP(B49,Customers!$A$5:$J$504,3,FALSE))</f>
        <v/>
      </c>
      <c r="D49" s="3" t="str">
        <f>IF(B49="","",VLOOKUP(B49,Customers!$A$5:$J$504,4,FALSE))</f>
        <v/>
      </c>
      <c r="E49" s="4"/>
      <c r="F49" s="28"/>
      <c r="G49" s="4"/>
      <c r="H49" s="32" t="str">
        <f>IF(A49="","",SUMIFS(Sales!$K$5:$K$504,Sales!$I$5:$I$504,A49,Sales!$L$5:$L$504,"Approved"))</f>
        <v/>
      </c>
      <c r="I49" s="32" t="str">
        <f>IF(A49="","",SUMIFS(Payouts!$G$5:$G$504,Payouts!$B$5:$B$504,A49,Payouts!$H$5:$H$504,"Paid"))</f>
        <v/>
      </c>
      <c r="J49" s="32" t="str">
        <f t="shared" si="0"/>
        <v/>
      </c>
      <c r="K49" s="4"/>
      <c r="L49" s="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4"/>
      <c r="B50" s="4"/>
      <c r="C50" s="3" t="str">
        <f>IF(B50="","",VLOOKUP(B50,Customers!$A$5:$J$504,3,FALSE))</f>
        <v/>
      </c>
      <c r="D50" s="3" t="str">
        <f>IF(B50="","",VLOOKUP(B50,Customers!$A$5:$J$504,4,FALSE))</f>
        <v/>
      </c>
      <c r="E50" s="4"/>
      <c r="F50" s="28"/>
      <c r="G50" s="4"/>
      <c r="H50" s="32" t="str">
        <f>IF(A50="","",SUMIFS(Sales!$K$5:$K$504,Sales!$I$5:$I$504,A50,Sales!$L$5:$L$504,"Approved"))</f>
        <v/>
      </c>
      <c r="I50" s="32" t="str">
        <f>IF(A50="","",SUMIFS(Payouts!$G$5:$G$504,Payouts!$B$5:$B$504,A50,Payouts!$H$5:$H$504,"Paid"))</f>
        <v/>
      </c>
      <c r="J50" s="32" t="str">
        <f t="shared" si="0"/>
        <v/>
      </c>
      <c r="K50" s="4"/>
      <c r="L50" s="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4"/>
      <c r="B51" s="4"/>
      <c r="C51" s="3" t="str">
        <f>IF(B51="","",VLOOKUP(B51,Customers!$A$5:$J$504,3,FALSE))</f>
        <v/>
      </c>
      <c r="D51" s="3" t="str">
        <f>IF(B51="","",VLOOKUP(B51,Customers!$A$5:$J$504,4,FALSE))</f>
        <v/>
      </c>
      <c r="E51" s="4"/>
      <c r="F51" s="28"/>
      <c r="G51" s="4"/>
      <c r="H51" s="32" t="str">
        <f>IF(A51="","",SUMIFS(Sales!$K$5:$K$504,Sales!$I$5:$I$504,A51,Sales!$L$5:$L$504,"Approved"))</f>
        <v/>
      </c>
      <c r="I51" s="32" t="str">
        <f>IF(A51="","",SUMIFS(Payouts!$G$5:$G$504,Payouts!$B$5:$B$504,A51,Payouts!$H$5:$H$504,"Paid"))</f>
        <v/>
      </c>
      <c r="J51" s="32" t="str">
        <f t="shared" si="0"/>
        <v/>
      </c>
      <c r="K51" s="4"/>
      <c r="L51" s="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4"/>
      <c r="B52" s="4"/>
      <c r="C52" s="3" t="str">
        <f>IF(B52="","",VLOOKUP(B52,Customers!$A$5:$J$504,3,FALSE))</f>
        <v/>
      </c>
      <c r="D52" s="3" t="str">
        <f>IF(B52="","",VLOOKUP(B52,Customers!$A$5:$J$504,4,FALSE))</f>
        <v/>
      </c>
      <c r="E52" s="4"/>
      <c r="F52" s="28"/>
      <c r="G52" s="4"/>
      <c r="H52" s="32" t="str">
        <f>IF(A52="","",SUMIFS(Sales!$K$5:$K$504,Sales!$I$5:$I$504,A52,Sales!$L$5:$L$504,"Approved"))</f>
        <v/>
      </c>
      <c r="I52" s="32" t="str">
        <f>IF(A52="","",SUMIFS(Payouts!$G$5:$G$504,Payouts!$B$5:$B$504,A52,Payouts!$H$5:$H$504,"Paid"))</f>
        <v/>
      </c>
      <c r="J52" s="32" t="str">
        <f t="shared" si="0"/>
        <v/>
      </c>
      <c r="K52" s="4"/>
      <c r="L52" s="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4"/>
      <c r="B53" s="4"/>
      <c r="C53" s="3" t="str">
        <f>IF(B53="","",VLOOKUP(B53,Customers!$A$5:$J$504,3,FALSE))</f>
        <v/>
      </c>
      <c r="D53" s="3" t="str">
        <f>IF(B53="","",VLOOKUP(B53,Customers!$A$5:$J$504,4,FALSE))</f>
        <v/>
      </c>
      <c r="E53" s="4"/>
      <c r="F53" s="28"/>
      <c r="G53" s="4"/>
      <c r="H53" s="32" t="str">
        <f>IF(A53="","",SUMIFS(Sales!$K$5:$K$504,Sales!$I$5:$I$504,A53,Sales!$L$5:$L$504,"Approved"))</f>
        <v/>
      </c>
      <c r="I53" s="32" t="str">
        <f>IF(A53="","",SUMIFS(Payouts!$G$5:$G$504,Payouts!$B$5:$B$504,A53,Payouts!$H$5:$H$504,"Paid"))</f>
        <v/>
      </c>
      <c r="J53" s="32" t="str">
        <f t="shared" si="0"/>
        <v/>
      </c>
      <c r="K53" s="4"/>
      <c r="L53" s="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4"/>
      <c r="B54" s="4"/>
      <c r="C54" s="3" t="str">
        <f>IF(B54="","",VLOOKUP(B54,Customers!$A$5:$J$504,3,FALSE))</f>
        <v/>
      </c>
      <c r="D54" s="3" t="str">
        <f>IF(B54="","",VLOOKUP(B54,Customers!$A$5:$J$504,4,FALSE))</f>
        <v/>
      </c>
      <c r="E54" s="4"/>
      <c r="F54" s="28"/>
      <c r="G54" s="4"/>
      <c r="H54" s="32" t="str">
        <f>IF(A54="","",SUMIFS(Sales!$K$5:$K$504,Sales!$I$5:$I$504,A54,Sales!$L$5:$L$504,"Approved"))</f>
        <v/>
      </c>
      <c r="I54" s="32" t="str">
        <f>IF(A54="","",SUMIFS(Payouts!$G$5:$G$504,Payouts!$B$5:$B$504,A54,Payouts!$H$5:$H$504,"Paid"))</f>
        <v/>
      </c>
      <c r="J54" s="32" t="str">
        <f t="shared" si="0"/>
        <v/>
      </c>
      <c r="K54" s="4"/>
      <c r="L54" s="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4"/>
      <c r="B55" s="4"/>
      <c r="C55" s="3" t="str">
        <f>IF(B55="","",VLOOKUP(B55,Customers!$A$5:$J$504,3,FALSE))</f>
        <v/>
      </c>
      <c r="D55" s="3" t="str">
        <f>IF(B55="","",VLOOKUP(B55,Customers!$A$5:$J$504,4,FALSE))</f>
        <v/>
      </c>
      <c r="E55" s="4"/>
      <c r="F55" s="28"/>
      <c r="G55" s="4"/>
      <c r="H55" s="32" t="str">
        <f>IF(A55="","",SUMIFS(Sales!$K$5:$K$504,Sales!$I$5:$I$504,A55,Sales!$L$5:$L$504,"Approved"))</f>
        <v/>
      </c>
      <c r="I55" s="32" t="str">
        <f>IF(A55="","",SUMIFS(Payouts!$G$5:$G$504,Payouts!$B$5:$B$504,A55,Payouts!$H$5:$H$504,"Paid"))</f>
        <v/>
      </c>
      <c r="J55" s="32" t="str">
        <f t="shared" si="0"/>
        <v/>
      </c>
      <c r="K55" s="4"/>
      <c r="L55" s="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4"/>
      <c r="B56" s="4"/>
      <c r="C56" s="3" t="str">
        <f>IF(B56="","",VLOOKUP(B56,Customers!$A$5:$J$504,3,FALSE))</f>
        <v/>
      </c>
      <c r="D56" s="3" t="str">
        <f>IF(B56="","",VLOOKUP(B56,Customers!$A$5:$J$504,4,FALSE))</f>
        <v/>
      </c>
      <c r="E56" s="4"/>
      <c r="F56" s="28"/>
      <c r="G56" s="4"/>
      <c r="H56" s="32" t="str">
        <f>IF(A56="","",SUMIFS(Sales!$K$5:$K$504,Sales!$I$5:$I$504,A56,Sales!$L$5:$L$504,"Approved"))</f>
        <v/>
      </c>
      <c r="I56" s="32" t="str">
        <f>IF(A56="","",SUMIFS(Payouts!$G$5:$G$504,Payouts!$B$5:$B$504,A56,Payouts!$H$5:$H$504,"Paid"))</f>
        <v/>
      </c>
      <c r="J56" s="32" t="str">
        <f t="shared" si="0"/>
        <v/>
      </c>
      <c r="K56" s="4"/>
      <c r="L56" s="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4"/>
      <c r="B57" s="4"/>
      <c r="C57" s="3" t="str">
        <f>IF(B57="","",VLOOKUP(B57,Customers!$A$5:$J$504,3,FALSE))</f>
        <v/>
      </c>
      <c r="D57" s="3" t="str">
        <f>IF(B57="","",VLOOKUP(B57,Customers!$A$5:$J$504,4,FALSE))</f>
        <v/>
      </c>
      <c r="E57" s="4"/>
      <c r="F57" s="28"/>
      <c r="G57" s="4"/>
      <c r="H57" s="32" t="str">
        <f>IF(A57="","",SUMIFS(Sales!$K$5:$K$504,Sales!$I$5:$I$504,A57,Sales!$L$5:$L$504,"Approved"))</f>
        <v/>
      </c>
      <c r="I57" s="32" t="str">
        <f>IF(A57="","",SUMIFS(Payouts!$G$5:$G$504,Payouts!$B$5:$B$504,A57,Payouts!$H$5:$H$504,"Paid"))</f>
        <v/>
      </c>
      <c r="J57" s="32" t="str">
        <f t="shared" si="0"/>
        <v/>
      </c>
      <c r="K57" s="4"/>
      <c r="L57" s="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4"/>
      <c r="B58" s="4"/>
      <c r="C58" s="3" t="str">
        <f>IF(B58="","",VLOOKUP(B58,Customers!$A$5:$J$504,3,FALSE))</f>
        <v/>
      </c>
      <c r="D58" s="3" t="str">
        <f>IF(B58="","",VLOOKUP(B58,Customers!$A$5:$J$504,4,FALSE))</f>
        <v/>
      </c>
      <c r="E58" s="4"/>
      <c r="F58" s="28"/>
      <c r="G58" s="4"/>
      <c r="H58" s="32" t="str">
        <f>IF(A58="","",SUMIFS(Sales!$K$5:$K$504,Sales!$I$5:$I$504,A58,Sales!$L$5:$L$504,"Approved"))</f>
        <v/>
      </c>
      <c r="I58" s="32" t="str">
        <f>IF(A58="","",SUMIFS(Payouts!$G$5:$G$504,Payouts!$B$5:$B$504,A58,Payouts!$H$5:$H$504,"Paid"))</f>
        <v/>
      </c>
      <c r="J58" s="32" t="str">
        <f t="shared" si="0"/>
        <v/>
      </c>
      <c r="K58" s="4"/>
      <c r="L58" s="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4"/>
      <c r="B59" s="4"/>
      <c r="C59" s="3" t="str">
        <f>IF(B59="","",VLOOKUP(B59,Customers!$A$5:$J$504,3,FALSE))</f>
        <v/>
      </c>
      <c r="D59" s="3" t="str">
        <f>IF(B59="","",VLOOKUP(B59,Customers!$A$5:$J$504,4,FALSE))</f>
        <v/>
      </c>
      <c r="E59" s="4"/>
      <c r="F59" s="28"/>
      <c r="G59" s="4"/>
      <c r="H59" s="32" t="str">
        <f>IF(A59="","",SUMIFS(Sales!$K$5:$K$504,Sales!$I$5:$I$504,A59,Sales!$L$5:$L$504,"Approved"))</f>
        <v/>
      </c>
      <c r="I59" s="32" t="str">
        <f>IF(A59="","",SUMIFS(Payouts!$G$5:$G$504,Payouts!$B$5:$B$504,A59,Payouts!$H$5:$H$504,"Paid"))</f>
        <v/>
      </c>
      <c r="J59" s="32" t="str">
        <f t="shared" si="0"/>
        <v/>
      </c>
      <c r="K59" s="4"/>
      <c r="L59" s="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4"/>
      <c r="B60" s="4"/>
      <c r="C60" s="3" t="str">
        <f>IF(B60="","",VLOOKUP(B60,Customers!$A$5:$J$504,3,FALSE))</f>
        <v/>
      </c>
      <c r="D60" s="3" t="str">
        <f>IF(B60="","",VLOOKUP(B60,Customers!$A$5:$J$504,4,FALSE))</f>
        <v/>
      </c>
      <c r="E60" s="4"/>
      <c r="F60" s="28"/>
      <c r="G60" s="4"/>
      <c r="H60" s="32" t="str">
        <f>IF(A60="","",SUMIFS(Sales!$K$5:$K$504,Sales!$I$5:$I$504,A60,Sales!$L$5:$L$504,"Approved"))</f>
        <v/>
      </c>
      <c r="I60" s="32" t="str">
        <f>IF(A60="","",SUMIFS(Payouts!$G$5:$G$504,Payouts!$B$5:$B$504,A60,Payouts!$H$5:$H$504,"Paid"))</f>
        <v/>
      </c>
      <c r="J60" s="32" t="str">
        <f t="shared" si="0"/>
        <v/>
      </c>
      <c r="K60" s="4"/>
      <c r="L60" s="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4"/>
      <c r="B61" s="4"/>
      <c r="C61" s="3" t="str">
        <f>IF(B61="","",VLOOKUP(B61,Customers!$A$5:$J$504,3,FALSE))</f>
        <v/>
      </c>
      <c r="D61" s="3" t="str">
        <f>IF(B61="","",VLOOKUP(B61,Customers!$A$5:$J$504,4,FALSE))</f>
        <v/>
      </c>
      <c r="E61" s="4"/>
      <c r="F61" s="28"/>
      <c r="G61" s="4"/>
      <c r="H61" s="32" t="str">
        <f>IF(A61="","",SUMIFS(Sales!$K$5:$K$504,Sales!$I$5:$I$504,A61,Sales!$L$5:$L$504,"Approved"))</f>
        <v/>
      </c>
      <c r="I61" s="32" t="str">
        <f>IF(A61="","",SUMIFS(Payouts!$G$5:$G$504,Payouts!$B$5:$B$504,A61,Payouts!$H$5:$H$504,"Paid"))</f>
        <v/>
      </c>
      <c r="J61" s="32" t="str">
        <f t="shared" si="0"/>
        <v/>
      </c>
      <c r="K61" s="4"/>
      <c r="L61" s="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4"/>
      <c r="B62" s="4"/>
      <c r="C62" s="3" t="str">
        <f>IF(B62="","",VLOOKUP(B62,Customers!$A$5:$J$504,3,FALSE))</f>
        <v/>
      </c>
      <c r="D62" s="3" t="str">
        <f>IF(B62="","",VLOOKUP(B62,Customers!$A$5:$J$504,4,FALSE))</f>
        <v/>
      </c>
      <c r="E62" s="4"/>
      <c r="F62" s="28"/>
      <c r="G62" s="4"/>
      <c r="H62" s="32" t="str">
        <f>IF(A62="","",SUMIFS(Sales!$K$5:$K$504,Sales!$I$5:$I$504,A62,Sales!$L$5:$L$504,"Approved"))</f>
        <v/>
      </c>
      <c r="I62" s="32" t="str">
        <f>IF(A62="","",SUMIFS(Payouts!$G$5:$G$504,Payouts!$B$5:$B$504,A62,Payouts!$H$5:$H$504,"Paid"))</f>
        <v/>
      </c>
      <c r="J62" s="32" t="str">
        <f t="shared" si="0"/>
        <v/>
      </c>
      <c r="K62" s="4"/>
      <c r="L62" s="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4"/>
      <c r="B63" s="4"/>
      <c r="C63" s="3" t="str">
        <f>IF(B63="","",VLOOKUP(B63,Customers!$A$5:$J$504,3,FALSE))</f>
        <v/>
      </c>
      <c r="D63" s="3" t="str">
        <f>IF(B63="","",VLOOKUP(B63,Customers!$A$5:$J$504,4,FALSE))</f>
        <v/>
      </c>
      <c r="E63" s="4"/>
      <c r="F63" s="28"/>
      <c r="G63" s="4"/>
      <c r="H63" s="32" t="str">
        <f>IF(A63="","",SUMIFS(Sales!$K$5:$K$504,Sales!$I$5:$I$504,A63,Sales!$L$5:$L$504,"Approved"))</f>
        <v/>
      </c>
      <c r="I63" s="32" t="str">
        <f>IF(A63="","",SUMIFS(Payouts!$G$5:$G$504,Payouts!$B$5:$B$504,A63,Payouts!$H$5:$H$504,"Paid"))</f>
        <v/>
      </c>
      <c r="J63" s="32" t="str">
        <f t="shared" si="0"/>
        <v/>
      </c>
      <c r="K63" s="4"/>
      <c r="L63" s="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4"/>
      <c r="B64" s="4"/>
      <c r="C64" s="3" t="str">
        <f>IF(B64="","",VLOOKUP(B64,Customers!$A$5:$J$504,3,FALSE))</f>
        <v/>
      </c>
      <c r="D64" s="3" t="str">
        <f>IF(B64="","",VLOOKUP(B64,Customers!$A$5:$J$504,4,FALSE))</f>
        <v/>
      </c>
      <c r="E64" s="4"/>
      <c r="F64" s="28"/>
      <c r="G64" s="4"/>
      <c r="H64" s="32" t="str">
        <f>IF(A64="","",SUMIFS(Sales!$K$5:$K$504,Sales!$I$5:$I$504,A64,Sales!$L$5:$L$504,"Approved"))</f>
        <v/>
      </c>
      <c r="I64" s="32" t="str">
        <f>IF(A64="","",SUMIFS(Payouts!$G$5:$G$504,Payouts!$B$5:$B$504,A64,Payouts!$H$5:$H$504,"Paid"))</f>
        <v/>
      </c>
      <c r="J64" s="32" t="str">
        <f t="shared" si="0"/>
        <v/>
      </c>
      <c r="K64" s="4"/>
      <c r="L64" s="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4"/>
      <c r="B65" s="4"/>
      <c r="C65" s="3" t="str">
        <f>IF(B65="","",VLOOKUP(B65,Customers!$A$5:$J$504,3,FALSE))</f>
        <v/>
      </c>
      <c r="D65" s="3" t="str">
        <f>IF(B65="","",VLOOKUP(B65,Customers!$A$5:$J$504,4,FALSE))</f>
        <v/>
      </c>
      <c r="E65" s="4"/>
      <c r="F65" s="28"/>
      <c r="G65" s="4"/>
      <c r="H65" s="32" t="str">
        <f>IF(A65="","",SUMIFS(Sales!$K$5:$K$504,Sales!$I$5:$I$504,A65,Sales!$L$5:$L$504,"Approved"))</f>
        <v/>
      </c>
      <c r="I65" s="32" t="str">
        <f>IF(A65="","",SUMIFS(Payouts!$G$5:$G$504,Payouts!$B$5:$B$504,A65,Payouts!$H$5:$H$504,"Paid"))</f>
        <v/>
      </c>
      <c r="J65" s="32" t="str">
        <f t="shared" si="0"/>
        <v/>
      </c>
      <c r="K65" s="4"/>
      <c r="L65" s="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4"/>
      <c r="B66" s="4"/>
      <c r="C66" s="3" t="str">
        <f>IF(B66="","",VLOOKUP(B66,Customers!$A$5:$J$504,3,FALSE))</f>
        <v/>
      </c>
      <c r="D66" s="3" t="str">
        <f>IF(B66="","",VLOOKUP(B66,Customers!$A$5:$J$504,4,FALSE))</f>
        <v/>
      </c>
      <c r="E66" s="4"/>
      <c r="F66" s="28"/>
      <c r="G66" s="4"/>
      <c r="H66" s="32" t="str">
        <f>IF(A66="","",SUMIFS(Sales!$K$5:$K$504,Sales!$I$5:$I$504,A66,Sales!$L$5:$L$504,"Approved"))</f>
        <v/>
      </c>
      <c r="I66" s="32" t="str">
        <f>IF(A66="","",SUMIFS(Payouts!$G$5:$G$504,Payouts!$B$5:$B$504,A66,Payouts!$H$5:$H$504,"Paid"))</f>
        <v/>
      </c>
      <c r="J66" s="32" t="str">
        <f t="shared" si="0"/>
        <v/>
      </c>
      <c r="K66" s="4"/>
      <c r="L66" s="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4"/>
      <c r="B67" s="4"/>
      <c r="C67" s="3" t="str">
        <f>IF(B67="","",VLOOKUP(B67,Customers!$A$5:$J$504,3,FALSE))</f>
        <v/>
      </c>
      <c r="D67" s="3" t="str">
        <f>IF(B67="","",VLOOKUP(B67,Customers!$A$5:$J$504,4,FALSE))</f>
        <v/>
      </c>
      <c r="E67" s="4"/>
      <c r="F67" s="28"/>
      <c r="G67" s="4"/>
      <c r="H67" s="32" t="str">
        <f>IF(A67="","",SUMIFS(Sales!$K$5:$K$504,Sales!$I$5:$I$504,A67,Sales!$L$5:$L$504,"Approved"))</f>
        <v/>
      </c>
      <c r="I67" s="32" t="str">
        <f>IF(A67="","",SUMIFS(Payouts!$G$5:$G$504,Payouts!$B$5:$B$504,A67,Payouts!$H$5:$H$504,"Paid"))</f>
        <v/>
      </c>
      <c r="J67" s="32" t="str">
        <f t="shared" si="0"/>
        <v/>
      </c>
      <c r="K67" s="4"/>
      <c r="L67" s="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4"/>
      <c r="B68" s="4"/>
      <c r="C68" s="3" t="str">
        <f>IF(B68="","",VLOOKUP(B68,Customers!$A$5:$J$504,3,FALSE))</f>
        <v/>
      </c>
      <c r="D68" s="3" t="str">
        <f>IF(B68="","",VLOOKUP(B68,Customers!$A$5:$J$504,4,FALSE))</f>
        <v/>
      </c>
      <c r="E68" s="4"/>
      <c r="F68" s="28"/>
      <c r="G68" s="4"/>
      <c r="H68" s="32" t="str">
        <f>IF(A68="","",SUMIFS(Sales!$K$5:$K$504,Sales!$I$5:$I$504,A68,Sales!$L$5:$L$504,"Approved"))</f>
        <v/>
      </c>
      <c r="I68" s="32" t="str">
        <f>IF(A68="","",SUMIFS(Payouts!$G$5:$G$504,Payouts!$B$5:$B$504,A68,Payouts!$H$5:$H$504,"Paid"))</f>
        <v/>
      </c>
      <c r="J68" s="32" t="str">
        <f t="shared" si="0"/>
        <v/>
      </c>
      <c r="K68" s="4"/>
      <c r="L68" s="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4"/>
      <c r="B69" s="4"/>
      <c r="C69" s="3" t="str">
        <f>IF(B69="","",VLOOKUP(B69,Customers!$A$5:$J$504,3,FALSE))</f>
        <v/>
      </c>
      <c r="D69" s="3" t="str">
        <f>IF(B69="","",VLOOKUP(B69,Customers!$A$5:$J$504,4,FALSE))</f>
        <v/>
      </c>
      <c r="E69" s="4"/>
      <c r="F69" s="28"/>
      <c r="G69" s="4"/>
      <c r="H69" s="32" t="str">
        <f>IF(A69="","",SUMIFS(Sales!$K$5:$K$504,Sales!$I$5:$I$504,A69,Sales!$L$5:$L$504,"Approved"))</f>
        <v/>
      </c>
      <c r="I69" s="32" t="str">
        <f>IF(A69="","",SUMIFS(Payouts!$G$5:$G$504,Payouts!$B$5:$B$504,A69,Payouts!$H$5:$H$504,"Paid"))</f>
        <v/>
      </c>
      <c r="J69" s="32" t="str">
        <f t="shared" ref="J69:J132" si="1">IF(A69="","",H69-I69)</f>
        <v/>
      </c>
      <c r="K69" s="4"/>
      <c r="L69" s="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4"/>
      <c r="B70" s="4"/>
      <c r="C70" s="3" t="str">
        <f>IF(B70="","",VLOOKUP(B70,Customers!$A$5:$J$504,3,FALSE))</f>
        <v/>
      </c>
      <c r="D70" s="3" t="str">
        <f>IF(B70="","",VLOOKUP(B70,Customers!$A$5:$J$504,4,FALSE))</f>
        <v/>
      </c>
      <c r="E70" s="4"/>
      <c r="F70" s="28"/>
      <c r="G70" s="4"/>
      <c r="H70" s="32" t="str">
        <f>IF(A70="","",SUMIFS(Sales!$K$5:$K$504,Sales!$I$5:$I$504,A70,Sales!$L$5:$L$504,"Approved"))</f>
        <v/>
      </c>
      <c r="I70" s="32" t="str">
        <f>IF(A70="","",SUMIFS(Payouts!$G$5:$G$504,Payouts!$B$5:$B$504,A70,Payouts!$H$5:$H$504,"Paid"))</f>
        <v/>
      </c>
      <c r="J70" s="32" t="str">
        <f t="shared" si="1"/>
        <v/>
      </c>
      <c r="K70" s="4"/>
      <c r="L70" s="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4"/>
      <c r="B71" s="4"/>
      <c r="C71" s="3" t="str">
        <f>IF(B71="","",VLOOKUP(B71,Customers!$A$5:$J$504,3,FALSE))</f>
        <v/>
      </c>
      <c r="D71" s="3" t="str">
        <f>IF(B71="","",VLOOKUP(B71,Customers!$A$5:$J$504,4,FALSE))</f>
        <v/>
      </c>
      <c r="E71" s="4"/>
      <c r="F71" s="28"/>
      <c r="G71" s="4"/>
      <c r="H71" s="32" t="str">
        <f>IF(A71="","",SUMIFS(Sales!$K$5:$K$504,Sales!$I$5:$I$504,A71,Sales!$L$5:$L$504,"Approved"))</f>
        <v/>
      </c>
      <c r="I71" s="32" t="str">
        <f>IF(A71="","",SUMIFS(Payouts!$G$5:$G$504,Payouts!$B$5:$B$504,A71,Payouts!$H$5:$H$504,"Paid"))</f>
        <v/>
      </c>
      <c r="J71" s="32" t="str">
        <f t="shared" si="1"/>
        <v/>
      </c>
      <c r="K71" s="4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4"/>
      <c r="B72" s="4"/>
      <c r="C72" s="3" t="str">
        <f>IF(B72="","",VLOOKUP(B72,Customers!$A$5:$J$504,3,FALSE))</f>
        <v/>
      </c>
      <c r="D72" s="3" t="str">
        <f>IF(B72="","",VLOOKUP(B72,Customers!$A$5:$J$504,4,FALSE))</f>
        <v/>
      </c>
      <c r="E72" s="4"/>
      <c r="F72" s="28"/>
      <c r="G72" s="4"/>
      <c r="H72" s="32" t="str">
        <f>IF(A72="","",SUMIFS(Sales!$K$5:$K$504,Sales!$I$5:$I$504,A72,Sales!$L$5:$L$504,"Approved"))</f>
        <v/>
      </c>
      <c r="I72" s="32" t="str">
        <f>IF(A72="","",SUMIFS(Payouts!$G$5:$G$504,Payouts!$B$5:$B$504,A72,Payouts!$H$5:$H$504,"Paid"))</f>
        <v/>
      </c>
      <c r="J72" s="32" t="str">
        <f t="shared" si="1"/>
        <v/>
      </c>
      <c r="K72" s="4"/>
      <c r="L72" s="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4"/>
      <c r="B73" s="4"/>
      <c r="C73" s="3" t="str">
        <f>IF(B73="","",VLOOKUP(B73,Customers!$A$5:$J$504,3,FALSE))</f>
        <v/>
      </c>
      <c r="D73" s="3" t="str">
        <f>IF(B73="","",VLOOKUP(B73,Customers!$A$5:$J$504,4,FALSE))</f>
        <v/>
      </c>
      <c r="E73" s="4"/>
      <c r="F73" s="28"/>
      <c r="G73" s="4"/>
      <c r="H73" s="32" t="str">
        <f>IF(A73="","",SUMIFS(Sales!$K$5:$K$504,Sales!$I$5:$I$504,A73,Sales!$L$5:$L$504,"Approved"))</f>
        <v/>
      </c>
      <c r="I73" s="32" t="str">
        <f>IF(A73="","",SUMIFS(Payouts!$G$5:$G$504,Payouts!$B$5:$B$504,A73,Payouts!$H$5:$H$504,"Paid"))</f>
        <v/>
      </c>
      <c r="J73" s="32" t="str">
        <f t="shared" si="1"/>
        <v/>
      </c>
      <c r="K73" s="4"/>
      <c r="L73" s="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4"/>
      <c r="B74" s="4"/>
      <c r="C74" s="3" t="str">
        <f>IF(B74="","",VLOOKUP(B74,Customers!$A$5:$J$504,3,FALSE))</f>
        <v/>
      </c>
      <c r="D74" s="3" t="str">
        <f>IF(B74="","",VLOOKUP(B74,Customers!$A$5:$J$504,4,FALSE))</f>
        <v/>
      </c>
      <c r="E74" s="4"/>
      <c r="F74" s="28"/>
      <c r="G74" s="4"/>
      <c r="H74" s="32" t="str">
        <f>IF(A74="","",SUMIFS(Sales!$K$5:$K$504,Sales!$I$5:$I$504,A74,Sales!$L$5:$L$504,"Approved"))</f>
        <v/>
      </c>
      <c r="I74" s="32" t="str">
        <f>IF(A74="","",SUMIFS(Payouts!$G$5:$G$504,Payouts!$B$5:$B$504,A74,Payouts!$H$5:$H$504,"Paid"))</f>
        <v/>
      </c>
      <c r="J74" s="32" t="str">
        <f t="shared" si="1"/>
        <v/>
      </c>
      <c r="K74" s="4"/>
      <c r="L74" s="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4"/>
      <c r="B75" s="4"/>
      <c r="C75" s="3" t="str">
        <f>IF(B75="","",VLOOKUP(B75,Customers!$A$5:$J$504,3,FALSE))</f>
        <v/>
      </c>
      <c r="D75" s="3" t="str">
        <f>IF(B75="","",VLOOKUP(B75,Customers!$A$5:$J$504,4,FALSE))</f>
        <v/>
      </c>
      <c r="E75" s="4"/>
      <c r="F75" s="28"/>
      <c r="G75" s="4"/>
      <c r="H75" s="32" t="str">
        <f>IF(A75="","",SUMIFS(Sales!$K$5:$K$504,Sales!$I$5:$I$504,A75,Sales!$L$5:$L$504,"Approved"))</f>
        <v/>
      </c>
      <c r="I75" s="32" t="str">
        <f>IF(A75="","",SUMIFS(Payouts!$G$5:$G$504,Payouts!$B$5:$B$504,A75,Payouts!$H$5:$H$504,"Paid"))</f>
        <v/>
      </c>
      <c r="J75" s="32" t="str">
        <f t="shared" si="1"/>
        <v/>
      </c>
      <c r="K75" s="4"/>
      <c r="L75" s="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4"/>
      <c r="B76" s="4"/>
      <c r="C76" s="3" t="str">
        <f>IF(B76="","",VLOOKUP(B76,Customers!$A$5:$J$504,3,FALSE))</f>
        <v/>
      </c>
      <c r="D76" s="3" t="str">
        <f>IF(B76="","",VLOOKUP(B76,Customers!$A$5:$J$504,4,FALSE))</f>
        <v/>
      </c>
      <c r="E76" s="4"/>
      <c r="F76" s="28"/>
      <c r="G76" s="4"/>
      <c r="H76" s="32" t="str">
        <f>IF(A76="","",SUMIFS(Sales!$K$5:$K$504,Sales!$I$5:$I$504,A76,Sales!$L$5:$L$504,"Approved"))</f>
        <v/>
      </c>
      <c r="I76" s="32" t="str">
        <f>IF(A76="","",SUMIFS(Payouts!$G$5:$G$504,Payouts!$B$5:$B$504,A76,Payouts!$H$5:$H$504,"Paid"))</f>
        <v/>
      </c>
      <c r="J76" s="32" t="str">
        <f t="shared" si="1"/>
        <v/>
      </c>
      <c r="K76" s="4"/>
      <c r="L76" s="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4"/>
      <c r="B77" s="4"/>
      <c r="C77" s="3" t="str">
        <f>IF(B77="","",VLOOKUP(B77,Customers!$A$5:$J$504,3,FALSE))</f>
        <v/>
      </c>
      <c r="D77" s="3" t="str">
        <f>IF(B77="","",VLOOKUP(B77,Customers!$A$5:$J$504,4,FALSE))</f>
        <v/>
      </c>
      <c r="E77" s="4"/>
      <c r="F77" s="28"/>
      <c r="G77" s="4"/>
      <c r="H77" s="32" t="str">
        <f>IF(A77="","",SUMIFS(Sales!$K$5:$K$504,Sales!$I$5:$I$504,A77,Sales!$L$5:$L$504,"Approved"))</f>
        <v/>
      </c>
      <c r="I77" s="32" t="str">
        <f>IF(A77="","",SUMIFS(Payouts!$G$5:$G$504,Payouts!$B$5:$B$504,A77,Payouts!$H$5:$H$504,"Paid"))</f>
        <v/>
      </c>
      <c r="J77" s="32" t="str">
        <f t="shared" si="1"/>
        <v/>
      </c>
      <c r="K77" s="4"/>
      <c r="L77" s="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4"/>
      <c r="B78" s="4"/>
      <c r="C78" s="3" t="str">
        <f>IF(B78="","",VLOOKUP(B78,Customers!$A$5:$J$504,3,FALSE))</f>
        <v/>
      </c>
      <c r="D78" s="3" t="str">
        <f>IF(B78="","",VLOOKUP(B78,Customers!$A$5:$J$504,4,FALSE))</f>
        <v/>
      </c>
      <c r="E78" s="4"/>
      <c r="F78" s="28"/>
      <c r="G78" s="4"/>
      <c r="H78" s="32" t="str">
        <f>IF(A78="","",SUMIFS(Sales!$K$5:$K$504,Sales!$I$5:$I$504,A78,Sales!$L$5:$L$504,"Approved"))</f>
        <v/>
      </c>
      <c r="I78" s="32" t="str">
        <f>IF(A78="","",SUMIFS(Payouts!$G$5:$G$504,Payouts!$B$5:$B$504,A78,Payouts!$H$5:$H$504,"Paid"))</f>
        <v/>
      </c>
      <c r="J78" s="32" t="str">
        <f t="shared" si="1"/>
        <v/>
      </c>
      <c r="K78" s="4"/>
      <c r="L78" s="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4"/>
      <c r="B79" s="4"/>
      <c r="C79" s="3" t="str">
        <f>IF(B79="","",VLOOKUP(B79,Customers!$A$5:$J$504,3,FALSE))</f>
        <v/>
      </c>
      <c r="D79" s="3" t="str">
        <f>IF(B79="","",VLOOKUP(B79,Customers!$A$5:$J$504,4,FALSE))</f>
        <v/>
      </c>
      <c r="E79" s="4"/>
      <c r="F79" s="28"/>
      <c r="G79" s="4"/>
      <c r="H79" s="32" t="str">
        <f>IF(A79="","",SUMIFS(Sales!$K$5:$K$504,Sales!$I$5:$I$504,A79,Sales!$L$5:$L$504,"Approved"))</f>
        <v/>
      </c>
      <c r="I79" s="32" t="str">
        <f>IF(A79="","",SUMIFS(Payouts!$G$5:$G$504,Payouts!$B$5:$B$504,A79,Payouts!$H$5:$H$504,"Paid"))</f>
        <v/>
      </c>
      <c r="J79" s="32" t="str">
        <f t="shared" si="1"/>
        <v/>
      </c>
      <c r="K79" s="4"/>
      <c r="L79" s="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4"/>
      <c r="B80" s="4"/>
      <c r="C80" s="3" t="str">
        <f>IF(B80="","",VLOOKUP(B80,Customers!$A$5:$J$504,3,FALSE))</f>
        <v/>
      </c>
      <c r="D80" s="3" t="str">
        <f>IF(B80="","",VLOOKUP(B80,Customers!$A$5:$J$504,4,FALSE))</f>
        <v/>
      </c>
      <c r="E80" s="4"/>
      <c r="F80" s="28"/>
      <c r="G80" s="4"/>
      <c r="H80" s="32" t="str">
        <f>IF(A80="","",SUMIFS(Sales!$K$5:$K$504,Sales!$I$5:$I$504,A80,Sales!$L$5:$L$504,"Approved"))</f>
        <v/>
      </c>
      <c r="I80" s="32" t="str">
        <f>IF(A80="","",SUMIFS(Payouts!$G$5:$G$504,Payouts!$B$5:$B$504,A80,Payouts!$H$5:$H$504,"Paid"))</f>
        <v/>
      </c>
      <c r="J80" s="32" t="str">
        <f t="shared" si="1"/>
        <v/>
      </c>
      <c r="K80" s="4"/>
      <c r="L80" s="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4"/>
      <c r="B81" s="4"/>
      <c r="C81" s="3" t="str">
        <f>IF(B81="","",VLOOKUP(B81,Customers!$A$5:$J$504,3,FALSE))</f>
        <v/>
      </c>
      <c r="D81" s="3" t="str">
        <f>IF(B81="","",VLOOKUP(B81,Customers!$A$5:$J$504,4,FALSE))</f>
        <v/>
      </c>
      <c r="E81" s="4"/>
      <c r="F81" s="28"/>
      <c r="G81" s="4"/>
      <c r="H81" s="32" t="str">
        <f>IF(A81="","",SUMIFS(Sales!$K$5:$K$504,Sales!$I$5:$I$504,A81,Sales!$L$5:$L$504,"Approved"))</f>
        <v/>
      </c>
      <c r="I81" s="32" t="str">
        <f>IF(A81="","",SUMIFS(Payouts!$G$5:$G$504,Payouts!$B$5:$B$504,A81,Payouts!$H$5:$H$504,"Paid"))</f>
        <v/>
      </c>
      <c r="J81" s="32" t="str">
        <f t="shared" si="1"/>
        <v/>
      </c>
      <c r="K81" s="4"/>
      <c r="L81" s="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4"/>
      <c r="B82" s="4"/>
      <c r="C82" s="3" t="str">
        <f>IF(B82="","",VLOOKUP(B82,Customers!$A$5:$J$504,3,FALSE))</f>
        <v/>
      </c>
      <c r="D82" s="3" t="str">
        <f>IF(B82="","",VLOOKUP(B82,Customers!$A$5:$J$504,4,FALSE))</f>
        <v/>
      </c>
      <c r="E82" s="4"/>
      <c r="F82" s="28"/>
      <c r="G82" s="4"/>
      <c r="H82" s="32" t="str">
        <f>IF(A82="","",SUMIFS(Sales!$K$5:$K$504,Sales!$I$5:$I$504,A82,Sales!$L$5:$L$504,"Approved"))</f>
        <v/>
      </c>
      <c r="I82" s="32" t="str">
        <f>IF(A82="","",SUMIFS(Payouts!$G$5:$G$504,Payouts!$B$5:$B$504,A82,Payouts!$H$5:$H$504,"Paid"))</f>
        <v/>
      </c>
      <c r="J82" s="32" t="str">
        <f t="shared" si="1"/>
        <v/>
      </c>
      <c r="K82" s="4"/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4"/>
      <c r="B83" s="4"/>
      <c r="C83" s="3" t="str">
        <f>IF(B83="","",VLOOKUP(B83,Customers!$A$5:$J$504,3,FALSE))</f>
        <v/>
      </c>
      <c r="D83" s="3" t="str">
        <f>IF(B83="","",VLOOKUP(B83,Customers!$A$5:$J$504,4,FALSE))</f>
        <v/>
      </c>
      <c r="E83" s="4"/>
      <c r="F83" s="28"/>
      <c r="G83" s="4"/>
      <c r="H83" s="32" t="str">
        <f>IF(A83="","",SUMIFS(Sales!$K$5:$K$504,Sales!$I$5:$I$504,A83,Sales!$L$5:$L$504,"Approved"))</f>
        <v/>
      </c>
      <c r="I83" s="32" t="str">
        <f>IF(A83="","",SUMIFS(Payouts!$G$5:$G$504,Payouts!$B$5:$B$504,A83,Payouts!$H$5:$H$504,"Paid"))</f>
        <v/>
      </c>
      <c r="J83" s="32" t="str">
        <f t="shared" si="1"/>
        <v/>
      </c>
      <c r="K83" s="4"/>
      <c r="L83" s="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4"/>
      <c r="B84" s="4"/>
      <c r="C84" s="3" t="str">
        <f>IF(B84="","",VLOOKUP(B84,Customers!$A$5:$J$504,3,FALSE))</f>
        <v/>
      </c>
      <c r="D84" s="3" t="str">
        <f>IF(B84="","",VLOOKUP(B84,Customers!$A$5:$J$504,4,FALSE))</f>
        <v/>
      </c>
      <c r="E84" s="4"/>
      <c r="F84" s="28"/>
      <c r="G84" s="4"/>
      <c r="H84" s="32" t="str">
        <f>IF(A84="","",SUMIFS(Sales!$K$5:$K$504,Sales!$I$5:$I$504,A84,Sales!$L$5:$L$504,"Approved"))</f>
        <v/>
      </c>
      <c r="I84" s="32" t="str">
        <f>IF(A84="","",SUMIFS(Payouts!$G$5:$G$504,Payouts!$B$5:$B$504,A84,Payouts!$H$5:$H$504,"Paid"))</f>
        <v/>
      </c>
      <c r="J84" s="32" t="str">
        <f t="shared" si="1"/>
        <v/>
      </c>
      <c r="K84" s="4"/>
      <c r="L84" s="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4"/>
      <c r="B85" s="4"/>
      <c r="C85" s="3" t="str">
        <f>IF(B85="","",VLOOKUP(B85,Customers!$A$5:$J$504,3,FALSE))</f>
        <v/>
      </c>
      <c r="D85" s="3" t="str">
        <f>IF(B85="","",VLOOKUP(B85,Customers!$A$5:$J$504,4,FALSE))</f>
        <v/>
      </c>
      <c r="E85" s="4"/>
      <c r="F85" s="28"/>
      <c r="G85" s="4"/>
      <c r="H85" s="32" t="str">
        <f>IF(A85="","",SUMIFS(Sales!$K$5:$K$504,Sales!$I$5:$I$504,A85,Sales!$L$5:$L$504,"Approved"))</f>
        <v/>
      </c>
      <c r="I85" s="32" t="str">
        <f>IF(A85="","",SUMIFS(Payouts!$G$5:$G$504,Payouts!$B$5:$B$504,A85,Payouts!$H$5:$H$504,"Paid"))</f>
        <v/>
      </c>
      <c r="J85" s="32" t="str">
        <f t="shared" si="1"/>
        <v/>
      </c>
      <c r="K85" s="4"/>
      <c r="L85" s="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4"/>
      <c r="B86" s="4"/>
      <c r="C86" s="3" t="str">
        <f>IF(B86="","",VLOOKUP(B86,Customers!$A$5:$J$504,3,FALSE))</f>
        <v/>
      </c>
      <c r="D86" s="3" t="str">
        <f>IF(B86="","",VLOOKUP(B86,Customers!$A$5:$J$504,4,FALSE))</f>
        <v/>
      </c>
      <c r="E86" s="4"/>
      <c r="F86" s="28"/>
      <c r="G86" s="4"/>
      <c r="H86" s="32" t="str">
        <f>IF(A86="","",SUMIFS(Sales!$K$5:$K$504,Sales!$I$5:$I$504,A86,Sales!$L$5:$L$504,"Approved"))</f>
        <v/>
      </c>
      <c r="I86" s="32" t="str">
        <f>IF(A86="","",SUMIFS(Payouts!$G$5:$G$504,Payouts!$B$5:$B$504,A86,Payouts!$H$5:$H$504,"Paid"))</f>
        <v/>
      </c>
      <c r="J86" s="32" t="str">
        <f t="shared" si="1"/>
        <v/>
      </c>
      <c r="K86" s="4"/>
      <c r="L86" s="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4"/>
      <c r="B87" s="4"/>
      <c r="C87" s="3" t="str">
        <f>IF(B87="","",VLOOKUP(B87,Customers!$A$5:$J$504,3,FALSE))</f>
        <v/>
      </c>
      <c r="D87" s="3" t="str">
        <f>IF(B87="","",VLOOKUP(B87,Customers!$A$5:$J$504,4,FALSE))</f>
        <v/>
      </c>
      <c r="E87" s="4"/>
      <c r="F87" s="28"/>
      <c r="G87" s="4"/>
      <c r="H87" s="32" t="str">
        <f>IF(A87="","",SUMIFS(Sales!$K$5:$K$504,Sales!$I$5:$I$504,A87,Sales!$L$5:$L$504,"Approved"))</f>
        <v/>
      </c>
      <c r="I87" s="32" t="str">
        <f>IF(A87="","",SUMIFS(Payouts!$G$5:$G$504,Payouts!$B$5:$B$504,A87,Payouts!$H$5:$H$504,"Paid"))</f>
        <v/>
      </c>
      <c r="J87" s="32" t="str">
        <f t="shared" si="1"/>
        <v/>
      </c>
      <c r="K87" s="4"/>
      <c r="L87" s="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4"/>
      <c r="B88" s="4"/>
      <c r="C88" s="3" t="str">
        <f>IF(B88="","",VLOOKUP(B88,Customers!$A$5:$J$504,3,FALSE))</f>
        <v/>
      </c>
      <c r="D88" s="3" t="str">
        <f>IF(B88="","",VLOOKUP(B88,Customers!$A$5:$J$504,4,FALSE))</f>
        <v/>
      </c>
      <c r="E88" s="4"/>
      <c r="F88" s="28"/>
      <c r="G88" s="4"/>
      <c r="H88" s="32" t="str">
        <f>IF(A88="","",SUMIFS(Sales!$K$5:$K$504,Sales!$I$5:$I$504,A88,Sales!$L$5:$L$504,"Approved"))</f>
        <v/>
      </c>
      <c r="I88" s="32" t="str">
        <f>IF(A88="","",SUMIFS(Payouts!$G$5:$G$504,Payouts!$B$5:$B$504,A88,Payouts!$H$5:$H$504,"Paid"))</f>
        <v/>
      </c>
      <c r="J88" s="32" t="str">
        <f t="shared" si="1"/>
        <v/>
      </c>
      <c r="K88" s="4"/>
      <c r="L88" s="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4"/>
      <c r="B89" s="4"/>
      <c r="C89" s="3" t="str">
        <f>IF(B89="","",VLOOKUP(B89,Customers!$A$5:$J$504,3,FALSE))</f>
        <v/>
      </c>
      <c r="D89" s="3" t="str">
        <f>IF(B89="","",VLOOKUP(B89,Customers!$A$5:$J$504,4,FALSE))</f>
        <v/>
      </c>
      <c r="E89" s="4"/>
      <c r="F89" s="28"/>
      <c r="G89" s="4"/>
      <c r="H89" s="32" t="str">
        <f>IF(A89="","",SUMIFS(Sales!$K$5:$K$504,Sales!$I$5:$I$504,A89,Sales!$L$5:$L$504,"Approved"))</f>
        <v/>
      </c>
      <c r="I89" s="32" t="str">
        <f>IF(A89="","",SUMIFS(Payouts!$G$5:$G$504,Payouts!$B$5:$B$504,A89,Payouts!$H$5:$H$504,"Paid"))</f>
        <v/>
      </c>
      <c r="J89" s="32" t="str">
        <f t="shared" si="1"/>
        <v/>
      </c>
      <c r="K89" s="4"/>
      <c r="L89" s="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4"/>
      <c r="B90" s="4"/>
      <c r="C90" s="3" t="str">
        <f>IF(B90="","",VLOOKUP(B90,Customers!$A$5:$J$504,3,FALSE))</f>
        <v/>
      </c>
      <c r="D90" s="3" t="str">
        <f>IF(B90="","",VLOOKUP(B90,Customers!$A$5:$J$504,4,FALSE))</f>
        <v/>
      </c>
      <c r="E90" s="4"/>
      <c r="F90" s="28"/>
      <c r="G90" s="4"/>
      <c r="H90" s="32" t="str">
        <f>IF(A90="","",SUMIFS(Sales!$K$5:$K$504,Sales!$I$5:$I$504,A90,Sales!$L$5:$L$504,"Approved"))</f>
        <v/>
      </c>
      <c r="I90" s="32" t="str">
        <f>IF(A90="","",SUMIFS(Payouts!$G$5:$G$504,Payouts!$B$5:$B$504,A90,Payouts!$H$5:$H$504,"Paid"))</f>
        <v/>
      </c>
      <c r="J90" s="32" t="str">
        <f t="shared" si="1"/>
        <v/>
      </c>
      <c r="K90" s="4"/>
      <c r="L90" s="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4"/>
      <c r="B91" s="4"/>
      <c r="C91" s="3" t="str">
        <f>IF(B91="","",VLOOKUP(B91,Customers!$A$5:$J$504,3,FALSE))</f>
        <v/>
      </c>
      <c r="D91" s="3" t="str">
        <f>IF(B91="","",VLOOKUP(B91,Customers!$A$5:$J$504,4,FALSE))</f>
        <v/>
      </c>
      <c r="E91" s="4"/>
      <c r="F91" s="28"/>
      <c r="G91" s="4"/>
      <c r="H91" s="32" t="str">
        <f>IF(A91="","",SUMIFS(Sales!$K$5:$K$504,Sales!$I$5:$I$504,A91,Sales!$L$5:$L$504,"Approved"))</f>
        <v/>
      </c>
      <c r="I91" s="32" t="str">
        <f>IF(A91="","",SUMIFS(Payouts!$G$5:$G$504,Payouts!$B$5:$B$504,A91,Payouts!$H$5:$H$504,"Paid"))</f>
        <v/>
      </c>
      <c r="J91" s="32" t="str">
        <f t="shared" si="1"/>
        <v/>
      </c>
      <c r="K91" s="4"/>
      <c r="L91" s="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4"/>
      <c r="B92" s="4"/>
      <c r="C92" s="3" t="str">
        <f>IF(B92="","",VLOOKUP(B92,Customers!$A$5:$J$504,3,FALSE))</f>
        <v/>
      </c>
      <c r="D92" s="3" t="str">
        <f>IF(B92="","",VLOOKUP(B92,Customers!$A$5:$J$504,4,FALSE))</f>
        <v/>
      </c>
      <c r="E92" s="4"/>
      <c r="F92" s="28"/>
      <c r="G92" s="4"/>
      <c r="H92" s="32" t="str">
        <f>IF(A92="","",SUMIFS(Sales!$K$5:$K$504,Sales!$I$5:$I$504,A92,Sales!$L$5:$L$504,"Approved"))</f>
        <v/>
      </c>
      <c r="I92" s="32" t="str">
        <f>IF(A92="","",SUMIFS(Payouts!$G$5:$G$504,Payouts!$B$5:$B$504,A92,Payouts!$H$5:$H$504,"Paid"))</f>
        <v/>
      </c>
      <c r="J92" s="32" t="str">
        <f t="shared" si="1"/>
        <v/>
      </c>
      <c r="K92" s="4"/>
      <c r="L92" s="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4"/>
      <c r="B93" s="4"/>
      <c r="C93" s="3" t="str">
        <f>IF(B93="","",VLOOKUP(B93,Customers!$A$5:$J$504,3,FALSE))</f>
        <v/>
      </c>
      <c r="D93" s="3" t="str">
        <f>IF(B93="","",VLOOKUP(B93,Customers!$A$5:$J$504,4,FALSE))</f>
        <v/>
      </c>
      <c r="E93" s="4"/>
      <c r="F93" s="28"/>
      <c r="G93" s="4"/>
      <c r="H93" s="32" t="str">
        <f>IF(A93="","",SUMIFS(Sales!$K$5:$K$504,Sales!$I$5:$I$504,A93,Sales!$L$5:$L$504,"Approved"))</f>
        <v/>
      </c>
      <c r="I93" s="32" t="str">
        <f>IF(A93="","",SUMIFS(Payouts!$G$5:$G$504,Payouts!$B$5:$B$504,A93,Payouts!$H$5:$H$504,"Paid"))</f>
        <v/>
      </c>
      <c r="J93" s="32" t="str">
        <f t="shared" si="1"/>
        <v/>
      </c>
      <c r="K93" s="4"/>
      <c r="L93" s="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4"/>
      <c r="B94" s="4"/>
      <c r="C94" s="3" t="str">
        <f>IF(B94="","",VLOOKUP(B94,Customers!$A$5:$J$504,3,FALSE))</f>
        <v/>
      </c>
      <c r="D94" s="3" t="str">
        <f>IF(B94="","",VLOOKUP(B94,Customers!$A$5:$J$504,4,FALSE))</f>
        <v/>
      </c>
      <c r="E94" s="4"/>
      <c r="F94" s="28"/>
      <c r="G94" s="4"/>
      <c r="H94" s="32" t="str">
        <f>IF(A94="","",SUMIFS(Sales!$K$5:$K$504,Sales!$I$5:$I$504,A94,Sales!$L$5:$L$504,"Approved"))</f>
        <v/>
      </c>
      <c r="I94" s="32" t="str">
        <f>IF(A94="","",SUMIFS(Payouts!$G$5:$G$504,Payouts!$B$5:$B$504,A94,Payouts!$H$5:$H$504,"Paid"))</f>
        <v/>
      </c>
      <c r="J94" s="32" t="str">
        <f t="shared" si="1"/>
        <v/>
      </c>
      <c r="K94" s="4"/>
      <c r="L94" s="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4"/>
      <c r="B95" s="4"/>
      <c r="C95" s="3" t="str">
        <f>IF(B95="","",VLOOKUP(B95,Customers!$A$5:$J$504,3,FALSE))</f>
        <v/>
      </c>
      <c r="D95" s="3" t="str">
        <f>IF(B95="","",VLOOKUP(B95,Customers!$A$5:$J$504,4,FALSE))</f>
        <v/>
      </c>
      <c r="E95" s="4"/>
      <c r="F95" s="28"/>
      <c r="G95" s="4"/>
      <c r="H95" s="32" t="str">
        <f>IF(A95="","",SUMIFS(Sales!$K$5:$K$504,Sales!$I$5:$I$504,A95,Sales!$L$5:$L$504,"Approved"))</f>
        <v/>
      </c>
      <c r="I95" s="32" t="str">
        <f>IF(A95="","",SUMIFS(Payouts!$G$5:$G$504,Payouts!$B$5:$B$504,A95,Payouts!$H$5:$H$504,"Paid"))</f>
        <v/>
      </c>
      <c r="J95" s="32" t="str">
        <f t="shared" si="1"/>
        <v/>
      </c>
      <c r="K95" s="4"/>
      <c r="L95" s="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4"/>
      <c r="B96" s="4"/>
      <c r="C96" s="3" t="str">
        <f>IF(B96="","",VLOOKUP(B96,Customers!$A$5:$J$504,3,FALSE))</f>
        <v/>
      </c>
      <c r="D96" s="3" t="str">
        <f>IF(B96="","",VLOOKUP(B96,Customers!$A$5:$J$504,4,FALSE))</f>
        <v/>
      </c>
      <c r="E96" s="4"/>
      <c r="F96" s="28"/>
      <c r="G96" s="4"/>
      <c r="H96" s="32" t="str">
        <f>IF(A96="","",SUMIFS(Sales!$K$5:$K$504,Sales!$I$5:$I$504,A96,Sales!$L$5:$L$504,"Approved"))</f>
        <v/>
      </c>
      <c r="I96" s="32" t="str">
        <f>IF(A96="","",SUMIFS(Payouts!$G$5:$G$504,Payouts!$B$5:$B$504,A96,Payouts!$H$5:$H$504,"Paid"))</f>
        <v/>
      </c>
      <c r="J96" s="32" t="str">
        <f t="shared" si="1"/>
        <v/>
      </c>
      <c r="K96" s="4"/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4"/>
      <c r="B97" s="4"/>
      <c r="C97" s="3" t="str">
        <f>IF(B97="","",VLOOKUP(B97,Customers!$A$5:$J$504,3,FALSE))</f>
        <v/>
      </c>
      <c r="D97" s="3" t="str">
        <f>IF(B97="","",VLOOKUP(B97,Customers!$A$5:$J$504,4,FALSE))</f>
        <v/>
      </c>
      <c r="E97" s="4"/>
      <c r="F97" s="28"/>
      <c r="G97" s="4"/>
      <c r="H97" s="32" t="str">
        <f>IF(A97="","",SUMIFS(Sales!$K$5:$K$504,Sales!$I$5:$I$504,A97,Sales!$L$5:$L$504,"Approved"))</f>
        <v/>
      </c>
      <c r="I97" s="32" t="str">
        <f>IF(A97="","",SUMIFS(Payouts!$G$5:$G$504,Payouts!$B$5:$B$504,A97,Payouts!$H$5:$H$504,"Paid"))</f>
        <v/>
      </c>
      <c r="J97" s="32" t="str">
        <f t="shared" si="1"/>
        <v/>
      </c>
      <c r="K97" s="4"/>
      <c r="L97" s="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4"/>
      <c r="B98" s="4"/>
      <c r="C98" s="3" t="str">
        <f>IF(B98="","",VLOOKUP(B98,Customers!$A$5:$J$504,3,FALSE))</f>
        <v/>
      </c>
      <c r="D98" s="3" t="str">
        <f>IF(B98="","",VLOOKUP(B98,Customers!$A$5:$J$504,4,FALSE))</f>
        <v/>
      </c>
      <c r="E98" s="4"/>
      <c r="F98" s="28"/>
      <c r="G98" s="4"/>
      <c r="H98" s="32" t="str">
        <f>IF(A98="","",SUMIFS(Sales!$K$5:$K$504,Sales!$I$5:$I$504,A98,Sales!$L$5:$L$504,"Approved"))</f>
        <v/>
      </c>
      <c r="I98" s="32" t="str">
        <f>IF(A98="","",SUMIFS(Payouts!$G$5:$G$504,Payouts!$B$5:$B$504,A98,Payouts!$H$5:$H$504,"Paid"))</f>
        <v/>
      </c>
      <c r="J98" s="32" t="str">
        <f t="shared" si="1"/>
        <v/>
      </c>
      <c r="K98" s="4"/>
      <c r="L98" s="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4"/>
      <c r="B99" s="4"/>
      <c r="C99" s="3" t="str">
        <f>IF(B99="","",VLOOKUP(B99,Customers!$A$5:$J$504,3,FALSE))</f>
        <v/>
      </c>
      <c r="D99" s="3" t="str">
        <f>IF(B99="","",VLOOKUP(B99,Customers!$A$5:$J$504,4,FALSE))</f>
        <v/>
      </c>
      <c r="E99" s="4"/>
      <c r="F99" s="28"/>
      <c r="G99" s="4"/>
      <c r="H99" s="32" t="str">
        <f>IF(A99="","",SUMIFS(Sales!$K$5:$K$504,Sales!$I$5:$I$504,A99,Sales!$L$5:$L$504,"Approved"))</f>
        <v/>
      </c>
      <c r="I99" s="32" t="str">
        <f>IF(A99="","",SUMIFS(Payouts!$G$5:$G$504,Payouts!$B$5:$B$504,A99,Payouts!$H$5:$H$504,"Paid"))</f>
        <v/>
      </c>
      <c r="J99" s="32" t="str">
        <f t="shared" si="1"/>
        <v/>
      </c>
      <c r="K99" s="4"/>
      <c r="L99" s="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4"/>
      <c r="B100" s="4"/>
      <c r="C100" s="3" t="str">
        <f>IF(B100="","",VLOOKUP(B100,Customers!$A$5:$J$504,3,FALSE))</f>
        <v/>
      </c>
      <c r="D100" s="3" t="str">
        <f>IF(B100="","",VLOOKUP(B100,Customers!$A$5:$J$504,4,FALSE))</f>
        <v/>
      </c>
      <c r="E100" s="4"/>
      <c r="F100" s="28"/>
      <c r="G100" s="4"/>
      <c r="H100" s="32" t="str">
        <f>IF(A100="","",SUMIFS(Sales!$K$5:$K$504,Sales!$I$5:$I$504,A100,Sales!$L$5:$L$504,"Approved"))</f>
        <v/>
      </c>
      <c r="I100" s="32" t="str">
        <f>IF(A100="","",SUMIFS(Payouts!$G$5:$G$504,Payouts!$B$5:$B$504,A100,Payouts!$H$5:$H$504,"Paid"))</f>
        <v/>
      </c>
      <c r="J100" s="32" t="str">
        <f t="shared" si="1"/>
        <v/>
      </c>
      <c r="K100" s="4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4"/>
      <c r="B101" s="4"/>
      <c r="C101" s="3" t="str">
        <f>IF(B101="","",VLOOKUP(B101,Customers!$A$5:$J$504,3,FALSE))</f>
        <v/>
      </c>
      <c r="D101" s="3" t="str">
        <f>IF(B101="","",VLOOKUP(B101,Customers!$A$5:$J$504,4,FALSE))</f>
        <v/>
      </c>
      <c r="E101" s="4"/>
      <c r="F101" s="28"/>
      <c r="G101" s="4"/>
      <c r="H101" s="32" t="str">
        <f>IF(A101="","",SUMIFS(Sales!$K$5:$K$504,Sales!$I$5:$I$504,A101,Sales!$L$5:$L$504,"Approved"))</f>
        <v/>
      </c>
      <c r="I101" s="32" t="str">
        <f>IF(A101="","",SUMIFS(Payouts!$G$5:$G$504,Payouts!$B$5:$B$504,A101,Payouts!$H$5:$H$504,"Paid"))</f>
        <v/>
      </c>
      <c r="J101" s="32" t="str">
        <f t="shared" si="1"/>
        <v/>
      </c>
      <c r="K101" s="4"/>
      <c r="L101" s="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4"/>
      <c r="B102" s="4"/>
      <c r="C102" s="3" t="str">
        <f>IF(B102="","",VLOOKUP(B102,Customers!$A$5:$J$504,3,FALSE))</f>
        <v/>
      </c>
      <c r="D102" s="3" t="str">
        <f>IF(B102="","",VLOOKUP(B102,Customers!$A$5:$J$504,4,FALSE))</f>
        <v/>
      </c>
      <c r="E102" s="4"/>
      <c r="F102" s="28"/>
      <c r="G102" s="4"/>
      <c r="H102" s="32" t="str">
        <f>IF(A102="","",SUMIFS(Sales!$K$5:$K$504,Sales!$I$5:$I$504,A102,Sales!$L$5:$L$504,"Approved"))</f>
        <v/>
      </c>
      <c r="I102" s="32" t="str">
        <f>IF(A102="","",SUMIFS(Payouts!$G$5:$G$504,Payouts!$B$5:$B$504,A102,Payouts!$H$5:$H$504,"Paid"))</f>
        <v/>
      </c>
      <c r="J102" s="32" t="str">
        <f t="shared" si="1"/>
        <v/>
      </c>
      <c r="K102" s="4"/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4"/>
      <c r="B103" s="4"/>
      <c r="C103" s="3" t="str">
        <f>IF(B103="","",VLOOKUP(B103,Customers!$A$5:$J$504,3,FALSE))</f>
        <v/>
      </c>
      <c r="D103" s="3" t="str">
        <f>IF(B103="","",VLOOKUP(B103,Customers!$A$5:$J$504,4,FALSE))</f>
        <v/>
      </c>
      <c r="E103" s="4"/>
      <c r="F103" s="28"/>
      <c r="G103" s="4"/>
      <c r="H103" s="32" t="str">
        <f>IF(A103="","",SUMIFS(Sales!$K$5:$K$504,Sales!$I$5:$I$504,A103,Sales!$L$5:$L$504,"Approved"))</f>
        <v/>
      </c>
      <c r="I103" s="32" t="str">
        <f>IF(A103="","",SUMIFS(Payouts!$G$5:$G$504,Payouts!$B$5:$B$504,A103,Payouts!$H$5:$H$504,"Paid"))</f>
        <v/>
      </c>
      <c r="J103" s="32" t="str">
        <f t="shared" si="1"/>
        <v/>
      </c>
      <c r="K103" s="4"/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4"/>
      <c r="B104" s="4"/>
      <c r="C104" s="3" t="str">
        <f>IF(B104="","",VLOOKUP(B104,Customers!$A$5:$J$504,3,FALSE))</f>
        <v/>
      </c>
      <c r="D104" s="3" t="str">
        <f>IF(B104="","",VLOOKUP(B104,Customers!$A$5:$J$504,4,FALSE))</f>
        <v/>
      </c>
      <c r="E104" s="4"/>
      <c r="F104" s="28"/>
      <c r="G104" s="4"/>
      <c r="H104" s="32" t="str">
        <f>IF(A104="","",SUMIFS(Sales!$K$5:$K$504,Sales!$I$5:$I$504,A104,Sales!$L$5:$L$504,"Approved"))</f>
        <v/>
      </c>
      <c r="I104" s="32" t="str">
        <f>IF(A104="","",SUMIFS(Payouts!$G$5:$G$504,Payouts!$B$5:$B$504,A104,Payouts!$H$5:$H$504,"Paid"))</f>
        <v/>
      </c>
      <c r="J104" s="32" t="str">
        <f t="shared" si="1"/>
        <v/>
      </c>
      <c r="K104" s="4"/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4"/>
      <c r="B105" s="4"/>
      <c r="C105" s="3" t="str">
        <f>IF(B105="","",VLOOKUP(B105,Customers!$A$5:$J$504,3,FALSE))</f>
        <v/>
      </c>
      <c r="D105" s="3" t="str">
        <f>IF(B105="","",VLOOKUP(B105,Customers!$A$5:$J$504,4,FALSE))</f>
        <v/>
      </c>
      <c r="E105" s="4"/>
      <c r="F105" s="28"/>
      <c r="G105" s="4"/>
      <c r="H105" s="32" t="str">
        <f>IF(A105="","",SUMIFS(Sales!$K$5:$K$504,Sales!$I$5:$I$504,A105,Sales!$L$5:$L$504,"Approved"))</f>
        <v/>
      </c>
      <c r="I105" s="32" t="str">
        <f>IF(A105="","",SUMIFS(Payouts!$G$5:$G$504,Payouts!$B$5:$B$504,A105,Payouts!$H$5:$H$504,"Paid"))</f>
        <v/>
      </c>
      <c r="J105" s="32" t="str">
        <f t="shared" si="1"/>
        <v/>
      </c>
      <c r="K105" s="4"/>
      <c r="L105" s="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4"/>
      <c r="B106" s="4"/>
      <c r="C106" s="3" t="str">
        <f>IF(B106="","",VLOOKUP(B106,Customers!$A$5:$J$504,3,FALSE))</f>
        <v/>
      </c>
      <c r="D106" s="3" t="str">
        <f>IF(B106="","",VLOOKUP(B106,Customers!$A$5:$J$504,4,FALSE))</f>
        <v/>
      </c>
      <c r="E106" s="4"/>
      <c r="F106" s="28"/>
      <c r="G106" s="4"/>
      <c r="H106" s="32" t="str">
        <f>IF(A106="","",SUMIFS(Sales!$K$5:$K$504,Sales!$I$5:$I$504,A106,Sales!$L$5:$L$504,"Approved"))</f>
        <v/>
      </c>
      <c r="I106" s="32" t="str">
        <f>IF(A106="","",SUMIFS(Payouts!$G$5:$G$504,Payouts!$B$5:$B$504,A106,Payouts!$H$5:$H$504,"Paid"))</f>
        <v/>
      </c>
      <c r="J106" s="32" t="str">
        <f t="shared" si="1"/>
        <v/>
      </c>
      <c r="K106" s="4"/>
      <c r="L106" s="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4"/>
      <c r="B107" s="4"/>
      <c r="C107" s="3" t="str">
        <f>IF(B107="","",VLOOKUP(B107,Customers!$A$5:$J$504,3,FALSE))</f>
        <v/>
      </c>
      <c r="D107" s="3" t="str">
        <f>IF(B107="","",VLOOKUP(B107,Customers!$A$5:$J$504,4,FALSE))</f>
        <v/>
      </c>
      <c r="E107" s="4"/>
      <c r="F107" s="28"/>
      <c r="G107" s="4"/>
      <c r="H107" s="32" t="str">
        <f>IF(A107="","",SUMIFS(Sales!$K$5:$K$504,Sales!$I$5:$I$504,A107,Sales!$L$5:$L$504,"Approved"))</f>
        <v/>
      </c>
      <c r="I107" s="32" t="str">
        <f>IF(A107="","",SUMIFS(Payouts!$G$5:$G$504,Payouts!$B$5:$B$504,A107,Payouts!$H$5:$H$504,"Paid"))</f>
        <v/>
      </c>
      <c r="J107" s="32" t="str">
        <f t="shared" si="1"/>
        <v/>
      </c>
      <c r="K107" s="4"/>
      <c r="L107" s="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4"/>
      <c r="B108" s="4"/>
      <c r="C108" s="3" t="str">
        <f>IF(B108="","",VLOOKUP(B108,Customers!$A$5:$J$504,3,FALSE))</f>
        <v/>
      </c>
      <c r="D108" s="3" t="str">
        <f>IF(B108="","",VLOOKUP(B108,Customers!$A$5:$J$504,4,FALSE))</f>
        <v/>
      </c>
      <c r="E108" s="4"/>
      <c r="F108" s="28"/>
      <c r="G108" s="4"/>
      <c r="H108" s="32" t="str">
        <f>IF(A108="","",SUMIFS(Sales!$K$5:$K$504,Sales!$I$5:$I$504,A108,Sales!$L$5:$L$504,"Approved"))</f>
        <v/>
      </c>
      <c r="I108" s="32" t="str">
        <f>IF(A108="","",SUMIFS(Payouts!$G$5:$G$504,Payouts!$B$5:$B$504,A108,Payouts!$H$5:$H$504,"Paid"))</f>
        <v/>
      </c>
      <c r="J108" s="32" t="str">
        <f t="shared" si="1"/>
        <v/>
      </c>
      <c r="K108" s="4"/>
      <c r="L108" s="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4"/>
      <c r="B109" s="4"/>
      <c r="C109" s="3" t="str">
        <f>IF(B109="","",VLOOKUP(B109,Customers!$A$5:$J$504,3,FALSE))</f>
        <v/>
      </c>
      <c r="D109" s="3" t="str">
        <f>IF(B109="","",VLOOKUP(B109,Customers!$A$5:$J$504,4,FALSE))</f>
        <v/>
      </c>
      <c r="E109" s="4"/>
      <c r="F109" s="28"/>
      <c r="G109" s="4"/>
      <c r="H109" s="32" t="str">
        <f>IF(A109="","",SUMIFS(Sales!$K$5:$K$504,Sales!$I$5:$I$504,A109,Sales!$L$5:$L$504,"Approved"))</f>
        <v/>
      </c>
      <c r="I109" s="32" t="str">
        <f>IF(A109="","",SUMIFS(Payouts!$G$5:$G$504,Payouts!$B$5:$B$504,A109,Payouts!$H$5:$H$504,"Paid"))</f>
        <v/>
      </c>
      <c r="J109" s="32" t="str">
        <f t="shared" si="1"/>
        <v/>
      </c>
      <c r="K109" s="4"/>
      <c r="L109" s="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4"/>
      <c r="B110" s="4"/>
      <c r="C110" s="3" t="str">
        <f>IF(B110="","",VLOOKUP(B110,Customers!$A$5:$J$504,3,FALSE))</f>
        <v/>
      </c>
      <c r="D110" s="3" t="str">
        <f>IF(B110="","",VLOOKUP(B110,Customers!$A$5:$J$504,4,FALSE))</f>
        <v/>
      </c>
      <c r="E110" s="4"/>
      <c r="F110" s="28"/>
      <c r="G110" s="4"/>
      <c r="H110" s="32" t="str">
        <f>IF(A110="","",SUMIFS(Sales!$K$5:$K$504,Sales!$I$5:$I$504,A110,Sales!$L$5:$L$504,"Approved"))</f>
        <v/>
      </c>
      <c r="I110" s="32" t="str">
        <f>IF(A110="","",SUMIFS(Payouts!$G$5:$G$504,Payouts!$B$5:$B$504,A110,Payouts!$H$5:$H$504,"Paid"))</f>
        <v/>
      </c>
      <c r="J110" s="32" t="str">
        <f t="shared" si="1"/>
        <v/>
      </c>
      <c r="K110" s="4"/>
      <c r="L110" s="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4"/>
      <c r="B111" s="4"/>
      <c r="C111" s="3" t="str">
        <f>IF(B111="","",VLOOKUP(B111,Customers!$A$5:$J$504,3,FALSE))</f>
        <v/>
      </c>
      <c r="D111" s="3" t="str">
        <f>IF(B111="","",VLOOKUP(B111,Customers!$A$5:$J$504,4,FALSE))</f>
        <v/>
      </c>
      <c r="E111" s="4"/>
      <c r="F111" s="28"/>
      <c r="G111" s="4"/>
      <c r="H111" s="32" t="str">
        <f>IF(A111="","",SUMIFS(Sales!$K$5:$K$504,Sales!$I$5:$I$504,A111,Sales!$L$5:$L$504,"Approved"))</f>
        <v/>
      </c>
      <c r="I111" s="32" t="str">
        <f>IF(A111="","",SUMIFS(Payouts!$G$5:$G$504,Payouts!$B$5:$B$504,A111,Payouts!$H$5:$H$504,"Paid"))</f>
        <v/>
      </c>
      <c r="J111" s="32" t="str">
        <f t="shared" si="1"/>
        <v/>
      </c>
      <c r="K111" s="4"/>
      <c r="L111" s="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4"/>
      <c r="B112" s="4"/>
      <c r="C112" s="3" t="str">
        <f>IF(B112="","",VLOOKUP(B112,Customers!$A$5:$J$504,3,FALSE))</f>
        <v/>
      </c>
      <c r="D112" s="3" t="str">
        <f>IF(B112="","",VLOOKUP(B112,Customers!$A$5:$J$504,4,FALSE))</f>
        <v/>
      </c>
      <c r="E112" s="4"/>
      <c r="F112" s="28"/>
      <c r="G112" s="4"/>
      <c r="H112" s="32" t="str">
        <f>IF(A112="","",SUMIFS(Sales!$K$5:$K$504,Sales!$I$5:$I$504,A112,Sales!$L$5:$L$504,"Approved"))</f>
        <v/>
      </c>
      <c r="I112" s="32" t="str">
        <f>IF(A112="","",SUMIFS(Payouts!$G$5:$G$504,Payouts!$B$5:$B$504,A112,Payouts!$H$5:$H$504,"Paid"))</f>
        <v/>
      </c>
      <c r="J112" s="32" t="str">
        <f t="shared" si="1"/>
        <v/>
      </c>
      <c r="K112" s="4"/>
      <c r="L112" s="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4"/>
      <c r="B113" s="4"/>
      <c r="C113" s="3" t="str">
        <f>IF(B113="","",VLOOKUP(B113,Customers!$A$5:$J$504,3,FALSE))</f>
        <v/>
      </c>
      <c r="D113" s="3" t="str">
        <f>IF(B113="","",VLOOKUP(B113,Customers!$A$5:$J$504,4,FALSE))</f>
        <v/>
      </c>
      <c r="E113" s="4"/>
      <c r="F113" s="28"/>
      <c r="G113" s="4"/>
      <c r="H113" s="32" t="str">
        <f>IF(A113="","",SUMIFS(Sales!$K$5:$K$504,Sales!$I$5:$I$504,A113,Sales!$L$5:$L$504,"Approved"))</f>
        <v/>
      </c>
      <c r="I113" s="32" t="str">
        <f>IF(A113="","",SUMIFS(Payouts!$G$5:$G$504,Payouts!$B$5:$B$504,A113,Payouts!$H$5:$H$504,"Paid"))</f>
        <v/>
      </c>
      <c r="J113" s="32" t="str">
        <f t="shared" si="1"/>
        <v/>
      </c>
      <c r="K113" s="4"/>
      <c r="L113" s="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4"/>
      <c r="B114" s="4"/>
      <c r="C114" s="3" t="str">
        <f>IF(B114="","",VLOOKUP(B114,Customers!$A$5:$J$504,3,FALSE))</f>
        <v/>
      </c>
      <c r="D114" s="3" t="str">
        <f>IF(B114="","",VLOOKUP(B114,Customers!$A$5:$J$504,4,FALSE))</f>
        <v/>
      </c>
      <c r="E114" s="4"/>
      <c r="F114" s="28"/>
      <c r="G114" s="4"/>
      <c r="H114" s="32" t="str">
        <f>IF(A114="","",SUMIFS(Sales!$K$5:$K$504,Sales!$I$5:$I$504,A114,Sales!$L$5:$L$504,"Approved"))</f>
        <v/>
      </c>
      <c r="I114" s="32" t="str">
        <f>IF(A114="","",SUMIFS(Payouts!$G$5:$G$504,Payouts!$B$5:$B$504,A114,Payouts!$H$5:$H$504,"Paid"))</f>
        <v/>
      </c>
      <c r="J114" s="32" t="str">
        <f t="shared" si="1"/>
        <v/>
      </c>
      <c r="K114" s="4"/>
      <c r="L114" s="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4"/>
      <c r="B115" s="4"/>
      <c r="C115" s="3" t="str">
        <f>IF(B115="","",VLOOKUP(B115,Customers!$A$5:$J$504,3,FALSE))</f>
        <v/>
      </c>
      <c r="D115" s="3" t="str">
        <f>IF(B115="","",VLOOKUP(B115,Customers!$A$5:$J$504,4,FALSE))</f>
        <v/>
      </c>
      <c r="E115" s="4"/>
      <c r="F115" s="28"/>
      <c r="G115" s="4"/>
      <c r="H115" s="32" t="str">
        <f>IF(A115="","",SUMIFS(Sales!$K$5:$K$504,Sales!$I$5:$I$504,A115,Sales!$L$5:$L$504,"Approved"))</f>
        <v/>
      </c>
      <c r="I115" s="32" t="str">
        <f>IF(A115="","",SUMIFS(Payouts!$G$5:$G$504,Payouts!$B$5:$B$504,A115,Payouts!$H$5:$H$504,"Paid"))</f>
        <v/>
      </c>
      <c r="J115" s="32" t="str">
        <f t="shared" si="1"/>
        <v/>
      </c>
      <c r="K115" s="4"/>
      <c r="L115" s="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4"/>
      <c r="B116" s="4"/>
      <c r="C116" s="3" t="str">
        <f>IF(B116="","",VLOOKUP(B116,Customers!$A$5:$J$504,3,FALSE))</f>
        <v/>
      </c>
      <c r="D116" s="3" t="str">
        <f>IF(B116="","",VLOOKUP(B116,Customers!$A$5:$J$504,4,FALSE))</f>
        <v/>
      </c>
      <c r="E116" s="4"/>
      <c r="F116" s="28"/>
      <c r="G116" s="4"/>
      <c r="H116" s="32" t="str">
        <f>IF(A116="","",SUMIFS(Sales!$K$5:$K$504,Sales!$I$5:$I$504,A116,Sales!$L$5:$L$504,"Approved"))</f>
        <v/>
      </c>
      <c r="I116" s="32" t="str">
        <f>IF(A116="","",SUMIFS(Payouts!$G$5:$G$504,Payouts!$B$5:$B$504,A116,Payouts!$H$5:$H$504,"Paid"))</f>
        <v/>
      </c>
      <c r="J116" s="32" t="str">
        <f t="shared" si="1"/>
        <v/>
      </c>
      <c r="K116" s="4"/>
      <c r="L116" s="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4"/>
      <c r="B117" s="4"/>
      <c r="C117" s="3" t="str">
        <f>IF(B117="","",VLOOKUP(B117,Customers!$A$5:$J$504,3,FALSE))</f>
        <v/>
      </c>
      <c r="D117" s="3" t="str">
        <f>IF(B117="","",VLOOKUP(B117,Customers!$A$5:$J$504,4,FALSE))</f>
        <v/>
      </c>
      <c r="E117" s="4"/>
      <c r="F117" s="28"/>
      <c r="G117" s="4"/>
      <c r="H117" s="32" t="str">
        <f>IF(A117="","",SUMIFS(Sales!$K$5:$K$504,Sales!$I$5:$I$504,A117,Sales!$L$5:$L$504,"Approved"))</f>
        <v/>
      </c>
      <c r="I117" s="32" t="str">
        <f>IF(A117="","",SUMIFS(Payouts!$G$5:$G$504,Payouts!$B$5:$B$504,A117,Payouts!$H$5:$H$504,"Paid"))</f>
        <v/>
      </c>
      <c r="J117" s="32" t="str">
        <f t="shared" si="1"/>
        <v/>
      </c>
      <c r="K117" s="4"/>
      <c r="L117" s="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4"/>
      <c r="B118" s="4"/>
      <c r="C118" s="3" t="str">
        <f>IF(B118="","",VLOOKUP(B118,Customers!$A$5:$J$504,3,FALSE))</f>
        <v/>
      </c>
      <c r="D118" s="3" t="str">
        <f>IF(B118="","",VLOOKUP(B118,Customers!$A$5:$J$504,4,FALSE))</f>
        <v/>
      </c>
      <c r="E118" s="4"/>
      <c r="F118" s="28"/>
      <c r="G118" s="4"/>
      <c r="H118" s="32" t="str">
        <f>IF(A118="","",SUMIFS(Sales!$K$5:$K$504,Sales!$I$5:$I$504,A118,Sales!$L$5:$L$504,"Approved"))</f>
        <v/>
      </c>
      <c r="I118" s="32" t="str">
        <f>IF(A118="","",SUMIFS(Payouts!$G$5:$G$504,Payouts!$B$5:$B$504,A118,Payouts!$H$5:$H$504,"Paid"))</f>
        <v/>
      </c>
      <c r="J118" s="32" t="str">
        <f t="shared" si="1"/>
        <v/>
      </c>
      <c r="K118" s="4"/>
      <c r="L118" s="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4"/>
      <c r="B119" s="4"/>
      <c r="C119" s="3" t="str">
        <f>IF(B119="","",VLOOKUP(B119,Customers!$A$5:$J$504,3,FALSE))</f>
        <v/>
      </c>
      <c r="D119" s="3" t="str">
        <f>IF(B119="","",VLOOKUP(B119,Customers!$A$5:$J$504,4,FALSE))</f>
        <v/>
      </c>
      <c r="E119" s="4"/>
      <c r="F119" s="28"/>
      <c r="G119" s="4"/>
      <c r="H119" s="32" t="str">
        <f>IF(A119="","",SUMIFS(Sales!$K$5:$K$504,Sales!$I$5:$I$504,A119,Sales!$L$5:$L$504,"Approved"))</f>
        <v/>
      </c>
      <c r="I119" s="32" t="str">
        <f>IF(A119="","",SUMIFS(Payouts!$G$5:$G$504,Payouts!$B$5:$B$504,A119,Payouts!$H$5:$H$504,"Paid"))</f>
        <v/>
      </c>
      <c r="J119" s="32" t="str">
        <f t="shared" si="1"/>
        <v/>
      </c>
      <c r="K119" s="4"/>
      <c r="L119" s="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4"/>
      <c r="B120" s="4"/>
      <c r="C120" s="3" t="str">
        <f>IF(B120="","",VLOOKUP(B120,Customers!$A$5:$J$504,3,FALSE))</f>
        <v/>
      </c>
      <c r="D120" s="3" t="str">
        <f>IF(B120="","",VLOOKUP(B120,Customers!$A$5:$J$504,4,FALSE))</f>
        <v/>
      </c>
      <c r="E120" s="4"/>
      <c r="F120" s="28"/>
      <c r="G120" s="4"/>
      <c r="H120" s="32" t="str">
        <f>IF(A120="","",SUMIFS(Sales!$K$5:$K$504,Sales!$I$5:$I$504,A120,Sales!$L$5:$L$504,"Approved"))</f>
        <v/>
      </c>
      <c r="I120" s="32" t="str">
        <f>IF(A120="","",SUMIFS(Payouts!$G$5:$G$504,Payouts!$B$5:$B$504,A120,Payouts!$H$5:$H$504,"Paid"))</f>
        <v/>
      </c>
      <c r="J120" s="32" t="str">
        <f t="shared" si="1"/>
        <v/>
      </c>
      <c r="K120" s="4"/>
      <c r="L120" s="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4"/>
      <c r="B121" s="4"/>
      <c r="C121" s="3" t="str">
        <f>IF(B121="","",VLOOKUP(B121,Customers!$A$5:$J$504,3,FALSE))</f>
        <v/>
      </c>
      <c r="D121" s="3" t="str">
        <f>IF(B121="","",VLOOKUP(B121,Customers!$A$5:$J$504,4,FALSE))</f>
        <v/>
      </c>
      <c r="E121" s="4"/>
      <c r="F121" s="28"/>
      <c r="G121" s="4"/>
      <c r="H121" s="32" t="str">
        <f>IF(A121="","",SUMIFS(Sales!$K$5:$K$504,Sales!$I$5:$I$504,A121,Sales!$L$5:$L$504,"Approved"))</f>
        <v/>
      </c>
      <c r="I121" s="32" t="str">
        <f>IF(A121="","",SUMIFS(Payouts!$G$5:$G$504,Payouts!$B$5:$B$504,A121,Payouts!$H$5:$H$504,"Paid"))</f>
        <v/>
      </c>
      <c r="J121" s="32" t="str">
        <f t="shared" si="1"/>
        <v/>
      </c>
      <c r="K121" s="4"/>
      <c r="L121" s="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4"/>
      <c r="B122" s="4"/>
      <c r="C122" s="3" t="str">
        <f>IF(B122="","",VLOOKUP(B122,Customers!$A$5:$J$504,3,FALSE))</f>
        <v/>
      </c>
      <c r="D122" s="3" t="str">
        <f>IF(B122="","",VLOOKUP(B122,Customers!$A$5:$J$504,4,FALSE))</f>
        <v/>
      </c>
      <c r="E122" s="4"/>
      <c r="F122" s="28"/>
      <c r="G122" s="4"/>
      <c r="H122" s="32" t="str">
        <f>IF(A122="","",SUMIFS(Sales!$K$5:$K$504,Sales!$I$5:$I$504,A122,Sales!$L$5:$L$504,"Approved"))</f>
        <v/>
      </c>
      <c r="I122" s="32" t="str">
        <f>IF(A122="","",SUMIFS(Payouts!$G$5:$G$504,Payouts!$B$5:$B$504,A122,Payouts!$H$5:$H$504,"Paid"))</f>
        <v/>
      </c>
      <c r="J122" s="32" t="str">
        <f t="shared" si="1"/>
        <v/>
      </c>
      <c r="K122" s="4"/>
      <c r="L122" s="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4"/>
      <c r="B123" s="4"/>
      <c r="C123" s="3" t="str">
        <f>IF(B123="","",VLOOKUP(B123,Customers!$A$5:$J$504,3,FALSE))</f>
        <v/>
      </c>
      <c r="D123" s="3" t="str">
        <f>IF(B123="","",VLOOKUP(B123,Customers!$A$5:$J$504,4,FALSE))</f>
        <v/>
      </c>
      <c r="E123" s="4"/>
      <c r="F123" s="28"/>
      <c r="G123" s="4"/>
      <c r="H123" s="32" t="str">
        <f>IF(A123="","",SUMIFS(Sales!$K$5:$K$504,Sales!$I$5:$I$504,A123,Sales!$L$5:$L$504,"Approved"))</f>
        <v/>
      </c>
      <c r="I123" s="32" t="str">
        <f>IF(A123="","",SUMIFS(Payouts!$G$5:$G$504,Payouts!$B$5:$B$504,A123,Payouts!$H$5:$H$504,"Paid"))</f>
        <v/>
      </c>
      <c r="J123" s="32" t="str">
        <f t="shared" si="1"/>
        <v/>
      </c>
      <c r="K123" s="4"/>
      <c r="L123" s="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4"/>
      <c r="B124" s="4"/>
      <c r="C124" s="3" t="str">
        <f>IF(B124="","",VLOOKUP(B124,Customers!$A$5:$J$504,3,FALSE))</f>
        <v/>
      </c>
      <c r="D124" s="3" t="str">
        <f>IF(B124="","",VLOOKUP(B124,Customers!$A$5:$J$504,4,FALSE))</f>
        <v/>
      </c>
      <c r="E124" s="4"/>
      <c r="F124" s="28"/>
      <c r="G124" s="4"/>
      <c r="H124" s="32" t="str">
        <f>IF(A124="","",SUMIFS(Sales!$K$5:$K$504,Sales!$I$5:$I$504,A124,Sales!$L$5:$L$504,"Approved"))</f>
        <v/>
      </c>
      <c r="I124" s="32" t="str">
        <f>IF(A124="","",SUMIFS(Payouts!$G$5:$G$504,Payouts!$B$5:$B$504,A124,Payouts!$H$5:$H$504,"Paid"))</f>
        <v/>
      </c>
      <c r="J124" s="32" t="str">
        <f t="shared" si="1"/>
        <v/>
      </c>
      <c r="K124" s="4"/>
      <c r="L124" s="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4"/>
      <c r="B125" s="4"/>
      <c r="C125" s="3" t="str">
        <f>IF(B125="","",VLOOKUP(B125,Customers!$A$5:$J$504,3,FALSE))</f>
        <v/>
      </c>
      <c r="D125" s="3" t="str">
        <f>IF(B125="","",VLOOKUP(B125,Customers!$A$5:$J$504,4,FALSE))</f>
        <v/>
      </c>
      <c r="E125" s="4"/>
      <c r="F125" s="28"/>
      <c r="G125" s="4"/>
      <c r="H125" s="32" t="str">
        <f>IF(A125="","",SUMIFS(Sales!$K$5:$K$504,Sales!$I$5:$I$504,A125,Sales!$L$5:$L$504,"Approved"))</f>
        <v/>
      </c>
      <c r="I125" s="32" t="str">
        <f>IF(A125="","",SUMIFS(Payouts!$G$5:$G$504,Payouts!$B$5:$B$504,A125,Payouts!$H$5:$H$504,"Paid"))</f>
        <v/>
      </c>
      <c r="J125" s="32" t="str">
        <f t="shared" si="1"/>
        <v/>
      </c>
      <c r="K125" s="4"/>
      <c r="L125" s="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4"/>
      <c r="B126" s="4"/>
      <c r="C126" s="3" t="str">
        <f>IF(B126="","",VLOOKUP(B126,Customers!$A$5:$J$504,3,FALSE))</f>
        <v/>
      </c>
      <c r="D126" s="3" t="str">
        <f>IF(B126="","",VLOOKUP(B126,Customers!$A$5:$J$504,4,FALSE))</f>
        <v/>
      </c>
      <c r="E126" s="4"/>
      <c r="F126" s="28"/>
      <c r="G126" s="4"/>
      <c r="H126" s="32" t="str">
        <f>IF(A126="","",SUMIFS(Sales!$K$5:$K$504,Sales!$I$5:$I$504,A126,Sales!$L$5:$L$504,"Approved"))</f>
        <v/>
      </c>
      <c r="I126" s="32" t="str">
        <f>IF(A126="","",SUMIFS(Payouts!$G$5:$G$504,Payouts!$B$5:$B$504,A126,Payouts!$H$5:$H$504,"Paid"))</f>
        <v/>
      </c>
      <c r="J126" s="32" t="str">
        <f t="shared" si="1"/>
        <v/>
      </c>
      <c r="K126" s="4"/>
      <c r="L126" s="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4"/>
      <c r="B127" s="4"/>
      <c r="C127" s="3" t="str">
        <f>IF(B127="","",VLOOKUP(B127,Customers!$A$5:$J$504,3,FALSE))</f>
        <v/>
      </c>
      <c r="D127" s="3" t="str">
        <f>IF(B127="","",VLOOKUP(B127,Customers!$A$5:$J$504,4,FALSE))</f>
        <v/>
      </c>
      <c r="E127" s="4"/>
      <c r="F127" s="28"/>
      <c r="G127" s="4"/>
      <c r="H127" s="32" t="str">
        <f>IF(A127="","",SUMIFS(Sales!$K$5:$K$504,Sales!$I$5:$I$504,A127,Sales!$L$5:$L$504,"Approved"))</f>
        <v/>
      </c>
      <c r="I127" s="32" t="str">
        <f>IF(A127="","",SUMIFS(Payouts!$G$5:$G$504,Payouts!$B$5:$B$504,A127,Payouts!$H$5:$H$504,"Paid"))</f>
        <v/>
      </c>
      <c r="J127" s="32" t="str">
        <f t="shared" si="1"/>
        <v/>
      </c>
      <c r="K127" s="4"/>
      <c r="L127" s="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4"/>
      <c r="B128" s="4"/>
      <c r="C128" s="3" t="str">
        <f>IF(B128="","",VLOOKUP(B128,Customers!$A$5:$J$504,3,FALSE))</f>
        <v/>
      </c>
      <c r="D128" s="3" t="str">
        <f>IF(B128="","",VLOOKUP(B128,Customers!$A$5:$J$504,4,FALSE))</f>
        <v/>
      </c>
      <c r="E128" s="4"/>
      <c r="F128" s="28"/>
      <c r="G128" s="4"/>
      <c r="H128" s="32" t="str">
        <f>IF(A128="","",SUMIFS(Sales!$K$5:$K$504,Sales!$I$5:$I$504,A128,Sales!$L$5:$L$504,"Approved"))</f>
        <v/>
      </c>
      <c r="I128" s="32" t="str">
        <f>IF(A128="","",SUMIFS(Payouts!$G$5:$G$504,Payouts!$B$5:$B$504,A128,Payouts!$H$5:$H$504,"Paid"))</f>
        <v/>
      </c>
      <c r="J128" s="32" t="str">
        <f t="shared" si="1"/>
        <v/>
      </c>
      <c r="K128" s="4"/>
      <c r="L128" s="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4"/>
      <c r="B129" s="4"/>
      <c r="C129" s="3" t="str">
        <f>IF(B129="","",VLOOKUP(B129,Customers!$A$5:$J$504,3,FALSE))</f>
        <v/>
      </c>
      <c r="D129" s="3" t="str">
        <f>IF(B129="","",VLOOKUP(B129,Customers!$A$5:$J$504,4,FALSE))</f>
        <v/>
      </c>
      <c r="E129" s="4"/>
      <c r="F129" s="28"/>
      <c r="G129" s="4"/>
      <c r="H129" s="32" t="str">
        <f>IF(A129="","",SUMIFS(Sales!$K$5:$K$504,Sales!$I$5:$I$504,A129,Sales!$L$5:$L$504,"Approved"))</f>
        <v/>
      </c>
      <c r="I129" s="32" t="str">
        <f>IF(A129="","",SUMIFS(Payouts!$G$5:$G$504,Payouts!$B$5:$B$504,A129,Payouts!$H$5:$H$504,"Paid"))</f>
        <v/>
      </c>
      <c r="J129" s="32" t="str">
        <f t="shared" si="1"/>
        <v/>
      </c>
      <c r="K129" s="4"/>
      <c r="L129" s="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4"/>
      <c r="B130" s="4"/>
      <c r="C130" s="3" t="str">
        <f>IF(B130="","",VLOOKUP(B130,Customers!$A$5:$J$504,3,FALSE))</f>
        <v/>
      </c>
      <c r="D130" s="3" t="str">
        <f>IF(B130="","",VLOOKUP(B130,Customers!$A$5:$J$504,4,FALSE))</f>
        <v/>
      </c>
      <c r="E130" s="4"/>
      <c r="F130" s="28"/>
      <c r="G130" s="4"/>
      <c r="H130" s="32" t="str">
        <f>IF(A130="","",SUMIFS(Sales!$K$5:$K$504,Sales!$I$5:$I$504,A130,Sales!$L$5:$L$504,"Approved"))</f>
        <v/>
      </c>
      <c r="I130" s="32" t="str">
        <f>IF(A130="","",SUMIFS(Payouts!$G$5:$G$504,Payouts!$B$5:$B$504,A130,Payouts!$H$5:$H$504,"Paid"))</f>
        <v/>
      </c>
      <c r="J130" s="32" t="str">
        <f t="shared" si="1"/>
        <v/>
      </c>
      <c r="K130" s="4"/>
      <c r="L130" s="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4"/>
      <c r="B131" s="4"/>
      <c r="C131" s="3" t="str">
        <f>IF(B131="","",VLOOKUP(B131,Customers!$A$5:$J$504,3,FALSE))</f>
        <v/>
      </c>
      <c r="D131" s="3" t="str">
        <f>IF(B131="","",VLOOKUP(B131,Customers!$A$5:$J$504,4,FALSE))</f>
        <v/>
      </c>
      <c r="E131" s="4"/>
      <c r="F131" s="28"/>
      <c r="G131" s="4"/>
      <c r="H131" s="32" t="str">
        <f>IF(A131="","",SUMIFS(Sales!$K$5:$K$504,Sales!$I$5:$I$504,A131,Sales!$L$5:$L$504,"Approved"))</f>
        <v/>
      </c>
      <c r="I131" s="32" t="str">
        <f>IF(A131="","",SUMIFS(Payouts!$G$5:$G$504,Payouts!$B$5:$B$504,A131,Payouts!$H$5:$H$504,"Paid"))</f>
        <v/>
      </c>
      <c r="J131" s="32" t="str">
        <f t="shared" si="1"/>
        <v/>
      </c>
      <c r="K131" s="4"/>
      <c r="L131" s="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4"/>
      <c r="B132" s="4"/>
      <c r="C132" s="3" t="str">
        <f>IF(B132="","",VLOOKUP(B132,Customers!$A$5:$J$504,3,FALSE))</f>
        <v/>
      </c>
      <c r="D132" s="3" t="str">
        <f>IF(B132="","",VLOOKUP(B132,Customers!$A$5:$J$504,4,FALSE))</f>
        <v/>
      </c>
      <c r="E132" s="4"/>
      <c r="F132" s="28"/>
      <c r="G132" s="4"/>
      <c r="H132" s="32" t="str">
        <f>IF(A132="","",SUMIFS(Sales!$K$5:$K$504,Sales!$I$5:$I$504,A132,Sales!$L$5:$L$504,"Approved"))</f>
        <v/>
      </c>
      <c r="I132" s="32" t="str">
        <f>IF(A132="","",SUMIFS(Payouts!$G$5:$G$504,Payouts!$B$5:$B$504,A132,Payouts!$H$5:$H$504,"Paid"))</f>
        <v/>
      </c>
      <c r="J132" s="32" t="str">
        <f t="shared" si="1"/>
        <v/>
      </c>
      <c r="K132" s="4"/>
      <c r="L132" s="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4"/>
      <c r="B133" s="4"/>
      <c r="C133" s="3" t="str">
        <f>IF(B133="","",VLOOKUP(B133,Customers!$A$5:$J$504,3,FALSE))</f>
        <v/>
      </c>
      <c r="D133" s="3" t="str">
        <f>IF(B133="","",VLOOKUP(B133,Customers!$A$5:$J$504,4,FALSE))</f>
        <v/>
      </c>
      <c r="E133" s="4"/>
      <c r="F133" s="28"/>
      <c r="G133" s="4"/>
      <c r="H133" s="32" t="str">
        <f>IF(A133="","",SUMIFS(Sales!$K$5:$K$504,Sales!$I$5:$I$504,A133,Sales!$L$5:$L$504,"Approved"))</f>
        <v/>
      </c>
      <c r="I133" s="32" t="str">
        <f>IF(A133="","",SUMIFS(Payouts!$G$5:$G$504,Payouts!$B$5:$B$504,A133,Payouts!$H$5:$H$504,"Paid"))</f>
        <v/>
      </c>
      <c r="J133" s="32" t="str">
        <f t="shared" ref="J133:J196" si="2">IF(A133="","",H133-I133)</f>
        <v/>
      </c>
      <c r="K133" s="4"/>
      <c r="L133" s="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4"/>
      <c r="B134" s="4"/>
      <c r="C134" s="3" t="str">
        <f>IF(B134="","",VLOOKUP(B134,Customers!$A$5:$J$504,3,FALSE))</f>
        <v/>
      </c>
      <c r="D134" s="3" t="str">
        <f>IF(B134="","",VLOOKUP(B134,Customers!$A$5:$J$504,4,FALSE))</f>
        <v/>
      </c>
      <c r="E134" s="4"/>
      <c r="F134" s="28"/>
      <c r="G134" s="4"/>
      <c r="H134" s="32" t="str">
        <f>IF(A134="","",SUMIFS(Sales!$K$5:$K$504,Sales!$I$5:$I$504,A134,Sales!$L$5:$L$504,"Approved"))</f>
        <v/>
      </c>
      <c r="I134" s="32" t="str">
        <f>IF(A134="","",SUMIFS(Payouts!$G$5:$G$504,Payouts!$B$5:$B$504,A134,Payouts!$H$5:$H$504,"Paid"))</f>
        <v/>
      </c>
      <c r="J134" s="32" t="str">
        <f t="shared" si="2"/>
        <v/>
      </c>
      <c r="K134" s="4"/>
      <c r="L134" s="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4"/>
      <c r="B135" s="4"/>
      <c r="C135" s="3" t="str">
        <f>IF(B135="","",VLOOKUP(B135,Customers!$A$5:$J$504,3,FALSE))</f>
        <v/>
      </c>
      <c r="D135" s="3" t="str">
        <f>IF(B135="","",VLOOKUP(B135,Customers!$A$5:$J$504,4,FALSE))</f>
        <v/>
      </c>
      <c r="E135" s="4"/>
      <c r="F135" s="28"/>
      <c r="G135" s="4"/>
      <c r="H135" s="32" t="str">
        <f>IF(A135="","",SUMIFS(Sales!$K$5:$K$504,Sales!$I$5:$I$504,A135,Sales!$L$5:$L$504,"Approved"))</f>
        <v/>
      </c>
      <c r="I135" s="32" t="str">
        <f>IF(A135="","",SUMIFS(Payouts!$G$5:$G$504,Payouts!$B$5:$B$504,A135,Payouts!$H$5:$H$504,"Paid"))</f>
        <v/>
      </c>
      <c r="J135" s="32" t="str">
        <f t="shared" si="2"/>
        <v/>
      </c>
      <c r="K135" s="4"/>
      <c r="L135" s="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4"/>
      <c r="B136" s="4"/>
      <c r="C136" s="3" t="str">
        <f>IF(B136="","",VLOOKUP(B136,Customers!$A$5:$J$504,3,FALSE))</f>
        <v/>
      </c>
      <c r="D136" s="3" t="str">
        <f>IF(B136="","",VLOOKUP(B136,Customers!$A$5:$J$504,4,FALSE))</f>
        <v/>
      </c>
      <c r="E136" s="4"/>
      <c r="F136" s="28"/>
      <c r="G136" s="4"/>
      <c r="H136" s="32" t="str">
        <f>IF(A136="","",SUMIFS(Sales!$K$5:$K$504,Sales!$I$5:$I$504,A136,Sales!$L$5:$L$504,"Approved"))</f>
        <v/>
      </c>
      <c r="I136" s="32" t="str">
        <f>IF(A136="","",SUMIFS(Payouts!$G$5:$G$504,Payouts!$B$5:$B$504,A136,Payouts!$H$5:$H$504,"Paid"))</f>
        <v/>
      </c>
      <c r="J136" s="32" t="str">
        <f t="shared" si="2"/>
        <v/>
      </c>
      <c r="K136" s="4"/>
      <c r="L136" s="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4"/>
      <c r="B137" s="4"/>
      <c r="C137" s="3" t="str">
        <f>IF(B137="","",VLOOKUP(B137,Customers!$A$5:$J$504,3,FALSE))</f>
        <v/>
      </c>
      <c r="D137" s="3" t="str">
        <f>IF(B137="","",VLOOKUP(B137,Customers!$A$5:$J$504,4,FALSE))</f>
        <v/>
      </c>
      <c r="E137" s="4"/>
      <c r="F137" s="28"/>
      <c r="G137" s="4"/>
      <c r="H137" s="32" t="str">
        <f>IF(A137="","",SUMIFS(Sales!$K$5:$K$504,Sales!$I$5:$I$504,A137,Sales!$L$5:$L$504,"Approved"))</f>
        <v/>
      </c>
      <c r="I137" s="32" t="str">
        <f>IF(A137="","",SUMIFS(Payouts!$G$5:$G$504,Payouts!$B$5:$B$504,A137,Payouts!$H$5:$H$504,"Paid"))</f>
        <v/>
      </c>
      <c r="J137" s="32" t="str">
        <f t="shared" si="2"/>
        <v/>
      </c>
      <c r="K137" s="4"/>
      <c r="L137" s="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4"/>
      <c r="B138" s="4"/>
      <c r="C138" s="3" t="str">
        <f>IF(B138="","",VLOOKUP(B138,Customers!$A$5:$J$504,3,FALSE))</f>
        <v/>
      </c>
      <c r="D138" s="3" t="str">
        <f>IF(B138="","",VLOOKUP(B138,Customers!$A$5:$J$504,4,FALSE))</f>
        <v/>
      </c>
      <c r="E138" s="4"/>
      <c r="F138" s="28"/>
      <c r="G138" s="4"/>
      <c r="H138" s="32" t="str">
        <f>IF(A138="","",SUMIFS(Sales!$K$5:$K$504,Sales!$I$5:$I$504,A138,Sales!$L$5:$L$504,"Approved"))</f>
        <v/>
      </c>
      <c r="I138" s="32" t="str">
        <f>IF(A138="","",SUMIFS(Payouts!$G$5:$G$504,Payouts!$B$5:$B$504,A138,Payouts!$H$5:$H$504,"Paid"))</f>
        <v/>
      </c>
      <c r="J138" s="32" t="str">
        <f t="shared" si="2"/>
        <v/>
      </c>
      <c r="K138" s="4"/>
      <c r="L138" s="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4"/>
      <c r="B139" s="4"/>
      <c r="C139" s="3" t="str">
        <f>IF(B139="","",VLOOKUP(B139,Customers!$A$5:$J$504,3,FALSE))</f>
        <v/>
      </c>
      <c r="D139" s="3" t="str">
        <f>IF(B139="","",VLOOKUP(B139,Customers!$A$5:$J$504,4,FALSE))</f>
        <v/>
      </c>
      <c r="E139" s="4"/>
      <c r="F139" s="28"/>
      <c r="G139" s="4"/>
      <c r="H139" s="32" t="str">
        <f>IF(A139="","",SUMIFS(Sales!$K$5:$K$504,Sales!$I$5:$I$504,A139,Sales!$L$5:$L$504,"Approved"))</f>
        <v/>
      </c>
      <c r="I139" s="32" t="str">
        <f>IF(A139="","",SUMIFS(Payouts!$G$5:$G$504,Payouts!$B$5:$B$504,A139,Payouts!$H$5:$H$504,"Paid"))</f>
        <v/>
      </c>
      <c r="J139" s="32" t="str">
        <f t="shared" si="2"/>
        <v/>
      </c>
      <c r="K139" s="4"/>
      <c r="L139" s="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4"/>
      <c r="B140" s="4"/>
      <c r="C140" s="3" t="str">
        <f>IF(B140="","",VLOOKUP(B140,Customers!$A$5:$J$504,3,FALSE))</f>
        <v/>
      </c>
      <c r="D140" s="3" t="str">
        <f>IF(B140="","",VLOOKUP(B140,Customers!$A$5:$J$504,4,FALSE))</f>
        <v/>
      </c>
      <c r="E140" s="4"/>
      <c r="F140" s="28"/>
      <c r="G140" s="4"/>
      <c r="H140" s="32" t="str">
        <f>IF(A140="","",SUMIFS(Sales!$K$5:$K$504,Sales!$I$5:$I$504,A140,Sales!$L$5:$L$504,"Approved"))</f>
        <v/>
      </c>
      <c r="I140" s="32" t="str">
        <f>IF(A140="","",SUMIFS(Payouts!$G$5:$G$504,Payouts!$B$5:$B$504,A140,Payouts!$H$5:$H$504,"Paid"))</f>
        <v/>
      </c>
      <c r="J140" s="32" t="str">
        <f t="shared" si="2"/>
        <v/>
      </c>
      <c r="K140" s="4"/>
      <c r="L140" s="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4"/>
      <c r="B141" s="4"/>
      <c r="C141" s="3" t="str">
        <f>IF(B141="","",VLOOKUP(B141,Customers!$A$5:$J$504,3,FALSE))</f>
        <v/>
      </c>
      <c r="D141" s="3" t="str">
        <f>IF(B141="","",VLOOKUP(B141,Customers!$A$5:$J$504,4,FALSE))</f>
        <v/>
      </c>
      <c r="E141" s="4"/>
      <c r="F141" s="28"/>
      <c r="G141" s="4"/>
      <c r="H141" s="32" t="str">
        <f>IF(A141="","",SUMIFS(Sales!$K$5:$K$504,Sales!$I$5:$I$504,A141,Sales!$L$5:$L$504,"Approved"))</f>
        <v/>
      </c>
      <c r="I141" s="32" t="str">
        <f>IF(A141="","",SUMIFS(Payouts!$G$5:$G$504,Payouts!$B$5:$B$504,A141,Payouts!$H$5:$H$504,"Paid"))</f>
        <v/>
      </c>
      <c r="J141" s="32" t="str">
        <f t="shared" si="2"/>
        <v/>
      </c>
      <c r="K141" s="4"/>
      <c r="L141" s="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4"/>
      <c r="B142" s="4"/>
      <c r="C142" s="3" t="str">
        <f>IF(B142="","",VLOOKUP(B142,Customers!$A$5:$J$504,3,FALSE))</f>
        <v/>
      </c>
      <c r="D142" s="3" t="str">
        <f>IF(B142="","",VLOOKUP(B142,Customers!$A$5:$J$504,4,FALSE))</f>
        <v/>
      </c>
      <c r="E142" s="4"/>
      <c r="F142" s="28"/>
      <c r="G142" s="4"/>
      <c r="H142" s="32" t="str">
        <f>IF(A142="","",SUMIFS(Sales!$K$5:$K$504,Sales!$I$5:$I$504,A142,Sales!$L$5:$L$504,"Approved"))</f>
        <v/>
      </c>
      <c r="I142" s="32" t="str">
        <f>IF(A142="","",SUMIFS(Payouts!$G$5:$G$504,Payouts!$B$5:$B$504,A142,Payouts!$H$5:$H$504,"Paid"))</f>
        <v/>
      </c>
      <c r="J142" s="32" t="str">
        <f t="shared" si="2"/>
        <v/>
      </c>
      <c r="K142" s="4"/>
      <c r="L142" s="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4"/>
      <c r="B143" s="4"/>
      <c r="C143" s="3" t="str">
        <f>IF(B143="","",VLOOKUP(B143,Customers!$A$5:$J$504,3,FALSE))</f>
        <v/>
      </c>
      <c r="D143" s="3" t="str">
        <f>IF(B143="","",VLOOKUP(B143,Customers!$A$5:$J$504,4,FALSE))</f>
        <v/>
      </c>
      <c r="E143" s="4"/>
      <c r="F143" s="28"/>
      <c r="G143" s="4"/>
      <c r="H143" s="32" t="str">
        <f>IF(A143="","",SUMIFS(Sales!$K$5:$K$504,Sales!$I$5:$I$504,A143,Sales!$L$5:$L$504,"Approved"))</f>
        <v/>
      </c>
      <c r="I143" s="32" t="str">
        <f>IF(A143="","",SUMIFS(Payouts!$G$5:$G$504,Payouts!$B$5:$B$504,A143,Payouts!$H$5:$H$504,"Paid"))</f>
        <v/>
      </c>
      <c r="J143" s="32" t="str">
        <f t="shared" si="2"/>
        <v/>
      </c>
      <c r="K143" s="4"/>
      <c r="L143" s="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4"/>
      <c r="B144" s="4"/>
      <c r="C144" s="3" t="str">
        <f>IF(B144="","",VLOOKUP(B144,Customers!$A$5:$J$504,3,FALSE))</f>
        <v/>
      </c>
      <c r="D144" s="3" t="str">
        <f>IF(B144="","",VLOOKUP(B144,Customers!$A$5:$J$504,4,FALSE))</f>
        <v/>
      </c>
      <c r="E144" s="4"/>
      <c r="F144" s="28"/>
      <c r="G144" s="4"/>
      <c r="H144" s="32" t="str">
        <f>IF(A144="","",SUMIFS(Sales!$K$5:$K$504,Sales!$I$5:$I$504,A144,Sales!$L$5:$L$504,"Approved"))</f>
        <v/>
      </c>
      <c r="I144" s="32" t="str">
        <f>IF(A144="","",SUMIFS(Payouts!$G$5:$G$504,Payouts!$B$5:$B$504,A144,Payouts!$H$5:$H$504,"Paid"))</f>
        <v/>
      </c>
      <c r="J144" s="32" t="str">
        <f t="shared" si="2"/>
        <v/>
      </c>
      <c r="K144" s="4"/>
      <c r="L144" s="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4"/>
      <c r="B145" s="4"/>
      <c r="C145" s="3" t="str">
        <f>IF(B145="","",VLOOKUP(B145,Customers!$A$5:$J$504,3,FALSE))</f>
        <v/>
      </c>
      <c r="D145" s="3" t="str">
        <f>IF(B145="","",VLOOKUP(B145,Customers!$A$5:$J$504,4,FALSE))</f>
        <v/>
      </c>
      <c r="E145" s="4"/>
      <c r="F145" s="28"/>
      <c r="G145" s="4"/>
      <c r="H145" s="32" t="str">
        <f>IF(A145="","",SUMIFS(Sales!$K$5:$K$504,Sales!$I$5:$I$504,A145,Sales!$L$5:$L$504,"Approved"))</f>
        <v/>
      </c>
      <c r="I145" s="32" t="str">
        <f>IF(A145="","",SUMIFS(Payouts!$G$5:$G$504,Payouts!$B$5:$B$504,A145,Payouts!$H$5:$H$504,"Paid"))</f>
        <v/>
      </c>
      <c r="J145" s="32" t="str">
        <f t="shared" si="2"/>
        <v/>
      </c>
      <c r="K145" s="4"/>
      <c r="L145" s="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4"/>
      <c r="B146" s="4"/>
      <c r="C146" s="3" t="str">
        <f>IF(B146="","",VLOOKUP(B146,Customers!$A$5:$J$504,3,FALSE))</f>
        <v/>
      </c>
      <c r="D146" s="3" t="str">
        <f>IF(B146="","",VLOOKUP(B146,Customers!$A$5:$J$504,4,FALSE))</f>
        <v/>
      </c>
      <c r="E146" s="4"/>
      <c r="F146" s="28"/>
      <c r="G146" s="4"/>
      <c r="H146" s="32" t="str">
        <f>IF(A146="","",SUMIFS(Sales!$K$5:$K$504,Sales!$I$5:$I$504,A146,Sales!$L$5:$L$504,"Approved"))</f>
        <v/>
      </c>
      <c r="I146" s="32" t="str">
        <f>IF(A146="","",SUMIFS(Payouts!$G$5:$G$504,Payouts!$B$5:$B$504,A146,Payouts!$H$5:$H$504,"Paid"))</f>
        <v/>
      </c>
      <c r="J146" s="32" t="str">
        <f t="shared" si="2"/>
        <v/>
      </c>
      <c r="K146" s="4"/>
      <c r="L146" s="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4"/>
      <c r="B147" s="4"/>
      <c r="C147" s="3" t="str">
        <f>IF(B147="","",VLOOKUP(B147,Customers!$A$5:$J$504,3,FALSE))</f>
        <v/>
      </c>
      <c r="D147" s="3" t="str">
        <f>IF(B147="","",VLOOKUP(B147,Customers!$A$5:$J$504,4,FALSE))</f>
        <v/>
      </c>
      <c r="E147" s="4"/>
      <c r="F147" s="28"/>
      <c r="G147" s="4"/>
      <c r="H147" s="32" t="str">
        <f>IF(A147="","",SUMIFS(Sales!$K$5:$K$504,Sales!$I$5:$I$504,A147,Sales!$L$5:$L$504,"Approved"))</f>
        <v/>
      </c>
      <c r="I147" s="32" t="str">
        <f>IF(A147="","",SUMIFS(Payouts!$G$5:$G$504,Payouts!$B$5:$B$504,A147,Payouts!$H$5:$H$504,"Paid"))</f>
        <v/>
      </c>
      <c r="J147" s="32" t="str">
        <f t="shared" si="2"/>
        <v/>
      </c>
      <c r="K147" s="4"/>
      <c r="L147" s="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4"/>
      <c r="B148" s="4"/>
      <c r="C148" s="3" t="str">
        <f>IF(B148="","",VLOOKUP(B148,Customers!$A$5:$J$504,3,FALSE))</f>
        <v/>
      </c>
      <c r="D148" s="3" t="str">
        <f>IF(B148="","",VLOOKUP(B148,Customers!$A$5:$J$504,4,FALSE))</f>
        <v/>
      </c>
      <c r="E148" s="4"/>
      <c r="F148" s="28"/>
      <c r="G148" s="4"/>
      <c r="H148" s="32" t="str">
        <f>IF(A148="","",SUMIFS(Sales!$K$5:$K$504,Sales!$I$5:$I$504,A148,Sales!$L$5:$L$504,"Approved"))</f>
        <v/>
      </c>
      <c r="I148" s="32" t="str">
        <f>IF(A148="","",SUMIFS(Payouts!$G$5:$G$504,Payouts!$B$5:$B$504,A148,Payouts!$H$5:$H$504,"Paid"))</f>
        <v/>
      </c>
      <c r="J148" s="32" t="str">
        <f t="shared" si="2"/>
        <v/>
      </c>
      <c r="K148" s="4"/>
      <c r="L148" s="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4"/>
      <c r="B149" s="4"/>
      <c r="C149" s="3" t="str">
        <f>IF(B149="","",VLOOKUP(B149,Customers!$A$5:$J$504,3,FALSE))</f>
        <v/>
      </c>
      <c r="D149" s="3" t="str">
        <f>IF(B149="","",VLOOKUP(B149,Customers!$A$5:$J$504,4,FALSE))</f>
        <v/>
      </c>
      <c r="E149" s="4"/>
      <c r="F149" s="28"/>
      <c r="G149" s="4"/>
      <c r="H149" s="32" t="str">
        <f>IF(A149="","",SUMIFS(Sales!$K$5:$K$504,Sales!$I$5:$I$504,A149,Sales!$L$5:$L$504,"Approved"))</f>
        <v/>
      </c>
      <c r="I149" s="32" t="str">
        <f>IF(A149="","",SUMIFS(Payouts!$G$5:$G$504,Payouts!$B$5:$B$504,A149,Payouts!$H$5:$H$504,"Paid"))</f>
        <v/>
      </c>
      <c r="J149" s="32" t="str">
        <f t="shared" si="2"/>
        <v/>
      </c>
      <c r="K149" s="4"/>
      <c r="L149" s="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4"/>
      <c r="B150" s="4"/>
      <c r="C150" s="3" t="str">
        <f>IF(B150="","",VLOOKUP(B150,Customers!$A$5:$J$504,3,FALSE))</f>
        <v/>
      </c>
      <c r="D150" s="3" t="str">
        <f>IF(B150="","",VLOOKUP(B150,Customers!$A$5:$J$504,4,FALSE))</f>
        <v/>
      </c>
      <c r="E150" s="4"/>
      <c r="F150" s="28"/>
      <c r="G150" s="4"/>
      <c r="H150" s="32" t="str">
        <f>IF(A150="","",SUMIFS(Sales!$K$5:$K$504,Sales!$I$5:$I$504,A150,Sales!$L$5:$L$504,"Approved"))</f>
        <v/>
      </c>
      <c r="I150" s="32" t="str">
        <f>IF(A150="","",SUMIFS(Payouts!$G$5:$G$504,Payouts!$B$5:$B$504,A150,Payouts!$H$5:$H$504,"Paid"))</f>
        <v/>
      </c>
      <c r="J150" s="32" t="str">
        <f t="shared" si="2"/>
        <v/>
      </c>
      <c r="K150" s="4"/>
      <c r="L150" s="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4"/>
      <c r="B151" s="4"/>
      <c r="C151" s="3" t="str">
        <f>IF(B151="","",VLOOKUP(B151,Customers!$A$5:$J$504,3,FALSE))</f>
        <v/>
      </c>
      <c r="D151" s="3" t="str">
        <f>IF(B151="","",VLOOKUP(B151,Customers!$A$5:$J$504,4,FALSE))</f>
        <v/>
      </c>
      <c r="E151" s="4"/>
      <c r="F151" s="28"/>
      <c r="G151" s="4"/>
      <c r="H151" s="32" t="str">
        <f>IF(A151="","",SUMIFS(Sales!$K$5:$K$504,Sales!$I$5:$I$504,A151,Sales!$L$5:$L$504,"Approved"))</f>
        <v/>
      </c>
      <c r="I151" s="32" t="str">
        <f>IF(A151="","",SUMIFS(Payouts!$G$5:$G$504,Payouts!$B$5:$B$504,A151,Payouts!$H$5:$H$504,"Paid"))</f>
        <v/>
      </c>
      <c r="J151" s="32" t="str">
        <f t="shared" si="2"/>
        <v/>
      </c>
      <c r="K151" s="4"/>
      <c r="L151" s="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4"/>
      <c r="B152" s="4"/>
      <c r="C152" s="3" t="str">
        <f>IF(B152="","",VLOOKUP(B152,Customers!$A$5:$J$504,3,FALSE))</f>
        <v/>
      </c>
      <c r="D152" s="3" t="str">
        <f>IF(B152="","",VLOOKUP(B152,Customers!$A$5:$J$504,4,FALSE))</f>
        <v/>
      </c>
      <c r="E152" s="4"/>
      <c r="F152" s="28"/>
      <c r="G152" s="4"/>
      <c r="H152" s="32" t="str">
        <f>IF(A152="","",SUMIFS(Sales!$K$5:$K$504,Sales!$I$5:$I$504,A152,Sales!$L$5:$L$504,"Approved"))</f>
        <v/>
      </c>
      <c r="I152" s="32" t="str">
        <f>IF(A152="","",SUMIFS(Payouts!$G$5:$G$504,Payouts!$B$5:$B$504,A152,Payouts!$H$5:$H$504,"Paid"))</f>
        <v/>
      </c>
      <c r="J152" s="32" t="str">
        <f t="shared" si="2"/>
        <v/>
      </c>
      <c r="K152" s="4"/>
      <c r="L152" s="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4"/>
      <c r="B153" s="4"/>
      <c r="C153" s="3" t="str">
        <f>IF(B153="","",VLOOKUP(B153,Customers!$A$5:$J$504,3,FALSE))</f>
        <v/>
      </c>
      <c r="D153" s="3" t="str">
        <f>IF(B153="","",VLOOKUP(B153,Customers!$A$5:$J$504,4,FALSE))</f>
        <v/>
      </c>
      <c r="E153" s="4"/>
      <c r="F153" s="28"/>
      <c r="G153" s="4"/>
      <c r="H153" s="32" t="str">
        <f>IF(A153="","",SUMIFS(Sales!$K$5:$K$504,Sales!$I$5:$I$504,A153,Sales!$L$5:$L$504,"Approved"))</f>
        <v/>
      </c>
      <c r="I153" s="32" t="str">
        <f>IF(A153="","",SUMIFS(Payouts!$G$5:$G$504,Payouts!$B$5:$B$504,A153,Payouts!$H$5:$H$504,"Paid"))</f>
        <v/>
      </c>
      <c r="J153" s="32" t="str">
        <f t="shared" si="2"/>
        <v/>
      </c>
      <c r="K153" s="4"/>
      <c r="L153" s="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4"/>
      <c r="B154" s="4"/>
      <c r="C154" s="3" t="str">
        <f>IF(B154="","",VLOOKUP(B154,Customers!$A$5:$J$504,3,FALSE))</f>
        <v/>
      </c>
      <c r="D154" s="3" t="str">
        <f>IF(B154="","",VLOOKUP(B154,Customers!$A$5:$J$504,4,FALSE))</f>
        <v/>
      </c>
      <c r="E154" s="4"/>
      <c r="F154" s="28"/>
      <c r="G154" s="4"/>
      <c r="H154" s="32" t="str">
        <f>IF(A154="","",SUMIFS(Sales!$K$5:$K$504,Sales!$I$5:$I$504,A154,Sales!$L$5:$L$504,"Approved"))</f>
        <v/>
      </c>
      <c r="I154" s="32" t="str">
        <f>IF(A154="","",SUMIFS(Payouts!$G$5:$G$504,Payouts!$B$5:$B$504,A154,Payouts!$H$5:$H$504,"Paid"))</f>
        <v/>
      </c>
      <c r="J154" s="32" t="str">
        <f t="shared" si="2"/>
        <v/>
      </c>
      <c r="K154" s="4"/>
      <c r="L154" s="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4"/>
      <c r="B155" s="4"/>
      <c r="C155" s="3" t="str">
        <f>IF(B155="","",VLOOKUP(B155,Customers!$A$5:$J$504,3,FALSE))</f>
        <v/>
      </c>
      <c r="D155" s="3" t="str">
        <f>IF(B155="","",VLOOKUP(B155,Customers!$A$5:$J$504,4,FALSE))</f>
        <v/>
      </c>
      <c r="E155" s="4"/>
      <c r="F155" s="28"/>
      <c r="G155" s="4"/>
      <c r="H155" s="32" t="str">
        <f>IF(A155="","",SUMIFS(Sales!$K$5:$K$504,Sales!$I$5:$I$504,A155,Sales!$L$5:$L$504,"Approved"))</f>
        <v/>
      </c>
      <c r="I155" s="32" t="str">
        <f>IF(A155="","",SUMIFS(Payouts!$G$5:$G$504,Payouts!$B$5:$B$504,A155,Payouts!$H$5:$H$504,"Paid"))</f>
        <v/>
      </c>
      <c r="J155" s="32" t="str">
        <f t="shared" si="2"/>
        <v/>
      </c>
      <c r="K155" s="4"/>
      <c r="L155" s="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4"/>
      <c r="B156" s="4"/>
      <c r="C156" s="3" t="str">
        <f>IF(B156="","",VLOOKUP(B156,Customers!$A$5:$J$504,3,FALSE))</f>
        <v/>
      </c>
      <c r="D156" s="3" t="str">
        <f>IF(B156="","",VLOOKUP(B156,Customers!$A$5:$J$504,4,FALSE))</f>
        <v/>
      </c>
      <c r="E156" s="4"/>
      <c r="F156" s="28"/>
      <c r="G156" s="4"/>
      <c r="H156" s="32" t="str">
        <f>IF(A156="","",SUMIFS(Sales!$K$5:$K$504,Sales!$I$5:$I$504,A156,Sales!$L$5:$L$504,"Approved"))</f>
        <v/>
      </c>
      <c r="I156" s="32" t="str">
        <f>IF(A156="","",SUMIFS(Payouts!$G$5:$G$504,Payouts!$B$5:$B$504,A156,Payouts!$H$5:$H$504,"Paid"))</f>
        <v/>
      </c>
      <c r="J156" s="32" t="str">
        <f t="shared" si="2"/>
        <v/>
      </c>
      <c r="K156" s="4"/>
      <c r="L156" s="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4"/>
      <c r="B157" s="4"/>
      <c r="C157" s="3" t="str">
        <f>IF(B157="","",VLOOKUP(B157,Customers!$A$5:$J$504,3,FALSE))</f>
        <v/>
      </c>
      <c r="D157" s="3" t="str">
        <f>IF(B157="","",VLOOKUP(B157,Customers!$A$5:$J$504,4,FALSE))</f>
        <v/>
      </c>
      <c r="E157" s="4"/>
      <c r="F157" s="28"/>
      <c r="G157" s="4"/>
      <c r="H157" s="32" t="str">
        <f>IF(A157="","",SUMIFS(Sales!$K$5:$K$504,Sales!$I$5:$I$504,A157,Sales!$L$5:$L$504,"Approved"))</f>
        <v/>
      </c>
      <c r="I157" s="32" t="str">
        <f>IF(A157="","",SUMIFS(Payouts!$G$5:$G$504,Payouts!$B$5:$B$504,A157,Payouts!$H$5:$H$504,"Paid"))</f>
        <v/>
      </c>
      <c r="J157" s="32" t="str">
        <f t="shared" si="2"/>
        <v/>
      </c>
      <c r="K157" s="4"/>
      <c r="L157" s="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4"/>
      <c r="B158" s="4"/>
      <c r="C158" s="3" t="str">
        <f>IF(B158="","",VLOOKUP(B158,Customers!$A$5:$J$504,3,FALSE))</f>
        <v/>
      </c>
      <c r="D158" s="3" t="str">
        <f>IF(B158="","",VLOOKUP(B158,Customers!$A$5:$J$504,4,FALSE))</f>
        <v/>
      </c>
      <c r="E158" s="4"/>
      <c r="F158" s="28"/>
      <c r="G158" s="4"/>
      <c r="H158" s="32" t="str">
        <f>IF(A158="","",SUMIFS(Sales!$K$5:$K$504,Sales!$I$5:$I$504,A158,Sales!$L$5:$L$504,"Approved"))</f>
        <v/>
      </c>
      <c r="I158" s="32" t="str">
        <f>IF(A158="","",SUMIFS(Payouts!$G$5:$G$504,Payouts!$B$5:$B$504,A158,Payouts!$H$5:$H$504,"Paid"))</f>
        <v/>
      </c>
      <c r="J158" s="32" t="str">
        <f t="shared" si="2"/>
        <v/>
      </c>
      <c r="K158" s="4"/>
      <c r="L158" s="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4"/>
      <c r="B159" s="4"/>
      <c r="C159" s="3" t="str">
        <f>IF(B159="","",VLOOKUP(B159,Customers!$A$5:$J$504,3,FALSE))</f>
        <v/>
      </c>
      <c r="D159" s="3" t="str">
        <f>IF(B159="","",VLOOKUP(B159,Customers!$A$5:$J$504,4,FALSE))</f>
        <v/>
      </c>
      <c r="E159" s="4"/>
      <c r="F159" s="28"/>
      <c r="G159" s="4"/>
      <c r="H159" s="32" t="str">
        <f>IF(A159="","",SUMIFS(Sales!$K$5:$K$504,Sales!$I$5:$I$504,A159,Sales!$L$5:$L$504,"Approved"))</f>
        <v/>
      </c>
      <c r="I159" s="32" t="str">
        <f>IF(A159="","",SUMIFS(Payouts!$G$5:$G$504,Payouts!$B$5:$B$504,A159,Payouts!$H$5:$H$504,"Paid"))</f>
        <v/>
      </c>
      <c r="J159" s="32" t="str">
        <f t="shared" si="2"/>
        <v/>
      </c>
      <c r="K159" s="4"/>
      <c r="L159" s="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4"/>
      <c r="B160" s="4"/>
      <c r="C160" s="3" t="str">
        <f>IF(B160="","",VLOOKUP(B160,Customers!$A$5:$J$504,3,FALSE))</f>
        <v/>
      </c>
      <c r="D160" s="3" t="str">
        <f>IF(B160="","",VLOOKUP(B160,Customers!$A$5:$J$504,4,FALSE))</f>
        <v/>
      </c>
      <c r="E160" s="4"/>
      <c r="F160" s="28"/>
      <c r="G160" s="4"/>
      <c r="H160" s="32" t="str">
        <f>IF(A160="","",SUMIFS(Sales!$K$5:$K$504,Sales!$I$5:$I$504,A160,Sales!$L$5:$L$504,"Approved"))</f>
        <v/>
      </c>
      <c r="I160" s="32" t="str">
        <f>IF(A160="","",SUMIFS(Payouts!$G$5:$G$504,Payouts!$B$5:$B$504,A160,Payouts!$H$5:$H$504,"Paid"))</f>
        <v/>
      </c>
      <c r="J160" s="32" t="str">
        <f t="shared" si="2"/>
        <v/>
      </c>
      <c r="K160" s="4"/>
      <c r="L160" s="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4"/>
      <c r="B161" s="4"/>
      <c r="C161" s="3" t="str">
        <f>IF(B161="","",VLOOKUP(B161,Customers!$A$5:$J$504,3,FALSE))</f>
        <v/>
      </c>
      <c r="D161" s="3" t="str">
        <f>IF(B161="","",VLOOKUP(B161,Customers!$A$5:$J$504,4,FALSE))</f>
        <v/>
      </c>
      <c r="E161" s="4"/>
      <c r="F161" s="28"/>
      <c r="G161" s="4"/>
      <c r="H161" s="32" t="str">
        <f>IF(A161="","",SUMIFS(Sales!$K$5:$K$504,Sales!$I$5:$I$504,A161,Sales!$L$5:$L$504,"Approved"))</f>
        <v/>
      </c>
      <c r="I161" s="32" t="str">
        <f>IF(A161="","",SUMIFS(Payouts!$G$5:$G$504,Payouts!$B$5:$B$504,A161,Payouts!$H$5:$H$504,"Paid"))</f>
        <v/>
      </c>
      <c r="J161" s="32" t="str">
        <f t="shared" si="2"/>
        <v/>
      </c>
      <c r="K161" s="4"/>
      <c r="L161" s="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4"/>
      <c r="B162" s="4"/>
      <c r="C162" s="3" t="str">
        <f>IF(B162="","",VLOOKUP(B162,Customers!$A$5:$J$504,3,FALSE))</f>
        <v/>
      </c>
      <c r="D162" s="3" t="str">
        <f>IF(B162="","",VLOOKUP(B162,Customers!$A$5:$J$504,4,FALSE))</f>
        <v/>
      </c>
      <c r="E162" s="4"/>
      <c r="F162" s="28"/>
      <c r="G162" s="4"/>
      <c r="H162" s="32" t="str">
        <f>IF(A162="","",SUMIFS(Sales!$K$5:$K$504,Sales!$I$5:$I$504,A162,Sales!$L$5:$L$504,"Approved"))</f>
        <v/>
      </c>
      <c r="I162" s="32" t="str">
        <f>IF(A162="","",SUMIFS(Payouts!$G$5:$G$504,Payouts!$B$5:$B$504,A162,Payouts!$H$5:$H$504,"Paid"))</f>
        <v/>
      </c>
      <c r="J162" s="32" t="str">
        <f t="shared" si="2"/>
        <v/>
      </c>
      <c r="K162" s="4"/>
      <c r="L162" s="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4"/>
      <c r="B163" s="4"/>
      <c r="C163" s="3" t="str">
        <f>IF(B163="","",VLOOKUP(B163,Customers!$A$5:$J$504,3,FALSE))</f>
        <v/>
      </c>
      <c r="D163" s="3" t="str">
        <f>IF(B163="","",VLOOKUP(B163,Customers!$A$5:$J$504,4,FALSE))</f>
        <v/>
      </c>
      <c r="E163" s="4"/>
      <c r="F163" s="28"/>
      <c r="G163" s="4"/>
      <c r="H163" s="32" t="str">
        <f>IF(A163="","",SUMIFS(Sales!$K$5:$K$504,Sales!$I$5:$I$504,A163,Sales!$L$5:$L$504,"Approved"))</f>
        <v/>
      </c>
      <c r="I163" s="32" t="str">
        <f>IF(A163="","",SUMIFS(Payouts!$G$5:$G$504,Payouts!$B$5:$B$504,A163,Payouts!$H$5:$H$504,"Paid"))</f>
        <v/>
      </c>
      <c r="J163" s="32" t="str">
        <f t="shared" si="2"/>
        <v/>
      </c>
      <c r="K163" s="4"/>
      <c r="L163" s="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4"/>
      <c r="B164" s="4"/>
      <c r="C164" s="3" t="str">
        <f>IF(B164="","",VLOOKUP(B164,Customers!$A$5:$J$504,3,FALSE))</f>
        <v/>
      </c>
      <c r="D164" s="3" t="str">
        <f>IF(B164="","",VLOOKUP(B164,Customers!$A$5:$J$504,4,FALSE))</f>
        <v/>
      </c>
      <c r="E164" s="4"/>
      <c r="F164" s="28"/>
      <c r="G164" s="4"/>
      <c r="H164" s="32" t="str">
        <f>IF(A164="","",SUMIFS(Sales!$K$5:$K$504,Sales!$I$5:$I$504,A164,Sales!$L$5:$L$504,"Approved"))</f>
        <v/>
      </c>
      <c r="I164" s="32" t="str">
        <f>IF(A164="","",SUMIFS(Payouts!$G$5:$G$504,Payouts!$B$5:$B$504,A164,Payouts!$H$5:$H$504,"Paid"))</f>
        <v/>
      </c>
      <c r="J164" s="32" t="str">
        <f t="shared" si="2"/>
        <v/>
      </c>
      <c r="K164" s="4"/>
      <c r="L164" s="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4"/>
      <c r="B165" s="4"/>
      <c r="C165" s="3" t="str">
        <f>IF(B165="","",VLOOKUP(B165,Customers!$A$5:$J$504,3,FALSE))</f>
        <v/>
      </c>
      <c r="D165" s="3" t="str">
        <f>IF(B165="","",VLOOKUP(B165,Customers!$A$5:$J$504,4,FALSE))</f>
        <v/>
      </c>
      <c r="E165" s="4"/>
      <c r="F165" s="28"/>
      <c r="G165" s="4"/>
      <c r="H165" s="32" t="str">
        <f>IF(A165="","",SUMIFS(Sales!$K$5:$K$504,Sales!$I$5:$I$504,A165,Sales!$L$5:$L$504,"Approved"))</f>
        <v/>
      </c>
      <c r="I165" s="32" t="str">
        <f>IF(A165="","",SUMIFS(Payouts!$G$5:$G$504,Payouts!$B$5:$B$504,A165,Payouts!$H$5:$H$504,"Paid"))</f>
        <v/>
      </c>
      <c r="J165" s="32" t="str">
        <f t="shared" si="2"/>
        <v/>
      </c>
      <c r="K165" s="4"/>
      <c r="L165" s="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4"/>
      <c r="B166" s="4"/>
      <c r="C166" s="3" t="str">
        <f>IF(B166="","",VLOOKUP(B166,Customers!$A$5:$J$504,3,FALSE))</f>
        <v/>
      </c>
      <c r="D166" s="3" t="str">
        <f>IF(B166="","",VLOOKUP(B166,Customers!$A$5:$J$504,4,FALSE))</f>
        <v/>
      </c>
      <c r="E166" s="4"/>
      <c r="F166" s="28"/>
      <c r="G166" s="4"/>
      <c r="H166" s="32" t="str">
        <f>IF(A166="","",SUMIFS(Sales!$K$5:$K$504,Sales!$I$5:$I$504,A166,Sales!$L$5:$L$504,"Approved"))</f>
        <v/>
      </c>
      <c r="I166" s="32" t="str">
        <f>IF(A166="","",SUMIFS(Payouts!$G$5:$G$504,Payouts!$B$5:$B$504,A166,Payouts!$H$5:$H$504,"Paid"))</f>
        <v/>
      </c>
      <c r="J166" s="32" t="str">
        <f t="shared" si="2"/>
        <v/>
      </c>
      <c r="K166" s="4"/>
      <c r="L166" s="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4"/>
      <c r="B167" s="4"/>
      <c r="C167" s="3" t="str">
        <f>IF(B167="","",VLOOKUP(B167,Customers!$A$5:$J$504,3,FALSE))</f>
        <v/>
      </c>
      <c r="D167" s="3" t="str">
        <f>IF(B167="","",VLOOKUP(B167,Customers!$A$5:$J$504,4,FALSE))</f>
        <v/>
      </c>
      <c r="E167" s="4"/>
      <c r="F167" s="28"/>
      <c r="G167" s="4"/>
      <c r="H167" s="32" t="str">
        <f>IF(A167="","",SUMIFS(Sales!$K$5:$K$504,Sales!$I$5:$I$504,A167,Sales!$L$5:$L$504,"Approved"))</f>
        <v/>
      </c>
      <c r="I167" s="32" t="str">
        <f>IF(A167="","",SUMIFS(Payouts!$G$5:$G$504,Payouts!$B$5:$B$504,A167,Payouts!$H$5:$H$504,"Paid"))</f>
        <v/>
      </c>
      <c r="J167" s="32" t="str">
        <f t="shared" si="2"/>
        <v/>
      </c>
      <c r="K167" s="4"/>
      <c r="L167" s="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4"/>
      <c r="B168" s="4"/>
      <c r="C168" s="3" t="str">
        <f>IF(B168="","",VLOOKUP(B168,Customers!$A$5:$J$504,3,FALSE))</f>
        <v/>
      </c>
      <c r="D168" s="3" t="str">
        <f>IF(B168="","",VLOOKUP(B168,Customers!$A$5:$J$504,4,FALSE))</f>
        <v/>
      </c>
      <c r="E168" s="4"/>
      <c r="F168" s="28"/>
      <c r="G168" s="4"/>
      <c r="H168" s="32" t="str">
        <f>IF(A168="","",SUMIFS(Sales!$K$5:$K$504,Sales!$I$5:$I$504,A168,Sales!$L$5:$L$504,"Approved"))</f>
        <v/>
      </c>
      <c r="I168" s="32" t="str">
        <f>IF(A168="","",SUMIFS(Payouts!$G$5:$G$504,Payouts!$B$5:$B$504,A168,Payouts!$H$5:$H$504,"Paid"))</f>
        <v/>
      </c>
      <c r="J168" s="32" t="str">
        <f t="shared" si="2"/>
        <v/>
      </c>
      <c r="K168" s="4"/>
      <c r="L168" s="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4"/>
      <c r="B169" s="4"/>
      <c r="C169" s="3" t="str">
        <f>IF(B169="","",VLOOKUP(B169,Customers!$A$5:$J$504,3,FALSE))</f>
        <v/>
      </c>
      <c r="D169" s="3" t="str">
        <f>IF(B169="","",VLOOKUP(B169,Customers!$A$5:$J$504,4,FALSE))</f>
        <v/>
      </c>
      <c r="E169" s="4"/>
      <c r="F169" s="28"/>
      <c r="G169" s="4"/>
      <c r="H169" s="32" t="str">
        <f>IF(A169="","",SUMIFS(Sales!$K$5:$K$504,Sales!$I$5:$I$504,A169,Sales!$L$5:$L$504,"Approved"))</f>
        <v/>
      </c>
      <c r="I169" s="32" t="str">
        <f>IF(A169="","",SUMIFS(Payouts!$G$5:$G$504,Payouts!$B$5:$B$504,A169,Payouts!$H$5:$H$504,"Paid"))</f>
        <v/>
      </c>
      <c r="J169" s="32" t="str">
        <f t="shared" si="2"/>
        <v/>
      </c>
      <c r="K169" s="4"/>
      <c r="L169" s="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4"/>
      <c r="B170" s="4"/>
      <c r="C170" s="3" t="str">
        <f>IF(B170="","",VLOOKUP(B170,Customers!$A$5:$J$504,3,FALSE))</f>
        <v/>
      </c>
      <c r="D170" s="3" t="str">
        <f>IF(B170="","",VLOOKUP(B170,Customers!$A$5:$J$504,4,FALSE))</f>
        <v/>
      </c>
      <c r="E170" s="4"/>
      <c r="F170" s="28"/>
      <c r="G170" s="4"/>
      <c r="H170" s="32" t="str">
        <f>IF(A170="","",SUMIFS(Sales!$K$5:$K$504,Sales!$I$5:$I$504,A170,Sales!$L$5:$L$504,"Approved"))</f>
        <v/>
      </c>
      <c r="I170" s="32" t="str">
        <f>IF(A170="","",SUMIFS(Payouts!$G$5:$G$504,Payouts!$B$5:$B$504,A170,Payouts!$H$5:$H$504,"Paid"))</f>
        <v/>
      </c>
      <c r="J170" s="32" t="str">
        <f t="shared" si="2"/>
        <v/>
      </c>
      <c r="K170" s="4"/>
      <c r="L170" s="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4"/>
      <c r="B171" s="4"/>
      <c r="C171" s="3" t="str">
        <f>IF(B171="","",VLOOKUP(B171,Customers!$A$5:$J$504,3,FALSE))</f>
        <v/>
      </c>
      <c r="D171" s="3" t="str">
        <f>IF(B171="","",VLOOKUP(B171,Customers!$A$5:$J$504,4,FALSE))</f>
        <v/>
      </c>
      <c r="E171" s="4"/>
      <c r="F171" s="28"/>
      <c r="G171" s="4"/>
      <c r="H171" s="32" t="str">
        <f>IF(A171="","",SUMIFS(Sales!$K$5:$K$504,Sales!$I$5:$I$504,A171,Sales!$L$5:$L$504,"Approved"))</f>
        <v/>
      </c>
      <c r="I171" s="32" t="str">
        <f>IF(A171="","",SUMIFS(Payouts!$G$5:$G$504,Payouts!$B$5:$B$504,A171,Payouts!$H$5:$H$504,"Paid"))</f>
        <v/>
      </c>
      <c r="J171" s="32" t="str">
        <f t="shared" si="2"/>
        <v/>
      </c>
      <c r="K171" s="4"/>
      <c r="L171" s="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4"/>
      <c r="B172" s="4"/>
      <c r="C172" s="3" t="str">
        <f>IF(B172="","",VLOOKUP(B172,Customers!$A$5:$J$504,3,FALSE))</f>
        <v/>
      </c>
      <c r="D172" s="3" t="str">
        <f>IF(B172="","",VLOOKUP(B172,Customers!$A$5:$J$504,4,FALSE))</f>
        <v/>
      </c>
      <c r="E172" s="4"/>
      <c r="F172" s="28"/>
      <c r="G172" s="4"/>
      <c r="H172" s="32" t="str">
        <f>IF(A172="","",SUMIFS(Sales!$K$5:$K$504,Sales!$I$5:$I$504,A172,Sales!$L$5:$L$504,"Approved"))</f>
        <v/>
      </c>
      <c r="I172" s="32" t="str">
        <f>IF(A172="","",SUMIFS(Payouts!$G$5:$G$504,Payouts!$B$5:$B$504,A172,Payouts!$H$5:$H$504,"Paid"))</f>
        <v/>
      </c>
      <c r="J172" s="32" t="str">
        <f t="shared" si="2"/>
        <v/>
      </c>
      <c r="K172" s="4"/>
      <c r="L172" s="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4"/>
      <c r="B173" s="4"/>
      <c r="C173" s="3" t="str">
        <f>IF(B173="","",VLOOKUP(B173,Customers!$A$5:$J$504,3,FALSE))</f>
        <v/>
      </c>
      <c r="D173" s="3" t="str">
        <f>IF(B173="","",VLOOKUP(B173,Customers!$A$5:$J$504,4,FALSE))</f>
        <v/>
      </c>
      <c r="E173" s="4"/>
      <c r="F173" s="28"/>
      <c r="G173" s="4"/>
      <c r="H173" s="32" t="str">
        <f>IF(A173="","",SUMIFS(Sales!$K$5:$K$504,Sales!$I$5:$I$504,A173,Sales!$L$5:$L$504,"Approved"))</f>
        <v/>
      </c>
      <c r="I173" s="32" t="str">
        <f>IF(A173="","",SUMIFS(Payouts!$G$5:$G$504,Payouts!$B$5:$B$504,A173,Payouts!$H$5:$H$504,"Paid"))</f>
        <v/>
      </c>
      <c r="J173" s="32" t="str">
        <f t="shared" si="2"/>
        <v/>
      </c>
      <c r="K173" s="4"/>
      <c r="L173" s="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4"/>
      <c r="B174" s="4"/>
      <c r="C174" s="3" t="str">
        <f>IF(B174="","",VLOOKUP(B174,Customers!$A$5:$J$504,3,FALSE))</f>
        <v/>
      </c>
      <c r="D174" s="3" t="str">
        <f>IF(B174="","",VLOOKUP(B174,Customers!$A$5:$J$504,4,FALSE))</f>
        <v/>
      </c>
      <c r="E174" s="4"/>
      <c r="F174" s="28"/>
      <c r="G174" s="4"/>
      <c r="H174" s="32" t="str">
        <f>IF(A174="","",SUMIFS(Sales!$K$5:$K$504,Sales!$I$5:$I$504,A174,Sales!$L$5:$L$504,"Approved"))</f>
        <v/>
      </c>
      <c r="I174" s="32" t="str">
        <f>IF(A174="","",SUMIFS(Payouts!$G$5:$G$504,Payouts!$B$5:$B$504,A174,Payouts!$H$5:$H$504,"Paid"))</f>
        <v/>
      </c>
      <c r="J174" s="32" t="str">
        <f t="shared" si="2"/>
        <v/>
      </c>
      <c r="K174" s="4"/>
      <c r="L174" s="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4"/>
      <c r="B175" s="4"/>
      <c r="C175" s="3" t="str">
        <f>IF(B175="","",VLOOKUP(B175,Customers!$A$5:$J$504,3,FALSE))</f>
        <v/>
      </c>
      <c r="D175" s="3" t="str">
        <f>IF(B175="","",VLOOKUP(B175,Customers!$A$5:$J$504,4,FALSE))</f>
        <v/>
      </c>
      <c r="E175" s="4"/>
      <c r="F175" s="28"/>
      <c r="G175" s="4"/>
      <c r="H175" s="32" t="str">
        <f>IF(A175="","",SUMIFS(Sales!$K$5:$K$504,Sales!$I$5:$I$504,A175,Sales!$L$5:$L$504,"Approved"))</f>
        <v/>
      </c>
      <c r="I175" s="32" t="str">
        <f>IF(A175="","",SUMIFS(Payouts!$G$5:$G$504,Payouts!$B$5:$B$504,A175,Payouts!$H$5:$H$504,"Paid"))</f>
        <v/>
      </c>
      <c r="J175" s="32" t="str">
        <f t="shared" si="2"/>
        <v/>
      </c>
      <c r="K175" s="4"/>
      <c r="L175" s="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4"/>
      <c r="B176" s="4"/>
      <c r="C176" s="3" t="str">
        <f>IF(B176="","",VLOOKUP(B176,Customers!$A$5:$J$504,3,FALSE))</f>
        <v/>
      </c>
      <c r="D176" s="3" t="str">
        <f>IF(B176="","",VLOOKUP(B176,Customers!$A$5:$J$504,4,FALSE))</f>
        <v/>
      </c>
      <c r="E176" s="4"/>
      <c r="F176" s="28"/>
      <c r="G176" s="4"/>
      <c r="H176" s="32" t="str">
        <f>IF(A176="","",SUMIFS(Sales!$K$5:$K$504,Sales!$I$5:$I$504,A176,Sales!$L$5:$L$504,"Approved"))</f>
        <v/>
      </c>
      <c r="I176" s="32" t="str">
        <f>IF(A176="","",SUMIFS(Payouts!$G$5:$G$504,Payouts!$B$5:$B$504,A176,Payouts!$H$5:$H$504,"Paid"))</f>
        <v/>
      </c>
      <c r="J176" s="32" t="str">
        <f t="shared" si="2"/>
        <v/>
      </c>
      <c r="K176" s="4"/>
      <c r="L176" s="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4"/>
      <c r="B177" s="4"/>
      <c r="C177" s="3" t="str">
        <f>IF(B177="","",VLOOKUP(B177,Customers!$A$5:$J$504,3,FALSE))</f>
        <v/>
      </c>
      <c r="D177" s="3" t="str">
        <f>IF(B177="","",VLOOKUP(B177,Customers!$A$5:$J$504,4,FALSE))</f>
        <v/>
      </c>
      <c r="E177" s="4"/>
      <c r="F177" s="28"/>
      <c r="G177" s="4"/>
      <c r="H177" s="32" t="str">
        <f>IF(A177="","",SUMIFS(Sales!$K$5:$K$504,Sales!$I$5:$I$504,A177,Sales!$L$5:$L$504,"Approved"))</f>
        <v/>
      </c>
      <c r="I177" s="32" t="str">
        <f>IF(A177="","",SUMIFS(Payouts!$G$5:$G$504,Payouts!$B$5:$B$504,A177,Payouts!$H$5:$H$504,"Paid"))</f>
        <v/>
      </c>
      <c r="J177" s="32" t="str">
        <f t="shared" si="2"/>
        <v/>
      </c>
      <c r="K177" s="4"/>
      <c r="L177" s="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4"/>
      <c r="B178" s="4"/>
      <c r="C178" s="3" t="str">
        <f>IF(B178="","",VLOOKUP(B178,Customers!$A$5:$J$504,3,FALSE))</f>
        <v/>
      </c>
      <c r="D178" s="3" t="str">
        <f>IF(B178="","",VLOOKUP(B178,Customers!$A$5:$J$504,4,FALSE))</f>
        <v/>
      </c>
      <c r="E178" s="4"/>
      <c r="F178" s="28"/>
      <c r="G178" s="4"/>
      <c r="H178" s="32" t="str">
        <f>IF(A178="","",SUMIFS(Sales!$K$5:$K$504,Sales!$I$5:$I$504,A178,Sales!$L$5:$L$504,"Approved"))</f>
        <v/>
      </c>
      <c r="I178" s="32" t="str">
        <f>IF(A178="","",SUMIFS(Payouts!$G$5:$G$504,Payouts!$B$5:$B$504,A178,Payouts!$H$5:$H$504,"Paid"))</f>
        <v/>
      </c>
      <c r="J178" s="32" t="str">
        <f t="shared" si="2"/>
        <v/>
      </c>
      <c r="K178" s="4"/>
      <c r="L178" s="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4"/>
      <c r="B179" s="4"/>
      <c r="C179" s="3" t="str">
        <f>IF(B179="","",VLOOKUP(B179,Customers!$A$5:$J$504,3,FALSE))</f>
        <v/>
      </c>
      <c r="D179" s="3" t="str">
        <f>IF(B179="","",VLOOKUP(B179,Customers!$A$5:$J$504,4,FALSE))</f>
        <v/>
      </c>
      <c r="E179" s="4"/>
      <c r="F179" s="28"/>
      <c r="G179" s="4"/>
      <c r="H179" s="32" t="str">
        <f>IF(A179="","",SUMIFS(Sales!$K$5:$K$504,Sales!$I$5:$I$504,A179,Sales!$L$5:$L$504,"Approved"))</f>
        <v/>
      </c>
      <c r="I179" s="32" t="str">
        <f>IF(A179="","",SUMIFS(Payouts!$G$5:$G$504,Payouts!$B$5:$B$504,A179,Payouts!$H$5:$H$504,"Paid"))</f>
        <v/>
      </c>
      <c r="J179" s="32" t="str">
        <f t="shared" si="2"/>
        <v/>
      </c>
      <c r="K179" s="4"/>
      <c r="L179" s="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4"/>
      <c r="B180" s="4"/>
      <c r="C180" s="3" t="str">
        <f>IF(B180="","",VLOOKUP(B180,Customers!$A$5:$J$504,3,FALSE))</f>
        <v/>
      </c>
      <c r="D180" s="3" t="str">
        <f>IF(B180="","",VLOOKUP(B180,Customers!$A$5:$J$504,4,FALSE))</f>
        <v/>
      </c>
      <c r="E180" s="4"/>
      <c r="F180" s="28"/>
      <c r="G180" s="4"/>
      <c r="H180" s="32" t="str">
        <f>IF(A180="","",SUMIFS(Sales!$K$5:$K$504,Sales!$I$5:$I$504,A180,Sales!$L$5:$L$504,"Approved"))</f>
        <v/>
      </c>
      <c r="I180" s="32" t="str">
        <f>IF(A180="","",SUMIFS(Payouts!$G$5:$G$504,Payouts!$B$5:$B$504,A180,Payouts!$H$5:$H$504,"Paid"))</f>
        <v/>
      </c>
      <c r="J180" s="32" t="str">
        <f t="shared" si="2"/>
        <v/>
      </c>
      <c r="K180" s="4"/>
      <c r="L180" s="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4"/>
      <c r="B181" s="4"/>
      <c r="C181" s="3" t="str">
        <f>IF(B181="","",VLOOKUP(B181,Customers!$A$5:$J$504,3,FALSE))</f>
        <v/>
      </c>
      <c r="D181" s="3" t="str">
        <f>IF(B181="","",VLOOKUP(B181,Customers!$A$5:$J$504,4,FALSE))</f>
        <v/>
      </c>
      <c r="E181" s="4"/>
      <c r="F181" s="28"/>
      <c r="G181" s="4"/>
      <c r="H181" s="32" t="str">
        <f>IF(A181="","",SUMIFS(Sales!$K$5:$K$504,Sales!$I$5:$I$504,A181,Sales!$L$5:$L$504,"Approved"))</f>
        <v/>
      </c>
      <c r="I181" s="32" t="str">
        <f>IF(A181="","",SUMIFS(Payouts!$G$5:$G$504,Payouts!$B$5:$B$504,A181,Payouts!$H$5:$H$504,"Paid"))</f>
        <v/>
      </c>
      <c r="J181" s="32" t="str">
        <f t="shared" si="2"/>
        <v/>
      </c>
      <c r="K181" s="4"/>
      <c r="L181" s="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4"/>
      <c r="B182" s="4"/>
      <c r="C182" s="3" t="str">
        <f>IF(B182="","",VLOOKUP(B182,Customers!$A$5:$J$504,3,FALSE))</f>
        <v/>
      </c>
      <c r="D182" s="3" t="str">
        <f>IF(B182="","",VLOOKUP(B182,Customers!$A$5:$J$504,4,FALSE))</f>
        <v/>
      </c>
      <c r="E182" s="4"/>
      <c r="F182" s="28"/>
      <c r="G182" s="4"/>
      <c r="H182" s="32" t="str">
        <f>IF(A182="","",SUMIFS(Sales!$K$5:$K$504,Sales!$I$5:$I$504,A182,Sales!$L$5:$L$504,"Approved"))</f>
        <v/>
      </c>
      <c r="I182" s="32" t="str">
        <f>IF(A182="","",SUMIFS(Payouts!$G$5:$G$504,Payouts!$B$5:$B$504,A182,Payouts!$H$5:$H$504,"Paid"))</f>
        <v/>
      </c>
      <c r="J182" s="32" t="str">
        <f t="shared" si="2"/>
        <v/>
      </c>
      <c r="K182" s="4"/>
      <c r="L182" s="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4"/>
      <c r="B183" s="4"/>
      <c r="C183" s="3" t="str">
        <f>IF(B183="","",VLOOKUP(B183,Customers!$A$5:$J$504,3,FALSE))</f>
        <v/>
      </c>
      <c r="D183" s="3" t="str">
        <f>IF(B183="","",VLOOKUP(B183,Customers!$A$5:$J$504,4,FALSE))</f>
        <v/>
      </c>
      <c r="E183" s="4"/>
      <c r="F183" s="28"/>
      <c r="G183" s="4"/>
      <c r="H183" s="32" t="str">
        <f>IF(A183="","",SUMIFS(Sales!$K$5:$K$504,Sales!$I$5:$I$504,A183,Sales!$L$5:$L$504,"Approved"))</f>
        <v/>
      </c>
      <c r="I183" s="32" t="str">
        <f>IF(A183="","",SUMIFS(Payouts!$G$5:$G$504,Payouts!$B$5:$B$504,A183,Payouts!$H$5:$H$504,"Paid"))</f>
        <v/>
      </c>
      <c r="J183" s="32" t="str">
        <f t="shared" si="2"/>
        <v/>
      </c>
      <c r="K183" s="4"/>
      <c r="L183" s="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4"/>
      <c r="B184" s="4"/>
      <c r="C184" s="3" t="str">
        <f>IF(B184="","",VLOOKUP(B184,Customers!$A$5:$J$504,3,FALSE))</f>
        <v/>
      </c>
      <c r="D184" s="3" t="str">
        <f>IF(B184="","",VLOOKUP(B184,Customers!$A$5:$J$504,4,FALSE))</f>
        <v/>
      </c>
      <c r="E184" s="4"/>
      <c r="F184" s="28"/>
      <c r="G184" s="4"/>
      <c r="H184" s="32" t="str">
        <f>IF(A184="","",SUMIFS(Sales!$K$5:$K$504,Sales!$I$5:$I$504,A184,Sales!$L$5:$L$504,"Approved"))</f>
        <v/>
      </c>
      <c r="I184" s="32" t="str">
        <f>IF(A184="","",SUMIFS(Payouts!$G$5:$G$504,Payouts!$B$5:$B$504,A184,Payouts!$H$5:$H$504,"Paid"))</f>
        <v/>
      </c>
      <c r="J184" s="32" t="str">
        <f t="shared" si="2"/>
        <v/>
      </c>
      <c r="K184" s="4"/>
      <c r="L184" s="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4"/>
      <c r="B185" s="4"/>
      <c r="C185" s="3" t="str">
        <f>IF(B185="","",VLOOKUP(B185,Customers!$A$5:$J$504,3,FALSE))</f>
        <v/>
      </c>
      <c r="D185" s="3" t="str">
        <f>IF(B185="","",VLOOKUP(B185,Customers!$A$5:$J$504,4,FALSE))</f>
        <v/>
      </c>
      <c r="E185" s="4"/>
      <c r="F185" s="28"/>
      <c r="G185" s="4"/>
      <c r="H185" s="32" t="str">
        <f>IF(A185="","",SUMIFS(Sales!$K$5:$K$504,Sales!$I$5:$I$504,A185,Sales!$L$5:$L$504,"Approved"))</f>
        <v/>
      </c>
      <c r="I185" s="32" t="str">
        <f>IF(A185="","",SUMIFS(Payouts!$G$5:$G$504,Payouts!$B$5:$B$504,A185,Payouts!$H$5:$H$504,"Paid"))</f>
        <v/>
      </c>
      <c r="J185" s="32" t="str">
        <f t="shared" si="2"/>
        <v/>
      </c>
      <c r="K185" s="4"/>
      <c r="L185" s="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4"/>
      <c r="B186" s="4"/>
      <c r="C186" s="3" t="str">
        <f>IF(B186="","",VLOOKUP(B186,Customers!$A$5:$J$504,3,FALSE))</f>
        <v/>
      </c>
      <c r="D186" s="3" t="str">
        <f>IF(B186="","",VLOOKUP(B186,Customers!$A$5:$J$504,4,FALSE))</f>
        <v/>
      </c>
      <c r="E186" s="4"/>
      <c r="F186" s="28"/>
      <c r="G186" s="4"/>
      <c r="H186" s="32" t="str">
        <f>IF(A186="","",SUMIFS(Sales!$K$5:$K$504,Sales!$I$5:$I$504,A186,Sales!$L$5:$L$504,"Approved"))</f>
        <v/>
      </c>
      <c r="I186" s="32" t="str">
        <f>IF(A186="","",SUMIFS(Payouts!$G$5:$G$504,Payouts!$B$5:$B$504,A186,Payouts!$H$5:$H$504,"Paid"))</f>
        <v/>
      </c>
      <c r="J186" s="32" t="str">
        <f t="shared" si="2"/>
        <v/>
      </c>
      <c r="K186" s="4"/>
      <c r="L186" s="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4"/>
      <c r="B187" s="4"/>
      <c r="C187" s="3" t="str">
        <f>IF(B187="","",VLOOKUP(B187,Customers!$A$5:$J$504,3,FALSE))</f>
        <v/>
      </c>
      <c r="D187" s="3" t="str">
        <f>IF(B187="","",VLOOKUP(B187,Customers!$A$5:$J$504,4,FALSE))</f>
        <v/>
      </c>
      <c r="E187" s="4"/>
      <c r="F187" s="28"/>
      <c r="G187" s="4"/>
      <c r="H187" s="32" t="str">
        <f>IF(A187="","",SUMIFS(Sales!$K$5:$K$504,Sales!$I$5:$I$504,A187,Sales!$L$5:$L$504,"Approved"))</f>
        <v/>
      </c>
      <c r="I187" s="32" t="str">
        <f>IF(A187="","",SUMIFS(Payouts!$G$5:$G$504,Payouts!$B$5:$B$504,A187,Payouts!$H$5:$H$504,"Paid"))</f>
        <v/>
      </c>
      <c r="J187" s="32" t="str">
        <f t="shared" si="2"/>
        <v/>
      </c>
      <c r="K187" s="4"/>
      <c r="L187" s="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4"/>
      <c r="B188" s="4"/>
      <c r="C188" s="3" t="str">
        <f>IF(B188="","",VLOOKUP(B188,Customers!$A$5:$J$504,3,FALSE))</f>
        <v/>
      </c>
      <c r="D188" s="3" t="str">
        <f>IF(B188="","",VLOOKUP(B188,Customers!$A$5:$J$504,4,FALSE))</f>
        <v/>
      </c>
      <c r="E188" s="4"/>
      <c r="F188" s="28"/>
      <c r="G188" s="4"/>
      <c r="H188" s="32" t="str">
        <f>IF(A188="","",SUMIFS(Sales!$K$5:$K$504,Sales!$I$5:$I$504,A188,Sales!$L$5:$L$504,"Approved"))</f>
        <v/>
      </c>
      <c r="I188" s="32" t="str">
        <f>IF(A188="","",SUMIFS(Payouts!$G$5:$G$504,Payouts!$B$5:$B$504,A188,Payouts!$H$5:$H$504,"Paid"))</f>
        <v/>
      </c>
      <c r="J188" s="32" t="str">
        <f t="shared" si="2"/>
        <v/>
      </c>
      <c r="K188" s="4"/>
      <c r="L188" s="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4"/>
      <c r="B189" s="4"/>
      <c r="C189" s="3" t="str">
        <f>IF(B189="","",VLOOKUP(B189,Customers!$A$5:$J$504,3,FALSE))</f>
        <v/>
      </c>
      <c r="D189" s="3" t="str">
        <f>IF(B189="","",VLOOKUP(B189,Customers!$A$5:$J$504,4,FALSE))</f>
        <v/>
      </c>
      <c r="E189" s="4"/>
      <c r="F189" s="28"/>
      <c r="G189" s="4"/>
      <c r="H189" s="32" t="str">
        <f>IF(A189="","",SUMIFS(Sales!$K$5:$K$504,Sales!$I$5:$I$504,A189,Sales!$L$5:$L$504,"Approved"))</f>
        <v/>
      </c>
      <c r="I189" s="32" t="str">
        <f>IF(A189="","",SUMIFS(Payouts!$G$5:$G$504,Payouts!$B$5:$B$504,A189,Payouts!$H$5:$H$504,"Paid"))</f>
        <v/>
      </c>
      <c r="J189" s="32" t="str">
        <f t="shared" si="2"/>
        <v/>
      </c>
      <c r="K189" s="4"/>
      <c r="L189" s="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4"/>
      <c r="B190" s="4"/>
      <c r="C190" s="3" t="str">
        <f>IF(B190="","",VLOOKUP(B190,Customers!$A$5:$J$504,3,FALSE))</f>
        <v/>
      </c>
      <c r="D190" s="3" t="str">
        <f>IF(B190="","",VLOOKUP(B190,Customers!$A$5:$J$504,4,FALSE))</f>
        <v/>
      </c>
      <c r="E190" s="4"/>
      <c r="F190" s="28"/>
      <c r="G190" s="4"/>
      <c r="H190" s="32" t="str">
        <f>IF(A190="","",SUMIFS(Sales!$K$5:$K$504,Sales!$I$5:$I$504,A190,Sales!$L$5:$L$504,"Approved"))</f>
        <v/>
      </c>
      <c r="I190" s="32" t="str">
        <f>IF(A190="","",SUMIFS(Payouts!$G$5:$G$504,Payouts!$B$5:$B$504,A190,Payouts!$H$5:$H$504,"Paid"))</f>
        <v/>
      </c>
      <c r="J190" s="32" t="str">
        <f t="shared" si="2"/>
        <v/>
      </c>
      <c r="K190" s="4"/>
      <c r="L190" s="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4"/>
      <c r="B191" s="4"/>
      <c r="C191" s="3" t="str">
        <f>IF(B191="","",VLOOKUP(B191,Customers!$A$5:$J$504,3,FALSE))</f>
        <v/>
      </c>
      <c r="D191" s="3" t="str">
        <f>IF(B191="","",VLOOKUP(B191,Customers!$A$5:$J$504,4,FALSE))</f>
        <v/>
      </c>
      <c r="E191" s="4"/>
      <c r="F191" s="28"/>
      <c r="G191" s="4"/>
      <c r="H191" s="32" t="str">
        <f>IF(A191="","",SUMIFS(Sales!$K$5:$K$504,Sales!$I$5:$I$504,A191,Sales!$L$5:$L$504,"Approved"))</f>
        <v/>
      </c>
      <c r="I191" s="32" t="str">
        <f>IF(A191="","",SUMIFS(Payouts!$G$5:$G$504,Payouts!$B$5:$B$504,A191,Payouts!$H$5:$H$504,"Paid"))</f>
        <v/>
      </c>
      <c r="J191" s="32" t="str">
        <f t="shared" si="2"/>
        <v/>
      </c>
      <c r="K191" s="4"/>
      <c r="L191" s="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4"/>
      <c r="B192" s="4"/>
      <c r="C192" s="3" t="str">
        <f>IF(B192="","",VLOOKUP(B192,Customers!$A$5:$J$504,3,FALSE))</f>
        <v/>
      </c>
      <c r="D192" s="3" t="str">
        <f>IF(B192="","",VLOOKUP(B192,Customers!$A$5:$J$504,4,FALSE))</f>
        <v/>
      </c>
      <c r="E192" s="4"/>
      <c r="F192" s="28"/>
      <c r="G192" s="4"/>
      <c r="H192" s="32" t="str">
        <f>IF(A192="","",SUMIFS(Sales!$K$5:$K$504,Sales!$I$5:$I$504,A192,Sales!$L$5:$L$504,"Approved"))</f>
        <v/>
      </c>
      <c r="I192" s="32" t="str">
        <f>IF(A192="","",SUMIFS(Payouts!$G$5:$G$504,Payouts!$B$5:$B$504,A192,Payouts!$H$5:$H$504,"Paid"))</f>
        <v/>
      </c>
      <c r="J192" s="32" t="str">
        <f t="shared" si="2"/>
        <v/>
      </c>
      <c r="K192" s="4"/>
      <c r="L192" s="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4"/>
      <c r="B193" s="4"/>
      <c r="C193" s="3" t="str">
        <f>IF(B193="","",VLOOKUP(B193,Customers!$A$5:$J$504,3,FALSE))</f>
        <v/>
      </c>
      <c r="D193" s="3" t="str">
        <f>IF(B193="","",VLOOKUP(B193,Customers!$A$5:$J$504,4,FALSE))</f>
        <v/>
      </c>
      <c r="E193" s="4"/>
      <c r="F193" s="28"/>
      <c r="G193" s="4"/>
      <c r="H193" s="32" t="str">
        <f>IF(A193="","",SUMIFS(Sales!$K$5:$K$504,Sales!$I$5:$I$504,A193,Sales!$L$5:$L$504,"Approved"))</f>
        <v/>
      </c>
      <c r="I193" s="32" t="str">
        <f>IF(A193="","",SUMIFS(Payouts!$G$5:$G$504,Payouts!$B$5:$B$504,A193,Payouts!$H$5:$H$504,"Paid"))</f>
        <v/>
      </c>
      <c r="J193" s="32" t="str">
        <f t="shared" si="2"/>
        <v/>
      </c>
      <c r="K193" s="4"/>
      <c r="L193" s="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4"/>
      <c r="B194" s="4"/>
      <c r="C194" s="3" t="str">
        <f>IF(B194="","",VLOOKUP(B194,Customers!$A$5:$J$504,3,FALSE))</f>
        <v/>
      </c>
      <c r="D194" s="3" t="str">
        <f>IF(B194="","",VLOOKUP(B194,Customers!$A$5:$J$504,4,FALSE))</f>
        <v/>
      </c>
      <c r="E194" s="4"/>
      <c r="F194" s="28"/>
      <c r="G194" s="4"/>
      <c r="H194" s="32" t="str">
        <f>IF(A194="","",SUMIFS(Sales!$K$5:$K$504,Sales!$I$5:$I$504,A194,Sales!$L$5:$L$504,"Approved"))</f>
        <v/>
      </c>
      <c r="I194" s="32" t="str">
        <f>IF(A194="","",SUMIFS(Payouts!$G$5:$G$504,Payouts!$B$5:$B$504,A194,Payouts!$H$5:$H$504,"Paid"))</f>
        <v/>
      </c>
      <c r="J194" s="32" t="str">
        <f t="shared" si="2"/>
        <v/>
      </c>
      <c r="K194" s="4"/>
      <c r="L194" s="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4"/>
      <c r="B195" s="4"/>
      <c r="C195" s="3" t="str">
        <f>IF(B195="","",VLOOKUP(B195,Customers!$A$5:$J$504,3,FALSE))</f>
        <v/>
      </c>
      <c r="D195" s="3" t="str">
        <f>IF(B195="","",VLOOKUP(B195,Customers!$A$5:$J$504,4,FALSE))</f>
        <v/>
      </c>
      <c r="E195" s="4"/>
      <c r="F195" s="28"/>
      <c r="G195" s="4"/>
      <c r="H195" s="32" t="str">
        <f>IF(A195="","",SUMIFS(Sales!$K$5:$K$504,Sales!$I$5:$I$504,A195,Sales!$L$5:$L$504,"Approved"))</f>
        <v/>
      </c>
      <c r="I195" s="32" t="str">
        <f>IF(A195="","",SUMIFS(Payouts!$G$5:$G$504,Payouts!$B$5:$B$504,A195,Payouts!$H$5:$H$504,"Paid"))</f>
        <v/>
      </c>
      <c r="J195" s="32" t="str">
        <f t="shared" si="2"/>
        <v/>
      </c>
      <c r="K195" s="4"/>
      <c r="L195" s="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4"/>
      <c r="B196" s="4"/>
      <c r="C196" s="3" t="str">
        <f>IF(B196="","",VLOOKUP(B196,Customers!$A$5:$J$504,3,FALSE))</f>
        <v/>
      </c>
      <c r="D196" s="3" t="str">
        <f>IF(B196="","",VLOOKUP(B196,Customers!$A$5:$J$504,4,FALSE))</f>
        <v/>
      </c>
      <c r="E196" s="4"/>
      <c r="F196" s="28"/>
      <c r="G196" s="4"/>
      <c r="H196" s="32" t="str">
        <f>IF(A196="","",SUMIFS(Sales!$K$5:$K$504,Sales!$I$5:$I$504,A196,Sales!$L$5:$L$504,"Approved"))</f>
        <v/>
      </c>
      <c r="I196" s="32" t="str">
        <f>IF(A196="","",SUMIFS(Payouts!$G$5:$G$504,Payouts!$B$5:$B$504,A196,Payouts!$H$5:$H$504,"Paid"))</f>
        <v/>
      </c>
      <c r="J196" s="32" t="str">
        <f t="shared" si="2"/>
        <v/>
      </c>
      <c r="K196" s="4"/>
      <c r="L196" s="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4"/>
      <c r="B197" s="4"/>
      <c r="C197" s="3" t="str">
        <f>IF(B197="","",VLOOKUP(B197,Customers!$A$5:$J$504,3,FALSE))</f>
        <v/>
      </c>
      <c r="D197" s="3" t="str">
        <f>IF(B197="","",VLOOKUP(B197,Customers!$A$5:$J$504,4,FALSE))</f>
        <v/>
      </c>
      <c r="E197" s="4"/>
      <c r="F197" s="28"/>
      <c r="G197" s="4"/>
      <c r="H197" s="32" t="str">
        <f>IF(A197="","",SUMIFS(Sales!$K$5:$K$504,Sales!$I$5:$I$504,A197,Sales!$L$5:$L$504,"Approved"))</f>
        <v/>
      </c>
      <c r="I197" s="32" t="str">
        <f>IF(A197="","",SUMIFS(Payouts!$G$5:$G$504,Payouts!$B$5:$B$504,A197,Payouts!$H$5:$H$504,"Paid"))</f>
        <v/>
      </c>
      <c r="J197" s="32" t="str">
        <f t="shared" ref="J197:J260" si="3">IF(A197="","",H197-I197)</f>
        <v/>
      </c>
      <c r="K197" s="4"/>
      <c r="L197" s="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4"/>
      <c r="B198" s="4"/>
      <c r="C198" s="3" t="str">
        <f>IF(B198="","",VLOOKUP(B198,Customers!$A$5:$J$504,3,FALSE))</f>
        <v/>
      </c>
      <c r="D198" s="3" t="str">
        <f>IF(B198="","",VLOOKUP(B198,Customers!$A$5:$J$504,4,FALSE))</f>
        <v/>
      </c>
      <c r="E198" s="4"/>
      <c r="F198" s="28"/>
      <c r="G198" s="4"/>
      <c r="H198" s="32" t="str">
        <f>IF(A198="","",SUMIFS(Sales!$K$5:$K$504,Sales!$I$5:$I$504,A198,Sales!$L$5:$L$504,"Approved"))</f>
        <v/>
      </c>
      <c r="I198" s="32" t="str">
        <f>IF(A198="","",SUMIFS(Payouts!$G$5:$G$504,Payouts!$B$5:$B$504,A198,Payouts!$H$5:$H$504,"Paid"))</f>
        <v/>
      </c>
      <c r="J198" s="32" t="str">
        <f t="shared" si="3"/>
        <v/>
      </c>
      <c r="K198" s="4"/>
      <c r="L198" s="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4"/>
      <c r="B199" s="4"/>
      <c r="C199" s="3" t="str">
        <f>IF(B199="","",VLOOKUP(B199,Customers!$A$5:$J$504,3,FALSE))</f>
        <v/>
      </c>
      <c r="D199" s="3" t="str">
        <f>IF(B199="","",VLOOKUP(B199,Customers!$A$5:$J$504,4,FALSE))</f>
        <v/>
      </c>
      <c r="E199" s="4"/>
      <c r="F199" s="28"/>
      <c r="G199" s="4"/>
      <c r="H199" s="32" t="str">
        <f>IF(A199="","",SUMIFS(Sales!$K$5:$K$504,Sales!$I$5:$I$504,A199,Sales!$L$5:$L$504,"Approved"))</f>
        <v/>
      </c>
      <c r="I199" s="32" t="str">
        <f>IF(A199="","",SUMIFS(Payouts!$G$5:$G$504,Payouts!$B$5:$B$504,A199,Payouts!$H$5:$H$504,"Paid"))</f>
        <v/>
      </c>
      <c r="J199" s="32" t="str">
        <f t="shared" si="3"/>
        <v/>
      </c>
      <c r="K199" s="4"/>
      <c r="L199" s="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4"/>
      <c r="B200" s="4"/>
      <c r="C200" s="3" t="str">
        <f>IF(B200="","",VLOOKUP(B200,Customers!$A$5:$J$504,3,FALSE))</f>
        <v/>
      </c>
      <c r="D200" s="3" t="str">
        <f>IF(B200="","",VLOOKUP(B200,Customers!$A$5:$J$504,4,FALSE))</f>
        <v/>
      </c>
      <c r="E200" s="4"/>
      <c r="F200" s="28"/>
      <c r="G200" s="4"/>
      <c r="H200" s="32" t="str">
        <f>IF(A200="","",SUMIFS(Sales!$K$5:$K$504,Sales!$I$5:$I$504,A200,Sales!$L$5:$L$504,"Approved"))</f>
        <v/>
      </c>
      <c r="I200" s="32" t="str">
        <f>IF(A200="","",SUMIFS(Payouts!$G$5:$G$504,Payouts!$B$5:$B$504,A200,Payouts!$H$5:$H$504,"Paid"))</f>
        <v/>
      </c>
      <c r="J200" s="32" t="str">
        <f t="shared" si="3"/>
        <v/>
      </c>
      <c r="K200" s="4"/>
      <c r="L200" s="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4"/>
      <c r="B201" s="4"/>
      <c r="C201" s="3" t="str">
        <f>IF(B201="","",VLOOKUP(B201,Customers!$A$5:$J$504,3,FALSE))</f>
        <v/>
      </c>
      <c r="D201" s="3" t="str">
        <f>IF(B201="","",VLOOKUP(B201,Customers!$A$5:$J$504,4,FALSE))</f>
        <v/>
      </c>
      <c r="E201" s="4"/>
      <c r="F201" s="28"/>
      <c r="G201" s="4"/>
      <c r="H201" s="32" t="str">
        <f>IF(A201="","",SUMIFS(Sales!$K$5:$K$504,Sales!$I$5:$I$504,A201,Sales!$L$5:$L$504,"Approved"))</f>
        <v/>
      </c>
      <c r="I201" s="32" t="str">
        <f>IF(A201="","",SUMIFS(Payouts!$G$5:$G$504,Payouts!$B$5:$B$504,A201,Payouts!$H$5:$H$504,"Paid"))</f>
        <v/>
      </c>
      <c r="J201" s="32" t="str">
        <f t="shared" si="3"/>
        <v/>
      </c>
      <c r="K201" s="4"/>
      <c r="L201" s="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4"/>
      <c r="B202" s="4"/>
      <c r="C202" s="3" t="str">
        <f>IF(B202="","",VLOOKUP(B202,Customers!$A$5:$J$504,3,FALSE))</f>
        <v/>
      </c>
      <c r="D202" s="3" t="str">
        <f>IF(B202="","",VLOOKUP(B202,Customers!$A$5:$J$504,4,FALSE))</f>
        <v/>
      </c>
      <c r="E202" s="4"/>
      <c r="F202" s="28"/>
      <c r="G202" s="4"/>
      <c r="H202" s="32" t="str">
        <f>IF(A202="","",SUMIFS(Sales!$K$5:$K$504,Sales!$I$5:$I$504,A202,Sales!$L$5:$L$504,"Approved"))</f>
        <v/>
      </c>
      <c r="I202" s="32" t="str">
        <f>IF(A202="","",SUMIFS(Payouts!$G$5:$G$504,Payouts!$B$5:$B$504,A202,Payouts!$H$5:$H$504,"Paid"))</f>
        <v/>
      </c>
      <c r="J202" s="32" t="str">
        <f t="shared" si="3"/>
        <v/>
      </c>
      <c r="K202" s="4"/>
      <c r="L202" s="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4"/>
      <c r="B203" s="4"/>
      <c r="C203" s="3" t="str">
        <f>IF(B203="","",VLOOKUP(B203,Customers!$A$5:$J$504,3,FALSE))</f>
        <v/>
      </c>
      <c r="D203" s="3" t="str">
        <f>IF(B203="","",VLOOKUP(B203,Customers!$A$5:$J$504,4,FALSE))</f>
        <v/>
      </c>
      <c r="E203" s="4"/>
      <c r="F203" s="28"/>
      <c r="G203" s="4"/>
      <c r="H203" s="32" t="str">
        <f>IF(A203="","",SUMIFS(Sales!$K$5:$K$504,Sales!$I$5:$I$504,A203,Sales!$L$5:$L$504,"Approved"))</f>
        <v/>
      </c>
      <c r="I203" s="32" t="str">
        <f>IF(A203="","",SUMIFS(Payouts!$G$5:$G$504,Payouts!$B$5:$B$504,A203,Payouts!$H$5:$H$504,"Paid"))</f>
        <v/>
      </c>
      <c r="J203" s="32" t="str">
        <f t="shared" si="3"/>
        <v/>
      </c>
      <c r="K203" s="4"/>
      <c r="L203" s="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4"/>
      <c r="B204" s="4"/>
      <c r="C204" s="3" t="str">
        <f>IF(B204="","",VLOOKUP(B204,Customers!$A$5:$J$504,3,FALSE))</f>
        <v/>
      </c>
      <c r="D204" s="3" t="str">
        <f>IF(B204="","",VLOOKUP(B204,Customers!$A$5:$J$504,4,FALSE))</f>
        <v/>
      </c>
      <c r="E204" s="4"/>
      <c r="F204" s="28"/>
      <c r="G204" s="4"/>
      <c r="H204" s="32" t="str">
        <f>IF(A204="","",SUMIFS(Sales!$K$5:$K$504,Sales!$I$5:$I$504,A204,Sales!$L$5:$L$504,"Approved"))</f>
        <v/>
      </c>
      <c r="I204" s="32" t="str">
        <f>IF(A204="","",SUMIFS(Payouts!$G$5:$G$504,Payouts!$B$5:$B$504,A204,Payouts!$H$5:$H$504,"Paid"))</f>
        <v/>
      </c>
      <c r="J204" s="32" t="str">
        <f t="shared" si="3"/>
        <v/>
      </c>
      <c r="K204" s="4"/>
      <c r="L204" s="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4"/>
      <c r="B205" s="4"/>
      <c r="C205" s="3" t="str">
        <f>IF(B205="","",VLOOKUP(B205,Customers!$A$5:$J$504,3,FALSE))</f>
        <v/>
      </c>
      <c r="D205" s="3" t="str">
        <f>IF(B205="","",VLOOKUP(B205,Customers!$A$5:$J$504,4,FALSE))</f>
        <v/>
      </c>
      <c r="E205" s="4"/>
      <c r="F205" s="28"/>
      <c r="G205" s="4"/>
      <c r="H205" s="32" t="str">
        <f>IF(A205="","",SUMIFS(Sales!$K$5:$K$504,Sales!$I$5:$I$504,A205,Sales!$L$5:$L$504,"Approved"))</f>
        <v/>
      </c>
      <c r="I205" s="32" t="str">
        <f>IF(A205="","",SUMIFS(Payouts!$G$5:$G$504,Payouts!$B$5:$B$504,A205,Payouts!$H$5:$H$504,"Paid"))</f>
        <v/>
      </c>
      <c r="J205" s="32" t="str">
        <f t="shared" si="3"/>
        <v/>
      </c>
      <c r="K205" s="4"/>
      <c r="L205" s="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4"/>
      <c r="B206" s="4"/>
      <c r="C206" s="3" t="str">
        <f>IF(B206="","",VLOOKUP(B206,Customers!$A$5:$J$504,3,FALSE))</f>
        <v/>
      </c>
      <c r="D206" s="3" t="str">
        <f>IF(B206="","",VLOOKUP(B206,Customers!$A$5:$J$504,4,FALSE))</f>
        <v/>
      </c>
      <c r="E206" s="4"/>
      <c r="F206" s="28"/>
      <c r="G206" s="4"/>
      <c r="H206" s="32" t="str">
        <f>IF(A206="","",SUMIFS(Sales!$K$5:$K$504,Sales!$I$5:$I$504,A206,Sales!$L$5:$L$504,"Approved"))</f>
        <v/>
      </c>
      <c r="I206" s="32" t="str">
        <f>IF(A206="","",SUMIFS(Payouts!$G$5:$G$504,Payouts!$B$5:$B$504,A206,Payouts!$H$5:$H$504,"Paid"))</f>
        <v/>
      </c>
      <c r="J206" s="32" t="str">
        <f t="shared" si="3"/>
        <v/>
      </c>
      <c r="K206" s="4"/>
      <c r="L206" s="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4"/>
      <c r="B207" s="4"/>
      <c r="C207" s="3" t="str">
        <f>IF(B207="","",VLOOKUP(B207,Customers!$A$5:$J$504,3,FALSE))</f>
        <v/>
      </c>
      <c r="D207" s="3" t="str">
        <f>IF(B207="","",VLOOKUP(B207,Customers!$A$5:$J$504,4,FALSE))</f>
        <v/>
      </c>
      <c r="E207" s="4"/>
      <c r="F207" s="28"/>
      <c r="G207" s="4"/>
      <c r="H207" s="32" t="str">
        <f>IF(A207="","",SUMIFS(Sales!$K$5:$K$504,Sales!$I$5:$I$504,A207,Sales!$L$5:$L$504,"Approved"))</f>
        <v/>
      </c>
      <c r="I207" s="32" t="str">
        <f>IF(A207="","",SUMIFS(Payouts!$G$5:$G$504,Payouts!$B$5:$B$504,A207,Payouts!$H$5:$H$504,"Paid"))</f>
        <v/>
      </c>
      <c r="J207" s="32" t="str">
        <f t="shared" si="3"/>
        <v/>
      </c>
      <c r="K207" s="4"/>
      <c r="L207" s="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4"/>
      <c r="B208" s="4"/>
      <c r="C208" s="3" t="str">
        <f>IF(B208="","",VLOOKUP(B208,Customers!$A$5:$J$504,3,FALSE))</f>
        <v/>
      </c>
      <c r="D208" s="3" t="str">
        <f>IF(B208="","",VLOOKUP(B208,Customers!$A$5:$J$504,4,FALSE))</f>
        <v/>
      </c>
      <c r="E208" s="4"/>
      <c r="F208" s="28"/>
      <c r="G208" s="4"/>
      <c r="H208" s="32" t="str">
        <f>IF(A208="","",SUMIFS(Sales!$K$5:$K$504,Sales!$I$5:$I$504,A208,Sales!$L$5:$L$504,"Approved"))</f>
        <v/>
      </c>
      <c r="I208" s="32" t="str">
        <f>IF(A208="","",SUMIFS(Payouts!$G$5:$G$504,Payouts!$B$5:$B$504,A208,Payouts!$H$5:$H$504,"Paid"))</f>
        <v/>
      </c>
      <c r="J208" s="32" t="str">
        <f t="shared" si="3"/>
        <v/>
      </c>
      <c r="K208" s="4"/>
      <c r="L208" s="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4"/>
      <c r="B209" s="4"/>
      <c r="C209" s="3" t="str">
        <f>IF(B209="","",VLOOKUP(B209,Customers!$A$5:$J$504,3,FALSE))</f>
        <v/>
      </c>
      <c r="D209" s="3" t="str">
        <f>IF(B209="","",VLOOKUP(B209,Customers!$A$5:$J$504,4,FALSE))</f>
        <v/>
      </c>
      <c r="E209" s="4"/>
      <c r="F209" s="28"/>
      <c r="G209" s="4"/>
      <c r="H209" s="32" t="str">
        <f>IF(A209="","",SUMIFS(Sales!$K$5:$K$504,Sales!$I$5:$I$504,A209,Sales!$L$5:$L$504,"Approved"))</f>
        <v/>
      </c>
      <c r="I209" s="32" t="str">
        <f>IF(A209="","",SUMIFS(Payouts!$G$5:$G$504,Payouts!$B$5:$B$504,A209,Payouts!$H$5:$H$504,"Paid"))</f>
        <v/>
      </c>
      <c r="J209" s="32" t="str">
        <f t="shared" si="3"/>
        <v/>
      </c>
      <c r="K209" s="4"/>
      <c r="L209" s="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4"/>
      <c r="B210" s="4"/>
      <c r="C210" s="3" t="str">
        <f>IF(B210="","",VLOOKUP(B210,Customers!$A$5:$J$504,3,FALSE))</f>
        <v/>
      </c>
      <c r="D210" s="3" t="str">
        <f>IF(B210="","",VLOOKUP(B210,Customers!$A$5:$J$504,4,FALSE))</f>
        <v/>
      </c>
      <c r="E210" s="4"/>
      <c r="F210" s="28"/>
      <c r="G210" s="4"/>
      <c r="H210" s="32" t="str">
        <f>IF(A210="","",SUMIFS(Sales!$K$5:$K$504,Sales!$I$5:$I$504,A210,Sales!$L$5:$L$504,"Approved"))</f>
        <v/>
      </c>
      <c r="I210" s="32" t="str">
        <f>IF(A210="","",SUMIFS(Payouts!$G$5:$G$504,Payouts!$B$5:$B$504,A210,Payouts!$H$5:$H$504,"Paid"))</f>
        <v/>
      </c>
      <c r="J210" s="32" t="str">
        <f t="shared" si="3"/>
        <v/>
      </c>
      <c r="K210" s="4"/>
      <c r="L210" s="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4"/>
      <c r="B211" s="4"/>
      <c r="C211" s="3" t="str">
        <f>IF(B211="","",VLOOKUP(B211,Customers!$A$5:$J$504,3,FALSE))</f>
        <v/>
      </c>
      <c r="D211" s="3" t="str">
        <f>IF(B211="","",VLOOKUP(B211,Customers!$A$5:$J$504,4,FALSE))</f>
        <v/>
      </c>
      <c r="E211" s="4"/>
      <c r="F211" s="28"/>
      <c r="G211" s="4"/>
      <c r="H211" s="32" t="str">
        <f>IF(A211="","",SUMIFS(Sales!$K$5:$K$504,Sales!$I$5:$I$504,A211,Sales!$L$5:$L$504,"Approved"))</f>
        <v/>
      </c>
      <c r="I211" s="32" t="str">
        <f>IF(A211="","",SUMIFS(Payouts!$G$5:$G$504,Payouts!$B$5:$B$504,A211,Payouts!$H$5:$H$504,"Paid"))</f>
        <v/>
      </c>
      <c r="J211" s="32" t="str">
        <f t="shared" si="3"/>
        <v/>
      </c>
      <c r="K211" s="4"/>
      <c r="L211" s="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4"/>
      <c r="B212" s="4"/>
      <c r="C212" s="3" t="str">
        <f>IF(B212="","",VLOOKUP(B212,Customers!$A$5:$J$504,3,FALSE))</f>
        <v/>
      </c>
      <c r="D212" s="3" t="str">
        <f>IF(B212="","",VLOOKUP(B212,Customers!$A$5:$J$504,4,FALSE))</f>
        <v/>
      </c>
      <c r="E212" s="4"/>
      <c r="F212" s="28"/>
      <c r="G212" s="4"/>
      <c r="H212" s="32" t="str">
        <f>IF(A212="","",SUMIFS(Sales!$K$5:$K$504,Sales!$I$5:$I$504,A212,Sales!$L$5:$L$504,"Approved"))</f>
        <v/>
      </c>
      <c r="I212" s="32" t="str">
        <f>IF(A212="","",SUMIFS(Payouts!$G$5:$G$504,Payouts!$B$5:$B$504,A212,Payouts!$H$5:$H$504,"Paid"))</f>
        <v/>
      </c>
      <c r="J212" s="32" t="str">
        <f t="shared" si="3"/>
        <v/>
      </c>
      <c r="K212" s="4"/>
      <c r="L212" s="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4"/>
      <c r="B213" s="4"/>
      <c r="C213" s="3" t="str">
        <f>IF(B213="","",VLOOKUP(B213,Customers!$A$5:$J$504,3,FALSE))</f>
        <v/>
      </c>
      <c r="D213" s="3" t="str">
        <f>IF(B213="","",VLOOKUP(B213,Customers!$A$5:$J$504,4,FALSE))</f>
        <v/>
      </c>
      <c r="E213" s="4"/>
      <c r="F213" s="28"/>
      <c r="G213" s="4"/>
      <c r="H213" s="32" t="str">
        <f>IF(A213="","",SUMIFS(Sales!$K$5:$K$504,Sales!$I$5:$I$504,A213,Sales!$L$5:$L$504,"Approved"))</f>
        <v/>
      </c>
      <c r="I213" s="32" t="str">
        <f>IF(A213="","",SUMIFS(Payouts!$G$5:$G$504,Payouts!$B$5:$B$504,A213,Payouts!$H$5:$H$504,"Paid"))</f>
        <v/>
      </c>
      <c r="J213" s="32" t="str">
        <f t="shared" si="3"/>
        <v/>
      </c>
      <c r="K213" s="4"/>
      <c r="L213" s="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4"/>
      <c r="B214" s="4"/>
      <c r="C214" s="3" t="str">
        <f>IF(B214="","",VLOOKUP(B214,Customers!$A$5:$J$504,3,FALSE))</f>
        <v/>
      </c>
      <c r="D214" s="3" t="str">
        <f>IF(B214="","",VLOOKUP(B214,Customers!$A$5:$J$504,4,FALSE))</f>
        <v/>
      </c>
      <c r="E214" s="4"/>
      <c r="F214" s="28"/>
      <c r="G214" s="4"/>
      <c r="H214" s="32" t="str">
        <f>IF(A214="","",SUMIFS(Sales!$K$5:$K$504,Sales!$I$5:$I$504,A214,Sales!$L$5:$L$504,"Approved"))</f>
        <v/>
      </c>
      <c r="I214" s="32" t="str">
        <f>IF(A214="","",SUMIFS(Payouts!$G$5:$G$504,Payouts!$B$5:$B$504,A214,Payouts!$H$5:$H$504,"Paid"))</f>
        <v/>
      </c>
      <c r="J214" s="32" t="str">
        <f t="shared" si="3"/>
        <v/>
      </c>
      <c r="K214" s="4"/>
      <c r="L214" s="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4"/>
      <c r="B215" s="4"/>
      <c r="C215" s="3" t="str">
        <f>IF(B215="","",VLOOKUP(B215,Customers!$A$5:$J$504,3,FALSE))</f>
        <v/>
      </c>
      <c r="D215" s="3" t="str">
        <f>IF(B215="","",VLOOKUP(B215,Customers!$A$5:$J$504,4,FALSE))</f>
        <v/>
      </c>
      <c r="E215" s="4"/>
      <c r="F215" s="28"/>
      <c r="G215" s="4"/>
      <c r="H215" s="32" t="str">
        <f>IF(A215="","",SUMIFS(Sales!$K$5:$K$504,Sales!$I$5:$I$504,A215,Sales!$L$5:$L$504,"Approved"))</f>
        <v/>
      </c>
      <c r="I215" s="32" t="str">
        <f>IF(A215="","",SUMIFS(Payouts!$G$5:$G$504,Payouts!$B$5:$B$504,A215,Payouts!$H$5:$H$504,"Paid"))</f>
        <v/>
      </c>
      <c r="J215" s="32" t="str">
        <f t="shared" si="3"/>
        <v/>
      </c>
      <c r="K215" s="4"/>
      <c r="L215" s="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4"/>
      <c r="B216" s="4"/>
      <c r="C216" s="3" t="str">
        <f>IF(B216="","",VLOOKUP(B216,Customers!$A$5:$J$504,3,FALSE))</f>
        <v/>
      </c>
      <c r="D216" s="3" t="str">
        <f>IF(B216="","",VLOOKUP(B216,Customers!$A$5:$J$504,4,FALSE))</f>
        <v/>
      </c>
      <c r="E216" s="4"/>
      <c r="F216" s="28"/>
      <c r="G216" s="4"/>
      <c r="H216" s="32" t="str">
        <f>IF(A216="","",SUMIFS(Sales!$K$5:$K$504,Sales!$I$5:$I$504,A216,Sales!$L$5:$L$504,"Approved"))</f>
        <v/>
      </c>
      <c r="I216" s="32" t="str">
        <f>IF(A216="","",SUMIFS(Payouts!$G$5:$G$504,Payouts!$B$5:$B$504,A216,Payouts!$H$5:$H$504,"Paid"))</f>
        <v/>
      </c>
      <c r="J216" s="32" t="str">
        <f t="shared" si="3"/>
        <v/>
      </c>
      <c r="K216" s="4"/>
      <c r="L216" s="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4"/>
      <c r="B217" s="4"/>
      <c r="C217" s="3" t="str">
        <f>IF(B217="","",VLOOKUP(B217,Customers!$A$5:$J$504,3,FALSE))</f>
        <v/>
      </c>
      <c r="D217" s="3" t="str">
        <f>IF(B217="","",VLOOKUP(B217,Customers!$A$5:$J$504,4,FALSE))</f>
        <v/>
      </c>
      <c r="E217" s="4"/>
      <c r="F217" s="28"/>
      <c r="G217" s="4"/>
      <c r="H217" s="32" t="str">
        <f>IF(A217="","",SUMIFS(Sales!$K$5:$K$504,Sales!$I$5:$I$504,A217,Sales!$L$5:$L$504,"Approved"))</f>
        <v/>
      </c>
      <c r="I217" s="32" t="str">
        <f>IF(A217="","",SUMIFS(Payouts!$G$5:$G$504,Payouts!$B$5:$B$504,A217,Payouts!$H$5:$H$504,"Paid"))</f>
        <v/>
      </c>
      <c r="J217" s="32" t="str">
        <f t="shared" si="3"/>
        <v/>
      </c>
      <c r="K217" s="4"/>
      <c r="L217" s="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4"/>
      <c r="B218" s="4"/>
      <c r="C218" s="3" t="str">
        <f>IF(B218="","",VLOOKUP(B218,Customers!$A$5:$J$504,3,FALSE))</f>
        <v/>
      </c>
      <c r="D218" s="3" t="str">
        <f>IF(B218="","",VLOOKUP(B218,Customers!$A$5:$J$504,4,FALSE))</f>
        <v/>
      </c>
      <c r="E218" s="4"/>
      <c r="F218" s="28"/>
      <c r="G218" s="4"/>
      <c r="H218" s="32" t="str">
        <f>IF(A218="","",SUMIFS(Sales!$K$5:$K$504,Sales!$I$5:$I$504,A218,Sales!$L$5:$L$504,"Approved"))</f>
        <v/>
      </c>
      <c r="I218" s="32" t="str">
        <f>IF(A218="","",SUMIFS(Payouts!$G$5:$G$504,Payouts!$B$5:$B$504,A218,Payouts!$H$5:$H$504,"Paid"))</f>
        <v/>
      </c>
      <c r="J218" s="32" t="str">
        <f t="shared" si="3"/>
        <v/>
      </c>
      <c r="K218" s="4"/>
      <c r="L218" s="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4"/>
      <c r="B219" s="4"/>
      <c r="C219" s="3" t="str">
        <f>IF(B219="","",VLOOKUP(B219,Customers!$A$5:$J$504,3,FALSE))</f>
        <v/>
      </c>
      <c r="D219" s="3" t="str">
        <f>IF(B219="","",VLOOKUP(B219,Customers!$A$5:$J$504,4,FALSE))</f>
        <v/>
      </c>
      <c r="E219" s="4"/>
      <c r="F219" s="28"/>
      <c r="G219" s="4"/>
      <c r="H219" s="32" t="str">
        <f>IF(A219="","",SUMIFS(Sales!$K$5:$K$504,Sales!$I$5:$I$504,A219,Sales!$L$5:$L$504,"Approved"))</f>
        <v/>
      </c>
      <c r="I219" s="32" t="str">
        <f>IF(A219="","",SUMIFS(Payouts!$G$5:$G$504,Payouts!$B$5:$B$504,A219,Payouts!$H$5:$H$504,"Paid"))</f>
        <v/>
      </c>
      <c r="J219" s="32" t="str">
        <f t="shared" si="3"/>
        <v/>
      </c>
      <c r="K219" s="4"/>
      <c r="L219" s="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4"/>
      <c r="B220" s="4"/>
      <c r="C220" s="3" t="str">
        <f>IF(B220="","",VLOOKUP(B220,Customers!$A$5:$J$504,3,FALSE))</f>
        <v/>
      </c>
      <c r="D220" s="3" t="str">
        <f>IF(B220="","",VLOOKUP(B220,Customers!$A$5:$J$504,4,FALSE))</f>
        <v/>
      </c>
      <c r="E220" s="4"/>
      <c r="F220" s="28"/>
      <c r="G220" s="4"/>
      <c r="H220" s="32" t="str">
        <f>IF(A220="","",SUMIFS(Sales!$K$5:$K$504,Sales!$I$5:$I$504,A220,Sales!$L$5:$L$504,"Approved"))</f>
        <v/>
      </c>
      <c r="I220" s="32" t="str">
        <f>IF(A220="","",SUMIFS(Payouts!$G$5:$G$504,Payouts!$B$5:$B$504,A220,Payouts!$H$5:$H$504,"Paid"))</f>
        <v/>
      </c>
      <c r="J220" s="32" t="str">
        <f t="shared" si="3"/>
        <v/>
      </c>
      <c r="K220" s="4"/>
      <c r="L220" s="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4"/>
      <c r="B221" s="4"/>
      <c r="C221" s="3" t="str">
        <f>IF(B221="","",VLOOKUP(B221,Customers!$A$5:$J$504,3,FALSE))</f>
        <v/>
      </c>
      <c r="D221" s="3" t="str">
        <f>IF(B221="","",VLOOKUP(B221,Customers!$A$5:$J$504,4,FALSE))</f>
        <v/>
      </c>
      <c r="E221" s="4"/>
      <c r="F221" s="28"/>
      <c r="G221" s="4"/>
      <c r="H221" s="32" t="str">
        <f>IF(A221="","",SUMIFS(Sales!$K$5:$K$504,Sales!$I$5:$I$504,A221,Sales!$L$5:$L$504,"Approved"))</f>
        <v/>
      </c>
      <c r="I221" s="32" t="str">
        <f>IF(A221="","",SUMIFS(Payouts!$G$5:$G$504,Payouts!$B$5:$B$504,A221,Payouts!$H$5:$H$504,"Paid"))</f>
        <v/>
      </c>
      <c r="J221" s="32" t="str">
        <f t="shared" si="3"/>
        <v/>
      </c>
      <c r="K221" s="4"/>
      <c r="L221" s="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4"/>
      <c r="B222" s="4"/>
      <c r="C222" s="3" t="str">
        <f>IF(B222="","",VLOOKUP(B222,Customers!$A$5:$J$504,3,FALSE))</f>
        <v/>
      </c>
      <c r="D222" s="3" t="str">
        <f>IF(B222="","",VLOOKUP(B222,Customers!$A$5:$J$504,4,FALSE))</f>
        <v/>
      </c>
      <c r="E222" s="4"/>
      <c r="F222" s="28"/>
      <c r="G222" s="4"/>
      <c r="H222" s="32" t="str">
        <f>IF(A222="","",SUMIFS(Sales!$K$5:$K$504,Sales!$I$5:$I$504,A222,Sales!$L$5:$L$504,"Approved"))</f>
        <v/>
      </c>
      <c r="I222" s="32" t="str">
        <f>IF(A222="","",SUMIFS(Payouts!$G$5:$G$504,Payouts!$B$5:$B$504,A222,Payouts!$H$5:$H$504,"Paid"))</f>
        <v/>
      </c>
      <c r="J222" s="32" t="str">
        <f t="shared" si="3"/>
        <v/>
      </c>
      <c r="K222" s="4"/>
      <c r="L222" s="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4"/>
      <c r="B223" s="4"/>
      <c r="C223" s="3" t="str">
        <f>IF(B223="","",VLOOKUP(B223,Customers!$A$5:$J$504,3,FALSE))</f>
        <v/>
      </c>
      <c r="D223" s="3" t="str">
        <f>IF(B223="","",VLOOKUP(B223,Customers!$A$5:$J$504,4,FALSE))</f>
        <v/>
      </c>
      <c r="E223" s="4"/>
      <c r="F223" s="28"/>
      <c r="G223" s="4"/>
      <c r="H223" s="32" t="str">
        <f>IF(A223="","",SUMIFS(Sales!$K$5:$K$504,Sales!$I$5:$I$504,A223,Sales!$L$5:$L$504,"Approved"))</f>
        <v/>
      </c>
      <c r="I223" s="32" t="str">
        <f>IF(A223="","",SUMIFS(Payouts!$G$5:$G$504,Payouts!$B$5:$B$504,A223,Payouts!$H$5:$H$504,"Paid"))</f>
        <v/>
      </c>
      <c r="J223" s="32" t="str">
        <f t="shared" si="3"/>
        <v/>
      </c>
      <c r="K223" s="4"/>
      <c r="L223" s="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4"/>
      <c r="B224" s="4"/>
      <c r="C224" s="3" t="str">
        <f>IF(B224="","",VLOOKUP(B224,Customers!$A$5:$J$504,3,FALSE))</f>
        <v/>
      </c>
      <c r="D224" s="3" t="str">
        <f>IF(B224="","",VLOOKUP(B224,Customers!$A$5:$J$504,4,FALSE))</f>
        <v/>
      </c>
      <c r="E224" s="4"/>
      <c r="F224" s="28"/>
      <c r="G224" s="4"/>
      <c r="H224" s="32" t="str">
        <f>IF(A224="","",SUMIFS(Sales!$K$5:$K$504,Sales!$I$5:$I$504,A224,Sales!$L$5:$L$504,"Approved"))</f>
        <v/>
      </c>
      <c r="I224" s="32" t="str">
        <f>IF(A224="","",SUMIFS(Payouts!$G$5:$G$504,Payouts!$B$5:$B$504,A224,Payouts!$H$5:$H$504,"Paid"))</f>
        <v/>
      </c>
      <c r="J224" s="32" t="str">
        <f t="shared" si="3"/>
        <v/>
      </c>
      <c r="K224" s="4"/>
      <c r="L224" s="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4"/>
      <c r="B225" s="4"/>
      <c r="C225" s="3" t="str">
        <f>IF(B225="","",VLOOKUP(B225,Customers!$A$5:$J$504,3,FALSE))</f>
        <v/>
      </c>
      <c r="D225" s="3" t="str">
        <f>IF(B225="","",VLOOKUP(B225,Customers!$A$5:$J$504,4,FALSE))</f>
        <v/>
      </c>
      <c r="E225" s="4"/>
      <c r="F225" s="28"/>
      <c r="G225" s="4"/>
      <c r="H225" s="32" t="str">
        <f>IF(A225="","",SUMIFS(Sales!$K$5:$K$504,Sales!$I$5:$I$504,A225,Sales!$L$5:$L$504,"Approved"))</f>
        <v/>
      </c>
      <c r="I225" s="32" t="str">
        <f>IF(A225="","",SUMIFS(Payouts!$G$5:$G$504,Payouts!$B$5:$B$504,A225,Payouts!$H$5:$H$504,"Paid"))</f>
        <v/>
      </c>
      <c r="J225" s="32" t="str">
        <f t="shared" si="3"/>
        <v/>
      </c>
      <c r="K225" s="4"/>
      <c r="L225" s="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4"/>
      <c r="B226" s="4"/>
      <c r="C226" s="3" t="str">
        <f>IF(B226="","",VLOOKUP(B226,Customers!$A$5:$J$504,3,FALSE))</f>
        <v/>
      </c>
      <c r="D226" s="3" t="str">
        <f>IF(B226="","",VLOOKUP(B226,Customers!$A$5:$J$504,4,FALSE))</f>
        <v/>
      </c>
      <c r="E226" s="4"/>
      <c r="F226" s="28"/>
      <c r="G226" s="4"/>
      <c r="H226" s="32" t="str">
        <f>IF(A226="","",SUMIFS(Sales!$K$5:$K$504,Sales!$I$5:$I$504,A226,Sales!$L$5:$L$504,"Approved"))</f>
        <v/>
      </c>
      <c r="I226" s="32" t="str">
        <f>IF(A226="","",SUMIFS(Payouts!$G$5:$G$504,Payouts!$B$5:$B$504,A226,Payouts!$H$5:$H$504,"Paid"))</f>
        <v/>
      </c>
      <c r="J226" s="32" t="str">
        <f t="shared" si="3"/>
        <v/>
      </c>
      <c r="K226" s="4"/>
      <c r="L226" s="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4"/>
      <c r="B227" s="4"/>
      <c r="C227" s="3" t="str">
        <f>IF(B227="","",VLOOKUP(B227,Customers!$A$5:$J$504,3,FALSE))</f>
        <v/>
      </c>
      <c r="D227" s="3" t="str">
        <f>IF(B227="","",VLOOKUP(B227,Customers!$A$5:$J$504,4,FALSE))</f>
        <v/>
      </c>
      <c r="E227" s="4"/>
      <c r="F227" s="28"/>
      <c r="G227" s="4"/>
      <c r="H227" s="32" t="str">
        <f>IF(A227="","",SUMIFS(Sales!$K$5:$K$504,Sales!$I$5:$I$504,A227,Sales!$L$5:$L$504,"Approved"))</f>
        <v/>
      </c>
      <c r="I227" s="32" t="str">
        <f>IF(A227="","",SUMIFS(Payouts!$G$5:$G$504,Payouts!$B$5:$B$504,A227,Payouts!$H$5:$H$504,"Paid"))</f>
        <v/>
      </c>
      <c r="J227" s="32" t="str">
        <f t="shared" si="3"/>
        <v/>
      </c>
      <c r="K227" s="4"/>
      <c r="L227" s="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4"/>
      <c r="B228" s="4"/>
      <c r="C228" s="3" t="str">
        <f>IF(B228="","",VLOOKUP(B228,Customers!$A$5:$J$504,3,FALSE))</f>
        <v/>
      </c>
      <c r="D228" s="3" t="str">
        <f>IF(B228="","",VLOOKUP(B228,Customers!$A$5:$J$504,4,FALSE))</f>
        <v/>
      </c>
      <c r="E228" s="4"/>
      <c r="F228" s="28"/>
      <c r="G228" s="4"/>
      <c r="H228" s="32" t="str">
        <f>IF(A228="","",SUMIFS(Sales!$K$5:$K$504,Sales!$I$5:$I$504,A228,Sales!$L$5:$L$504,"Approved"))</f>
        <v/>
      </c>
      <c r="I228" s="32" t="str">
        <f>IF(A228="","",SUMIFS(Payouts!$G$5:$G$504,Payouts!$B$5:$B$504,A228,Payouts!$H$5:$H$504,"Paid"))</f>
        <v/>
      </c>
      <c r="J228" s="32" t="str">
        <f t="shared" si="3"/>
        <v/>
      </c>
      <c r="K228" s="4"/>
      <c r="L228" s="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4"/>
      <c r="B229" s="4"/>
      <c r="C229" s="3" t="str">
        <f>IF(B229="","",VLOOKUP(B229,Customers!$A$5:$J$504,3,FALSE))</f>
        <v/>
      </c>
      <c r="D229" s="3" t="str">
        <f>IF(B229="","",VLOOKUP(B229,Customers!$A$5:$J$504,4,FALSE))</f>
        <v/>
      </c>
      <c r="E229" s="4"/>
      <c r="F229" s="28"/>
      <c r="G229" s="4"/>
      <c r="H229" s="32" t="str">
        <f>IF(A229="","",SUMIFS(Sales!$K$5:$K$504,Sales!$I$5:$I$504,A229,Sales!$L$5:$L$504,"Approved"))</f>
        <v/>
      </c>
      <c r="I229" s="32" t="str">
        <f>IF(A229="","",SUMIFS(Payouts!$G$5:$G$504,Payouts!$B$5:$B$504,A229,Payouts!$H$5:$H$504,"Paid"))</f>
        <v/>
      </c>
      <c r="J229" s="32" t="str">
        <f t="shared" si="3"/>
        <v/>
      </c>
      <c r="K229" s="4"/>
      <c r="L229" s="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4"/>
      <c r="B230" s="4"/>
      <c r="C230" s="3" t="str">
        <f>IF(B230="","",VLOOKUP(B230,Customers!$A$5:$J$504,3,FALSE))</f>
        <v/>
      </c>
      <c r="D230" s="3" t="str">
        <f>IF(B230="","",VLOOKUP(B230,Customers!$A$5:$J$504,4,FALSE))</f>
        <v/>
      </c>
      <c r="E230" s="4"/>
      <c r="F230" s="28"/>
      <c r="G230" s="4"/>
      <c r="H230" s="32" t="str">
        <f>IF(A230="","",SUMIFS(Sales!$K$5:$K$504,Sales!$I$5:$I$504,A230,Sales!$L$5:$L$504,"Approved"))</f>
        <v/>
      </c>
      <c r="I230" s="32" t="str">
        <f>IF(A230="","",SUMIFS(Payouts!$G$5:$G$504,Payouts!$B$5:$B$504,A230,Payouts!$H$5:$H$504,"Paid"))</f>
        <v/>
      </c>
      <c r="J230" s="32" t="str">
        <f t="shared" si="3"/>
        <v/>
      </c>
      <c r="K230" s="4"/>
      <c r="L230" s="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4"/>
      <c r="B231" s="4"/>
      <c r="C231" s="3" t="str">
        <f>IF(B231="","",VLOOKUP(B231,Customers!$A$5:$J$504,3,FALSE))</f>
        <v/>
      </c>
      <c r="D231" s="3" t="str">
        <f>IF(B231="","",VLOOKUP(B231,Customers!$A$5:$J$504,4,FALSE))</f>
        <v/>
      </c>
      <c r="E231" s="4"/>
      <c r="F231" s="28"/>
      <c r="G231" s="4"/>
      <c r="H231" s="32" t="str">
        <f>IF(A231="","",SUMIFS(Sales!$K$5:$K$504,Sales!$I$5:$I$504,A231,Sales!$L$5:$L$504,"Approved"))</f>
        <v/>
      </c>
      <c r="I231" s="32" t="str">
        <f>IF(A231="","",SUMIFS(Payouts!$G$5:$G$504,Payouts!$B$5:$B$504,A231,Payouts!$H$5:$H$504,"Paid"))</f>
        <v/>
      </c>
      <c r="J231" s="32" t="str">
        <f t="shared" si="3"/>
        <v/>
      </c>
      <c r="K231" s="4"/>
      <c r="L231" s="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4"/>
      <c r="B232" s="4"/>
      <c r="C232" s="3" t="str">
        <f>IF(B232="","",VLOOKUP(B232,Customers!$A$5:$J$504,3,FALSE))</f>
        <v/>
      </c>
      <c r="D232" s="3" t="str">
        <f>IF(B232="","",VLOOKUP(B232,Customers!$A$5:$J$504,4,FALSE))</f>
        <v/>
      </c>
      <c r="E232" s="4"/>
      <c r="F232" s="28"/>
      <c r="G232" s="4"/>
      <c r="H232" s="32" t="str">
        <f>IF(A232="","",SUMIFS(Sales!$K$5:$K$504,Sales!$I$5:$I$504,A232,Sales!$L$5:$L$504,"Approved"))</f>
        <v/>
      </c>
      <c r="I232" s="32" t="str">
        <f>IF(A232="","",SUMIFS(Payouts!$G$5:$G$504,Payouts!$B$5:$B$504,A232,Payouts!$H$5:$H$504,"Paid"))</f>
        <v/>
      </c>
      <c r="J232" s="32" t="str">
        <f t="shared" si="3"/>
        <v/>
      </c>
      <c r="K232" s="4"/>
      <c r="L232" s="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4"/>
      <c r="B233" s="4"/>
      <c r="C233" s="3" t="str">
        <f>IF(B233="","",VLOOKUP(B233,Customers!$A$5:$J$504,3,FALSE))</f>
        <v/>
      </c>
      <c r="D233" s="3" t="str">
        <f>IF(B233="","",VLOOKUP(B233,Customers!$A$5:$J$504,4,FALSE))</f>
        <v/>
      </c>
      <c r="E233" s="4"/>
      <c r="F233" s="28"/>
      <c r="G233" s="4"/>
      <c r="H233" s="32" t="str">
        <f>IF(A233="","",SUMIFS(Sales!$K$5:$K$504,Sales!$I$5:$I$504,A233,Sales!$L$5:$L$504,"Approved"))</f>
        <v/>
      </c>
      <c r="I233" s="32" t="str">
        <f>IF(A233="","",SUMIFS(Payouts!$G$5:$G$504,Payouts!$B$5:$B$504,A233,Payouts!$H$5:$H$504,"Paid"))</f>
        <v/>
      </c>
      <c r="J233" s="32" t="str">
        <f t="shared" si="3"/>
        <v/>
      </c>
      <c r="K233" s="4"/>
      <c r="L233" s="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4"/>
      <c r="B234" s="4"/>
      <c r="C234" s="3" t="str">
        <f>IF(B234="","",VLOOKUP(B234,Customers!$A$5:$J$504,3,FALSE))</f>
        <v/>
      </c>
      <c r="D234" s="3" t="str">
        <f>IF(B234="","",VLOOKUP(B234,Customers!$A$5:$J$504,4,FALSE))</f>
        <v/>
      </c>
      <c r="E234" s="4"/>
      <c r="F234" s="28"/>
      <c r="G234" s="4"/>
      <c r="H234" s="32" t="str">
        <f>IF(A234="","",SUMIFS(Sales!$K$5:$K$504,Sales!$I$5:$I$504,A234,Sales!$L$5:$L$504,"Approved"))</f>
        <v/>
      </c>
      <c r="I234" s="32" t="str">
        <f>IF(A234="","",SUMIFS(Payouts!$G$5:$G$504,Payouts!$B$5:$B$504,A234,Payouts!$H$5:$H$504,"Paid"))</f>
        <v/>
      </c>
      <c r="J234" s="32" t="str">
        <f t="shared" si="3"/>
        <v/>
      </c>
      <c r="K234" s="4"/>
      <c r="L234" s="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4"/>
      <c r="B235" s="4"/>
      <c r="C235" s="3" t="str">
        <f>IF(B235="","",VLOOKUP(B235,Customers!$A$5:$J$504,3,FALSE))</f>
        <v/>
      </c>
      <c r="D235" s="3" t="str">
        <f>IF(B235="","",VLOOKUP(B235,Customers!$A$5:$J$504,4,FALSE))</f>
        <v/>
      </c>
      <c r="E235" s="4"/>
      <c r="F235" s="28"/>
      <c r="G235" s="4"/>
      <c r="H235" s="32" t="str">
        <f>IF(A235="","",SUMIFS(Sales!$K$5:$K$504,Sales!$I$5:$I$504,A235,Sales!$L$5:$L$504,"Approved"))</f>
        <v/>
      </c>
      <c r="I235" s="32" t="str">
        <f>IF(A235="","",SUMIFS(Payouts!$G$5:$G$504,Payouts!$B$5:$B$504,A235,Payouts!$H$5:$H$504,"Paid"))</f>
        <v/>
      </c>
      <c r="J235" s="32" t="str">
        <f t="shared" si="3"/>
        <v/>
      </c>
      <c r="K235" s="4"/>
      <c r="L235" s="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4"/>
      <c r="B236" s="4"/>
      <c r="C236" s="3" t="str">
        <f>IF(B236="","",VLOOKUP(B236,Customers!$A$5:$J$504,3,FALSE))</f>
        <v/>
      </c>
      <c r="D236" s="3" t="str">
        <f>IF(B236="","",VLOOKUP(B236,Customers!$A$5:$J$504,4,FALSE))</f>
        <v/>
      </c>
      <c r="E236" s="4"/>
      <c r="F236" s="28"/>
      <c r="G236" s="4"/>
      <c r="H236" s="32" t="str">
        <f>IF(A236="","",SUMIFS(Sales!$K$5:$K$504,Sales!$I$5:$I$504,A236,Sales!$L$5:$L$504,"Approved"))</f>
        <v/>
      </c>
      <c r="I236" s="32" t="str">
        <f>IF(A236="","",SUMIFS(Payouts!$G$5:$G$504,Payouts!$B$5:$B$504,A236,Payouts!$H$5:$H$504,"Paid"))</f>
        <v/>
      </c>
      <c r="J236" s="32" t="str">
        <f t="shared" si="3"/>
        <v/>
      </c>
      <c r="K236" s="4"/>
      <c r="L236" s="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4"/>
      <c r="B237" s="4"/>
      <c r="C237" s="3" t="str">
        <f>IF(B237="","",VLOOKUP(B237,Customers!$A$5:$J$504,3,FALSE))</f>
        <v/>
      </c>
      <c r="D237" s="3" t="str">
        <f>IF(B237="","",VLOOKUP(B237,Customers!$A$5:$J$504,4,FALSE))</f>
        <v/>
      </c>
      <c r="E237" s="4"/>
      <c r="F237" s="28"/>
      <c r="G237" s="4"/>
      <c r="H237" s="32" t="str">
        <f>IF(A237="","",SUMIFS(Sales!$K$5:$K$504,Sales!$I$5:$I$504,A237,Sales!$L$5:$L$504,"Approved"))</f>
        <v/>
      </c>
      <c r="I237" s="32" t="str">
        <f>IF(A237="","",SUMIFS(Payouts!$G$5:$G$504,Payouts!$B$5:$B$504,A237,Payouts!$H$5:$H$504,"Paid"))</f>
        <v/>
      </c>
      <c r="J237" s="32" t="str">
        <f t="shared" si="3"/>
        <v/>
      </c>
      <c r="K237" s="4"/>
      <c r="L237" s="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4"/>
      <c r="B238" s="4"/>
      <c r="C238" s="3" t="str">
        <f>IF(B238="","",VLOOKUP(B238,Customers!$A$5:$J$504,3,FALSE))</f>
        <v/>
      </c>
      <c r="D238" s="3" t="str">
        <f>IF(B238="","",VLOOKUP(B238,Customers!$A$5:$J$504,4,FALSE))</f>
        <v/>
      </c>
      <c r="E238" s="4"/>
      <c r="F238" s="28"/>
      <c r="G238" s="4"/>
      <c r="H238" s="32" t="str">
        <f>IF(A238="","",SUMIFS(Sales!$K$5:$K$504,Sales!$I$5:$I$504,A238,Sales!$L$5:$L$504,"Approved"))</f>
        <v/>
      </c>
      <c r="I238" s="32" t="str">
        <f>IF(A238="","",SUMIFS(Payouts!$G$5:$G$504,Payouts!$B$5:$B$504,A238,Payouts!$H$5:$H$504,"Paid"))</f>
        <v/>
      </c>
      <c r="J238" s="32" t="str">
        <f t="shared" si="3"/>
        <v/>
      </c>
      <c r="K238" s="4"/>
      <c r="L238" s="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4"/>
      <c r="B239" s="4"/>
      <c r="C239" s="3" t="str">
        <f>IF(B239="","",VLOOKUP(B239,Customers!$A$5:$J$504,3,FALSE))</f>
        <v/>
      </c>
      <c r="D239" s="3" t="str">
        <f>IF(B239="","",VLOOKUP(B239,Customers!$A$5:$J$504,4,FALSE))</f>
        <v/>
      </c>
      <c r="E239" s="4"/>
      <c r="F239" s="28"/>
      <c r="G239" s="4"/>
      <c r="H239" s="32" t="str">
        <f>IF(A239="","",SUMIFS(Sales!$K$5:$K$504,Sales!$I$5:$I$504,A239,Sales!$L$5:$L$504,"Approved"))</f>
        <v/>
      </c>
      <c r="I239" s="32" t="str">
        <f>IF(A239="","",SUMIFS(Payouts!$G$5:$G$504,Payouts!$B$5:$B$504,A239,Payouts!$H$5:$H$504,"Paid"))</f>
        <v/>
      </c>
      <c r="J239" s="32" t="str">
        <f t="shared" si="3"/>
        <v/>
      </c>
      <c r="K239" s="4"/>
      <c r="L239" s="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4"/>
      <c r="B240" s="4"/>
      <c r="C240" s="3" t="str">
        <f>IF(B240="","",VLOOKUP(B240,Customers!$A$5:$J$504,3,FALSE))</f>
        <v/>
      </c>
      <c r="D240" s="3" t="str">
        <f>IF(B240="","",VLOOKUP(B240,Customers!$A$5:$J$504,4,FALSE))</f>
        <v/>
      </c>
      <c r="E240" s="4"/>
      <c r="F240" s="28"/>
      <c r="G240" s="4"/>
      <c r="H240" s="32" t="str">
        <f>IF(A240="","",SUMIFS(Sales!$K$5:$K$504,Sales!$I$5:$I$504,A240,Sales!$L$5:$L$504,"Approved"))</f>
        <v/>
      </c>
      <c r="I240" s="32" t="str">
        <f>IF(A240="","",SUMIFS(Payouts!$G$5:$G$504,Payouts!$B$5:$B$504,A240,Payouts!$H$5:$H$504,"Paid"))</f>
        <v/>
      </c>
      <c r="J240" s="32" t="str">
        <f t="shared" si="3"/>
        <v/>
      </c>
      <c r="K240" s="4"/>
      <c r="L240" s="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4"/>
      <c r="B241" s="4"/>
      <c r="C241" s="3" t="str">
        <f>IF(B241="","",VLOOKUP(B241,Customers!$A$5:$J$504,3,FALSE))</f>
        <v/>
      </c>
      <c r="D241" s="3" t="str">
        <f>IF(B241="","",VLOOKUP(B241,Customers!$A$5:$J$504,4,FALSE))</f>
        <v/>
      </c>
      <c r="E241" s="4"/>
      <c r="F241" s="28"/>
      <c r="G241" s="4"/>
      <c r="H241" s="32" t="str">
        <f>IF(A241="","",SUMIFS(Sales!$K$5:$K$504,Sales!$I$5:$I$504,A241,Sales!$L$5:$L$504,"Approved"))</f>
        <v/>
      </c>
      <c r="I241" s="32" t="str">
        <f>IF(A241="","",SUMIFS(Payouts!$G$5:$G$504,Payouts!$B$5:$B$504,A241,Payouts!$H$5:$H$504,"Paid"))</f>
        <v/>
      </c>
      <c r="J241" s="32" t="str">
        <f t="shared" si="3"/>
        <v/>
      </c>
      <c r="K241" s="4"/>
      <c r="L241" s="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4"/>
      <c r="B242" s="4"/>
      <c r="C242" s="3" t="str">
        <f>IF(B242="","",VLOOKUP(B242,Customers!$A$5:$J$504,3,FALSE))</f>
        <v/>
      </c>
      <c r="D242" s="3" t="str">
        <f>IF(B242="","",VLOOKUP(B242,Customers!$A$5:$J$504,4,FALSE))</f>
        <v/>
      </c>
      <c r="E242" s="4"/>
      <c r="F242" s="28"/>
      <c r="G242" s="4"/>
      <c r="H242" s="32" t="str">
        <f>IF(A242="","",SUMIFS(Sales!$K$5:$K$504,Sales!$I$5:$I$504,A242,Sales!$L$5:$L$504,"Approved"))</f>
        <v/>
      </c>
      <c r="I242" s="32" t="str">
        <f>IF(A242="","",SUMIFS(Payouts!$G$5:$G$504,Payouts!$B$5:$B$504,A242,Payouts!$H$5:$H$504,"Paid"))</f>
        <v/>
      </c>
      <c r="J242" s="32" t="str">
        <f t="shared" si="3"/>
        <v/>
      </c>
      <c r="K242" s="4"/>
      <c r="L242" s="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4"/>
      <c r="B243" s="4"/>
      <c r="C243" s="3" t="str">
        <f>IF(B243="","",VLOOKUP(B243,Customers!$A$5:$J$504,3,FALSE))</f>
        <v/>
      </c>
      <c r="D243" s="3" t="str">
        <f>IF(B243="","",VLOOKUP(B243,Customers!$A$5:$J$504,4,FALSE))</f>
        <v/>
      </c>
      <c r="E243" s="4"/>
      <c r="F243" s="28"/>
      <c r="G243" s="4"/>
      <c r="H243" s="32" t="str">
        <f>IF(A243="","",SUMIFS(Sales!$K$5:$K$504,Sales!$I$5:$I$504,A243,Sales!$L$5:$L$504,"Approved"))</f>
        <v/>
      </c>
      <c r="I243" s="32" t="str">
        <f>IF(A243="","",SUMIFS(Payouts!$G$5:$G$504,Payouts!$B$5:$B$504,A243,Payouts!$H$5:$H$504,"Paid"))</f>
        <v/>
      </c>
      <c r="J243" s="32" t="str">
        <f t="shared" si="3"/>
        <v/>
      </c>
      <c r="K243" s="4"/>
      <c r="L243" s="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4"/>
      <c r="B244" s="4"/>
      <c r="C244" s="3" t="str">
        <f>IF(B244="","",VLOOKUP(B244,Customers!$A$5:$J$504,3,FALSE))</f>
        <v/>
      </c>
      <c r="D244" s="3" t="str">
        <f>IF(B244="","",VLOOKUP(B244,Customers!$A$5:$J$504,4,FALSE))</f>
        <v/>
      </c>
      <c r="E244" s="4"/>
      <c r="F244" s="28"/>
      <c r="G244" s="4"/>
      <c r="H244" s="32" t="str">
        <f>IF(A244="","",SUMIFS(Sales!$K$5:$K$504,Sales!$I$5:$I$504,A244,Sales!$L$5:$L$504,"Approved"))</f>
        <v/>
      </c>
      <c r="I244" s="32" t="str">
        <f>IF(A244="","",SUMIFS(Payouts!$G$5:$G$504,Payouts!$B$5:$B$504,A244,Payouts!$H$5:$H$504,"Paid"))</f>
        <v/>
      </c>
      <c r="J244" s="32" t="str">
        <f t="shared" si="3"/>
        <v/>
      </c>
      <c r="K244" s="4"/>
      <c r="L244" s="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4"/>
      <c r="B245" s="4"/>
      <c r="C245" s="3" t="str">
        <f>IF(B245="","",VLOOKUP(B245,Customers!$A$5:$J$504,3,FALSE))</f>
        <v/>
      </c>
      <c r="D245" s="3" t="str">
        <f>IF(B245="","",VLOOKUP(B245,Customers!$A$5:$J$504,4,FALSE))</f>
        <v/>
      </c>
      <c r="E245" s="4"/>
      <c r="F245" s="28"/>
      <c r="G245" s="4"/>
      <c r="H245" s="32" t="str">
        <f>IF(A245="","",SUMIFS(Sales!$K$5:$K$504,Sales!$I$5:$I$504,A245,Sales!$L$5:$L$504,"Approved"))</f>
        <v/>
      </c>
      <c r="I245" s="32" t="str">
        <f>IF(A245="","",SUMIFS(Payouts!$G$5:$G$504,Payouts!$B$5:$B$504,A245,Payouts!$H$5:$H$504,"Paid"))</f>
        <v/>
      </c>
      <c r="J245" s="32" t="str">
        <f t="shared" si="3"/>
        <v/>
      </c>
      <c r="K245" s="4"/>
      <c r="L245" s="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4"/>
      <c r="B246" s="4"/>
      <c r="C246" s="3" t="str">
        <f>IF(B246="","",VLOOKUP(B246,Customers!$A$5:$J$504,3,FALSE))</f>
        <v/>
      </c>
      <c r="D246" s="3" t="str">
        <f>IF(B246="","",VLOOKUP(B246,Customers!$A$5:$J$504,4,FALSE))</f>
        <v/>
      </c>
      <c r="E246" s="4"/>
      <c r="F246" s="28"/>
      <c r="G246" s="4"/>
      <c r="H246" s="32" t="str">
        <f>IF(A246="","",SUMIFS(Sales!$K$5:$K$504,Sales!$I$5:$I$504,A246,Sales!$L$5:$L$504,"Approved"))</f>
        <v/>
      </c>
      <c r="I246" s="32" t="str">
        <f>IF(A246="","",SUMIFS(Payouts!$G$5:$G$504,Payouts!$B$5:$B$504,A246,Payouts!$H$5:$H$504,"Paid"))</f>
        <v/>
      </c>
      <c r="J246" s="32" t="str">
        <f t="shared" si="3"/>
        <v/>
      </c>
      <c r="K246" s="4"/>
      <c r="L246" s="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4"/>
      <c r="B247" s="4"/>
      <c r="C247" s="3" t="str">
        <f>IF(B247="","",VLOOKUP(B247,Customers!$A$5:$J$504,3,FALSE))</f>
        <v/>
      </c>
      <c r="D247" s="3" t="str">
        <f>IF(B247="","",VLOOKUP(B247,Customers!$A$5:$J$504,4,FALSE))</f>
        <v/>
      </c>
      <c r="E247" s="4"/>
      <c r="F247" s="28"/>
      <c r="G247" s="4"/>
      <c r="H247" s="32" t="str">
        <f>IF(A247="","",SUMIFS(Sales!$K$5:$K$504,Sales!$I$5:$I$504,A247,Sales!$L$5:$L$504,"Approved"))</f>
        <v/>
      </c>
      <c r="I247" s="32" t="str">
        <f>IF(A247="","",SUMIFS(Payouts!$G$5:$G$504,Payouts!$B$5:$B$504,A247,Payouts!$H$5:$H$504,"Paid"))</f>
        <v/>
      </c>
      <c r="J247" s="32" t="str">
        <f t="shared" si="3"/>
        <v/>
      </c>
      <c r="K247" s="4"/>
      <c r="L247" s="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4"/>
      <c r="B248" s="4"/>
      <c r="C248" s="3" t="str">
        <f>IF(B248="","",VLOOKUP(B248,Customers!$A$5:$J$504,3,FALSE))</f>
        <v/>
      </c>
      <c r="D248" s="3" t="str">
        <f>IF(B248="","",VLOOKUP(B248,Customers!$A$5:$J$504,4,FALSE))</f>
        <v/>
      </c>
      <c r="E248" s="4"/>
      <c r="F248" s="28"/>
      <c r="G248" s="4"/>
      <c r="H248" s="32" t="str">
        <f>IF(A248="","",SUMIFS(Sales!$K$5:$K$504,Sales!$I$5:$I$504,A248,Sales!$L$5:$L$504,"Approved"))</f>
        <v/>
      </c>
      <c r="I248" s="32" t="str">
        <f>IF(A248="","",SUMIFS(Payouts!$G$5:$G$504,Payouts!$B$5:$B$504,A248,Payouts!$H$5:$H$504,"Paid"))</f>
        <v/>
      </c>
      <c r="J248" s="32" t="str">
        <f t="shared" si="3"/>
        <v/>
      </c>
      <c r="K248" s="4"/>
      <c r="L248" s="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4"/>
      <c r="B249" s="4"/>
      <c r="C249" s="3" t="str">
        <f>IF(B249="","",VLOOKUP(B249,Customers!$A$5:$J$504,3,FALSE))</f>
        <v/>
      </c>
      <c r="D249" s="3" t="str">
        <f>IF(B249="","",VLOOKUP(B249,Customers!$A$5:$J$504,4,FALSE))</f>
        <v/>
      </c>
      <c r="E249" s="4"/>
      <c r="F249" s="28"/>
      <c r="G249" s="4"/>
      <c r="H249" s="32" t="str">
        <f>IF(A249="","",SUMIFS(Sales!$K$5:$K$504,Sales!$I$5:$I$504,A249,Sales!$L$5:$L$504,"Approved"))</f>
        <v/>
      </c>
      <c r="I249" s="32" t="str">
        <f>IF(A249="","",SUMIFS(Payouts!$G$5:$G$504,Payouts!$B$5:$B$504,A249,Payouts!$H$5:$H$504,"Paid"))</f>
        <v/>
      </c>
      <c r="J249" s="32" t="str">
        <f t="shared" si="3"/>
        <v/>
      </c>
      <c r="K249" s="4"/>
      <c r="L249" s="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4"/>
      <c r="B250" s="4"/>
      <c r="C250" s="3" t="str">
        <f>IF(B250="","",VLOOKUP(B250,Customers!$A$5:$J$504,3,FALSE))</f>
        <v/>
      </c>
      <c r="D250" s="3" t="str">
        <f>IF(B250="","",VLOOKUP(B250,Customers!$A$5:$J$504,4,FALSE))</f>
        <v/>
      </c>
      <c r="E250" s="4"/>
      <c r="F250" s="28"/>
      <c r="G250" s="4"/>
      <c r="H250" s="32" t="str">
        <f>IF(A250="","",SUMIFS(Sales!$K$5:$K$504,Sales!$I$5:$I$504,A250,Sales!$L$5:$L$504,"Approved"))</f>
        <v/>
      </c>
      <c r="I250" s="32" t="str">
        <f>IF(A250="","",SUMIFS(Payouts!$G$5:$G$504,Payouts!$B$5:$B$504,A250,Payouts!$H$5:$H$504,"Paid"))</f>
        <v/>
      </c>
      <c r="J250" s="32" t="str">
        <f t="shared" si="3"/>
        <v/>
      </c>
      <c r="K250" s="4"/>
      <c r="L250" s="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4"/>
      <c r="B251" s="4"/>
      <c r="C251" s="3" t="str">
        <f>IF(B251="","",VLOOKUP(B251,Customers!$A$5:$J$504,3,FALSE))</f>
        <v/>
      </c>
      <c r="D251" s="3" t="str">
        <f>IF(B251="","",VLOOKUP(B251,Customers!$A$5:$J$504,4,FALSE))</f>
        <v/>
      </c>
      <c r="E251" s="4"/>
      <c r="F251" s="28"/>
      <c r="G251" s="4"/>
      <c r="H251" s="32" t="str">
        <f>IF(A251="","",SUMIFS(Sales!$K$5:$K$504,Sales!$I$5:$I$504,A251,Sales!$L$5:$L$504,"Approved"))</f>
        <v/>
      </c>
      <c r="I251" s="32" t="str">
        <f>IF(A251="","",SUMIFS(Payouts!$G$5:$G$504,Payouts!$B$5:$B$504,A251,Payouts!$H$5:$H$504,"Paid"))</f>
        <v/>
      </c>
      <c r="J251" s="32" t="str">
        <f t="shared" si="3"/>
        <v/>
      </c>
      <c r="K251" s="4"/>
      <c r="L251" s="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4"/>
      <c r="B252" s="4"/>
      <c r="C252" s="3" t="str">
        <f>IF(B252="","",VLOOKUP(B252,Customers!$A$5:$J$504,3,FALSE))</f>
        <v/>
      </c>
      <c r="D252" s="3" t="str">
        <f>IF(B252="","",VLOOKUP(B252,Customers!$A$5:$J$504,4,FALSE))</f>
        <v/>
      </c>
      <c r="E252" s="4"/>
      <c r="F252" s="28"/>
      <c r="G252" s="4"/>
      <c r="H252" s="32" t="str">
        <f>IF(A252="","",SUMIFS(Sales!$K$5:$K$504,Sales!$I$5:$I$504,A252,Sales!$L$5:$L$504,"Approved"))</f>
        <v/>
      </c>
      <c r="I252" s="32" t="str">
        <f>IF(A252="","",SUMIFS(Payouts!$G$5:$G$504,Payouts!$B$5:$B$504,A252,Payouts!$H$5:$H$504,"Paid"))</f>
        <v/>
      </c>
      <c r="J252" s="32" t="str">
        <f t="shared" si="3"/>
        <v/>
      </c>
      <c r="K252" s="4"/>
      <c r="L252" s="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4"/>
      <c r="B253" s="4"/>
      <c r="C253" s="3" t="str">
        <f>IF(B253="","",VLOOKUP(B253,Customers!$A$5:$J$504,3,FALSE))</f>
        <v/>
      </c>
      <c r="D253" s="3" t="str">
        <f>IF(B253="","",VLOOKUP(B253,Customers!$A$5:$J$504,4,FALSE))</f>
        <v/>
      </c>
      <c r="E253" s="4"/>
      <c r="F253" s="28"/>
      <c r="G253" s="4"/>
      <c r="H253" s="32" t="str">
        <f>IF(A253="","",SUMIFS(Sales!$K$5:$K$504,Sales!$I$5:$I$504,A253,Sales!$L$5:$L$504,"Approved"))</f>
        <v/>
      </c>
      <c r="I253" s="32" t="str">
        <f>IF(A253="","",SUMIFS(Payouts!$G$5:$G$504,Payouts!$B$5:$B$504,A253,Payouts!$H$5:$H$504,"Paid"))</f>
        <v/>
      </c>
      <c r="J253" s="32" t="str">
        <f t="shared" si="3"/>
        <v/>
      </c>
      <c r="K253" s="4"/>
      <c r="L253" s="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4"/>
      <c r="B254" s="4"/>
      <c r="C254" s="3" t="str">
        <f>IF(B254="","",VLOOKUP(B254,Customers!$A$5:$J$504,3,FALSE))</f>
        <v/>
      </c>
      <c r="D254" s="3" t="str">
        <f>IF(B254="","",VLOOKUP(B254,Customers!$A$5:$J$504,4,FALSE))</f>
        <v/>
      </c>
      <c r="E254" s="4"/>
      <c r="F254" s="28"/>
      <c r="G254" s="4"/>
      <c r="H254" s="32" t="str">
        <f>IF(A254="","",SUMIFS(Sales!$K$5:$K$504,Sales!$I$5:$I$504,A254,Sales!$L$5:$L$504,"Approved"))</f>
        <v/>
      </c>
      <c r="I254" s="32" t="str">
        <f>IF(A254="","",SUMIFS(Payouts!$G$5:$G$504,Payouts!$B$5:$B$504,A254,Payouts!$H$5:$H$504,"Paid"))</f>
        <v/>
      </c>
      <c r="J254" s="32" t="str">
        <f t="shared" si="3"/>
        <v/>
      </c>
      <c r="K254" s="4"/>
      <c r="L254" s="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4"/>
      <c r="B255" s="4"/>
      <c r="C255" s="3" t="str">
        <f>IF(B255="","",VLOOKUP(B255,Customers!$A$5:$J$504,3,FALSE))</f>
        <v/>
      </c>
      <c r="D255" s="3" t="str">
        <f>IF(B255="","",VLOOKUP(B255,Customers!$A$5:$J$504,4,FALSE))</f>
        <v/>
      </c>
      <c r="E255" s="4"/>
      <c r="F255" s="28"/>
      <c r="G255" s="4"/>
      <c r="H255" s="32" t="str">
        <f>IF(A255="","",SUMIFS(Sales!$K$5:$K$504,Sales!$I$5:$I$504,A255,Sales!$L$5:$L$504,"Approved"))</f>
        <v/>
      </c>
      <c r="I255" s="32" t="str">
        <f>IF(A255="","",SUMIFS(Payouts!$G$5:$G$504,Payouts!$B$5:$B$504,A255,Payouts!$H$5:$H$504,"Paid"))</f>
        <v/>
      </c>
      <c r="J255" s="32" t="str">
        <f t="shared" si="3"/>
        <v/>
      </c>
      <c r="K255" s="4"/>
      <c r="L255" s="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4"/>
      <c r="B256" s="4"/>
      <c r="C256" s="3" t="str">
        <f>IF(B256="","",VLOOKUP(B256,Customers!$A$5:$J$504,3,FALSE))</f>
        <v/>
      </c>
      <c r="D256" s="3" t="str">
        <f>IF(B256="","",VLOOKUP(B256,Customers!$A$5:$J$504,4,FALSE))</f>
        <v/>
      </c>
      <c r="E256" s="4"/>
      <c r="F256" s="28"/>
      <c r="G256" s="4"/>
      <c r="H256" s="32" t="str">
        <f>IF(A256="","",SUMIFS(Sales!$K$5:$K$504,Sales!$I$5:$I$504,A256,Sales!$L$5:$L$504,"Approved"))</f>
        <v/>
      </c>
      <c r="I256" s="32" t="str">
        <f>IF(A256="","",SUMIFS(Payouts!$G$5:$G$504,Payouts!$B$5:$B$504,A256,Payouts!$H$5:$H$504,"Paid"))</f>
        <v/>
      </c>
      <c r="J256" s="32" t="str">
        <f t="shared" si="3"/>
        <v/>
      </c>
      <c r="K256" s="4"/>
      <c r="L256" s="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4"/>
      <c r="B257" s="4"/>
      <c r="C257" s="3" t="str">
        <f>IF(B257="","",VLOOKUP(B257,Customers!$A$5:$J$504,3,FALSE))</f>
        <v/>
      </c>
      <c r="D257" s="3" t="str">
        <f>IF(B257="","",VLOOKUP(B257,Customers!$A$5:$J$504,4,FALSE))</f>
        <v/>
      </c>
      <c r="E257" s="4"/>
      <c r="F257" s="28"/>
      <c r="G257" s="4"/>
      <c r="H257" s="32" t="str">
        <f>IF(A257="","",SUMIFS(Sales!$K$5:$K$504,Sales!$I$5:$I$504,A257,Sales!$L$5:$L$504,"Approved"))</f>
        <v/>
      </c>
      <c r="I257" s="32" t="str">
        <f>IF(A257="","",SUMIFS(Payouts!$G$5:$G$504,Payouts!$B$5:$B$504,A257,Payouts!$H$5:$H$504,"Paid"))</f>
        <v/>
      </c>
      <c r="J257" s="32" t="str">
        <f t="shared" si="3"/>
        <v/>
      </c>
      <c r="K257" s="4"/>
      <c r="L257" s="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4"/>
      <c r="B258" s="4"/>
      <c r="C258" s="3" t="str">
        <f>IF(B258="","",VLOOKUP(B258,Customers!$A$5:$J$504,3,FALSE))</f>
        <v/>
      </c>
      <c r="D258" s="3" t="str">
        <f>IF(B258="","",VLOOKUP(B258,Customers!$A$5:$J$504,4,FALSE))</f>
        <v/>
      </c>
      <c r="E258" s="4"/>
      <c r="F258" s="28"/>
      <c r="G258" s="4"/>
      <c r="H258" s="32" t="str">
        <f>IF(A258="","",SUMIFS(Sales!$K$5:$K$504,Sales!$I$5:$I$504,A258,Sales!$L$5:$L$504,"Approved"))</f>
        <v/>
      </c>
      <c r="I258" s="32" t="str">
        <f>IF(A258="","",SUMIFS(Payouts!$G$5:$G$504,Payouts!$B$5:$B$504,A258,Payouts!$H$5:$H$504,"Paid"))</f>
        <v/>
      </c>
      <c r="J258" s="32" t="str">
        <f t="shared" si="3"/>
        <v/>
      </c>
      <c r="K258" s="4"/>
      <c r="L258" s="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4"/>
      <c r="B259" s="4"/>
      <c r="C259" s="3" t="str">
        <f>IF(B259="","",VLOOKUP(B259,Customers!$A$5:$J$504,3,FALSE))</f>
        <v/>
      </c>
      <c r="D259" s="3" t="str">
        <f>IF(B259="","",VLOOKUP(B259,Customers!$A$5:$J$504,4,FALSE))</f>
        <v/>
      </c>
      <c r="E259" s="4"/>
      <c r="F259" s="28"/>
      <c r="G259" s="4"/>
      <c r="H259" s="32" t="str">
        <f>IF(A259="","",SUMIFS(Sales!$K$5:$K$504,Sales!$I$5:$I$504,A259,Sales!$L$5:$L$504,"Approved"))</f>
        <v/>
      </c>
      <c r="I259" s="32" t="str">
        <f>IF(A259="","",SUMIFS(Payouts!$G$5:$G$504,Payouts!$B$5:$B$504,A259,Payouts!$H$5:$H$504,"Paid"))</f>
        <v/>
      </c>
      <c r="J259" s="32" t="str">
        <f t="shared" si="3"/>
        <v/>
      </c>
      <c r="K259" s="4"/>
      <c r="L259" s="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4"/>
      <c r="B260" s="4"/>
      <c r="C260" s="3" t="str">
        <f>IF(B260="","",VLOOKUP(B260,Customers!$A$5:$J$504,3,FALSE))</f>
        <v/>
      </c>
      <c r="D260" s="3" t="str">
        <f>IF(B260="","",VLOOKUP(B260,Customers!$A$5:$J$504,4,FALSE))</f>
        <v/>
      </c>
      <c r="E260" s="4"/>
      <c r="F260" s="28"/>
      <c r="G260" s="4"/>
      <c r="H260" s="32" t="str">
        <f>IF(A260="","",SUMIFS(Sales!$K$5:$K$504,Sales!$I$5:$I$504,A260,Sales!$L$5:$L$504,"Approved"))</f>
        <v/>
      </c>
      <c r="I260" s="32" t="str">
        <f>IF(A260="","",SUMIFS(Payouts!$G$5:$G$504,Payouts!$B$5:$B$504,A260,Payouts!$H$5:$H$504,"Paid"))</f>
        <v/>
      </c>
      <c r="J260" s="32" t="str">
        <f t="shared" si="3"/>
        <v/>
      </c>
      <c r="K260" s="4"/>
      <c r="L260" s="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4"/>
      <c r="B261" s="4"/>
      <c r="C261" s="3" t="str">
        <f>IF(B261="","",VLOOKUP(B261,Customers!$A$5:$J$504,3,FALSE))</f>
        <v/>
      </c>
      <c r="D261" s="3" t="str">
        <f>IF(B261="","",VLOOKUP(B261,Customers!$A$5:$J$504,4,FALSE))</f>
        <v/>
      </c>
      <c r="E261" s="4"/>
      <c r="F261" s="28"/>
      <c r="G261" s="4"/>
      <c r="H261" s="32" t="str">
        <f>IF(A261="","",SUMIFS(Sales!$K$5:$K$504,Sales!$I$5:$I$504,A261,Sales!$L$5:$L$504,"Approved"))</f>
        <v/>
      </c>
      <c r="I261" s="32" t="str">
        <f>IF(A261="","",SUMIFS(Payouts!$G$5:$G$504,Payouts!$B$5:$B$504,A261,Payouts!$H$5:$H$504,"Paid"))</f>
        <v/>
      </c>
      <c r="J261" s="32" t="str">
        <f t="shared" ref="J261:J324" si="4">IF(A261="","",H261-I261)</f>
        <v/>
      </c>
      <c r="K261" s="4"/>
      <c r="L261" s="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4"/>
      <c r="B262" s="4"/>
      <c r="C262" s="3" t="str">
        <f>IF(B262="","",VLOOKUP(B262,Customers!$A$5:$J$504,3,FALSE))</f>
        <v/>
      </c>
      <c r="D262" s="3" t="str">
        <f>IF(B262="","",VLOOKUP(B262,Customers!$A$5:$J$504,4,FALSE))</f>
        <v/>
      </c>
      <c r="E262" s="4"/>
      <c r="F262" s="28"/>
      <c r="G262" s="4"/>
      <c r="H262" s="32" t="str">
        <f>IF(A262="","",SUMIFS(Sales!$K$5:$K$504,Sales!$I$5:$I$504,A262,Sales!$L$5:$L$504,"Approved"))</f>
        <v/>
      </c>
      <c r="I262" s="32" t="str">
        <f>IF(A262="","",SUMIFS(Payouts!$G$5:$G$504,Payouts!$B$5:$B$504,A262,Payouts!$H$5:$H$504,"Paid"))</f>
        <v/>
      </c>
      <c r="J262" s="32" t="str">
        <f t="shared" si="4"/>
        <v/>
      </c>
      <c r="K262" s="4"/>
      <c r="L262" s="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4"/>
      <c r="B263" s="4"/>
      <c r="C263" s="3" t="str">
        <f>IF(B263="","",VLOOKUP(B263,Customers!$A$5:$J$504,3,FALSE))</f>
        <v/>
      </c>
      <c r="D263" s="3" t="str">
        <f>IF(B263="","",VLOOKUP(B263,Customers!$A$5:$J$504,4,FALSE))</f>
        <v/>
      </c>
      <c r="E263" s="4"/>
      <c r="F263" s="28"/>
      <c r="G263" s="4"/>
      <c r="H263" s="32" t="str">
        <f>IF(A263="","",SUMIFS(Sales!$K$5:$K$504,Sales!$I$5:$I$504,A263,Sales!$L$5:$L$504,"Approved"))</f>
        <v/>
      </c>
      <c r="I263" s="32" t="str">
        <f>IF(A263="","",SUMIFS(Payouts!$G$5:$G$504,Payouts!$B$5:$B$504,A263,Payouts!$H$5:$H$504,"Paid"))</f>
        <v/>
      </c>
      <c r="J263" s="32" t="str">
        <f t="shared" si="4"/>
        <v/>
      </c>
      <c r="K263" s="4"/>
      <c r="L263" s="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4"/>
      <c r="B264" s="4"/>
      <c r="C264" s="3" t="str">
        <f>IF(B264="","",VLOOKUP(B264,Customers!$A$5:$J$504,3,FALSE))</f>
        <v/>
      </c>
      <c r="D264" s="3" t="str">
        <f>IF(B264="","",VLOOKUP(B264,Customers!$A$5:$J$504,4,FALSE))</f>
        <v/>
      </c>
      <c r="E264" s="4"/>
      <c r="F264" s="28"/>
      <c r="G264" s="4"/>
      <c r="H264" s="32" t="str">
        <f>IF(A264="","",SUMIFS(Sales!$K$5:$K$504,Sales!$I$5:$I$504,A264,Sales!$L$5:$L$504,"Approved"))</f>
        <v/>
      </c>
      <c r="I264" s="32" t="str">
        <f>IF(A264="","",SUMIFS(Payouts!$G$5:$G$504,Payouts!$B$5:$B$504,A264,Payouts!$H$5:$H$504,"Paid"))</f>
        <v/>
      </c>
      <c r="J264" s="32" t="str">
        <f t="shared" si="4"/>
        <v/>
      </c>
      <c r="K264" s="4"/>
      <c r="L264" s="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4"/>
      <c r="B265" s="4"/>
      <c r="C265" s="3" t="str">
        <f>IF(B265="","",VLOOKUP(B265,Customers!$A$5:$J$504,3,FALSE))</f>
        <v/>
      </c>
      <c r="D265" s="3" t="str">
        <f>IF(B265="","",VLOOKUP(B265,Customers!$A$5:$J$504,4,FALSE))</f>
        <v/>
      </c>
      <c r="E265" s="4"/>
      <c r="F265" s="28"/>
      <c r="G265" s="4"/>
      <c r="H265" s="32" t="str">
        <f>IF(A265="","",SUMIFS(Sales!$K$5:$K$504,Sales!$I$5:$I$504,A265,Sales!$L$5:$L$504,"Approved"))</f>
        <v/>
      </c>
      <c r="I265" s="32" t="str">
        <f>IF(A265="","",SUMIFS(Payouts!$G$5:$G$504,Payouts!$B$5:$B$504,A265,Payouts!$H$5:$H$504,"Paid"))</f>
        <v/>
      </c>
      <c r="J265" s="32" t="str">
        <f t="shared" si="4"/>
        <v/>
      </c>
      <c r="K265" s="4"/>
      <c r="L265" s="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4"/>
      <c r="B266" s="4"/>
      <c r="C266" s="3" t="str">
        <f>IF(B266="","",VLOOKUP(B266,Customers!$A$5:$J$504,3,FALSE))</f>
        <v/>
      </c>
      <c r="D266" s="3" t="str">
        <f>IF(B266="","",VLOOKUP(B266,Customers!$A$5:$J$504,4,FALSE))</f>
        <v/>
      </c>
      <c r="E266" s="4"/>
      <c r="F266" s="28"/>
      <c r="G266" s="4"/>
      <c r="H266" s="32" t="str">
        <f>IF(A266="","",SUMIFS(Sales!$K$5:$K$504,Sales!$I$5:$I$504,A266,Sales!$L$5:$L$504,"Approved"))</f>
        <v/>
      </c>
      <c r="I266" s="32" t="str">
        <f>IF(A266="","",SUMIFS(Payouts!$G$5:$G$504,Payouts!$B$5:$B$504,A266,Payouts!$H$5:$H$504,"Paid"))</f>
        <v/>
      </c>
      <c r="J266" s="32" t="str">
        <f t="shared" si="4"/>
        <v/>
      </c>
      <c r="K266" s="4"/>
      <c r="L266" s="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4"/>
      <c r="B267" s="4"/>
      <c r="C267" s="3" t="str">
        <f>IF(B267="","",VLOOKUP(B267,Customers!$A$5:$J$504,3,FALSE))</f>
        <v/>
      </c>
      <c r="D267" s="3" t="str">
        <f>IF(B267="","",VLOOKUP(B267,Customers!$A$5:$J$504,4,FALSE))</f>
        <v/>
      </c>
      <c r="E267" s="4"/>
      <c r="F267" s="28"/>
      <c r="G267" s="4"/>
      <c r="H267" s="32" t="str">
        <f>IF(A267="","",SUMIFS(Sales!$K$5:$K$504,Sales!$I$5:$I$504,A267,Sales!$L$5:$L$504,"Approved"))</f>
        <v/>
      </c>
      <c r="I267" s="32" t="str">
        <f>IF(A267="","",SUMIFS(Payouts!$G$5:$G$504,Payouts!$B$5:$B$504,A267,Payouts!$H$5:$H$504,"Paid"))</f>
        <v/>
      </c>
      <c r="J267" s="32" t="str">
        <f t="shared" si="4"/>
        <v/>
      </c>
      <c r="K267" s="4"/>
      <c r="L267" s="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4"/>
      <c r="B268" s="4"/>
      <c r="C268" s="3" t="str">
        <f>IF(B268="","",VLOOKUP(B268,Customers!$A$5:$J$504,3,FALSE))</f>
        <v/>
      </c>
      <c r="D268" s="3" t="str">
        <f>IF(B268="","",VLOOKUP(B268,Customers!$A$5:$J$504,4,FALSE))</f>
        <v/>
      </c>
      <c r="E268" s="4"/>
      <c r="F268" s="28"/>
      <c r="G268" s="4"/>
      <c r="H268" s="32" t="str">
        <f>IF(A268="","",SUMIFS(Sales!$K$5:$K$504,Sales!$I$5:$I$504,A268,Sales!$L$5:$L$504,"Approved"))</f>
        <v/>
      </c>
      <c r="I268" s="32" t="str">
        <f>IF(A268="","",SUMIFS(Payouts!$G$5:$G$504,Payouts!$B$5:$B$504,A268,Payouts!$H$5:$H$504,"Paid"))</f>
        <v/>
      </c>
      <c r="J268" s="32" t="str">
        <f t="shared" si="4"/>
        <v/>
      </c>
      <c r="K268" s="4"/>
      <c r="L268" s="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4"/>
      <c r="B269" s="4"/>
      <c r="C269" s="3" t="str">
        <f>IF(B269="","",VLOOKUP(B269,Customers!$A$5:$J$504,3,FALSE))</f>
        <v/>
      </c>
      <c r="D269" s="3" t="str">
        <f>IF(B269="","",VLOOKUP(B269,Customers!$A$5:$J$504,4,FALSE))</f>
        <v/>
      </c>
      <c r="E269" s="4"/>
      <c r="F269" s="28"/>
      <c r="G269" s="4"/>
      <c r="H269" s="32" t="str">
        <f>IF(A269="","",SUMIFS(Sales!$K$5:$K$504,Sales!$I$5:$I$504,A269,Sales!$L$5:$L$504,"Approved"))</f>
        <v/>
      </c>
      <c r="I269" s="32" t="str">
        <f>IF(A269="","",SUMIFS(Payouts!$G$5:$G$504,Payouts!$B$5:$B$504,A269,Payouts!$H$5:$H$504,"Paid"))</f>
        <v/>
      </c>
      <c r="J269" s="32" t="str">
        <f t="shared" si="4"/>
        <v/>
      </c>
      <c r="K269" s="4"/>
      <c r="L269" s="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4"/>
      <c r="B270" s="4"/>
      <c r="C270" s="3" t="str">
        <f>IF(B270="","",VLOOKUP(B270,Customers!$A$5:$J$504,3,FALSE))</f>
        <v/>
      </c>
      <c r="D270" s="3" t="str">
        <f>IF(B270="","",VLOOKUP(B270,Customers!$A$5:$J$504,4,FALSE))</f>
        <v/>
      </c>
      <c r="E270" s="4"/>
      <c r="F270" s="28"/>
      <c r="G270" s="4"/>
      <c r="H270" s="32" t="str">
        <f>IF(A270="","",SUMIFS(Sales!$K$5:$K$504,Sales!$I$5:$I$504,A270,Sales!$L$5:$L$504,"Approved"))</f>
        <v/>
      </c>
      <c r="I270" s="32" t="str">
        <f>IF(A270="","",SUMIFS(Payouts!$G$5:$G$504,Payouts!$B$5:$B$504,A270,Payouts!$H$5:$H$504,"Paid"))</f>
        <v/>
      </c>
      <c r="J270" s="32" t="str">
        <f t="shared" si="4"/>
        <v/>
      </c>
      <c r="K270" s="4"/>
      <c r="L270" s="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4"/>
      <c r="B271" s="4"/>
      <c r="C271" s="3" t="str">
        <f>IF(B271="","",VLOOKUP(B271,Customers!$A$5:$J$504,3,FALSE))</f>
        <v/>
      </c>
      <c r="D271" s="3" t="str">
        <f>IF(B271="","",VLOOKUP(B271,Customers!$A$5:$J$504,4,FALSE))</f>
        <v/>
      </c>
      <c r="E271" s="4"/>
      <c r="F271" s="28"/>
      <c r="G271" s="4"/>
      <c r="H271" s="32" t="str">
        <f>IF(A271="","",SUMIFS(Sales!$K$5:$K$504,Sales!$I$5:$I$504,A271,Sales!$L$5:$L$504,"Approved"))</f>
        <v/>
      </c>
      <c r="I271" s="32" t="str">
        <f>IF(A271="","",SUMIFS(Payouts!$G$5:$G$504,Payouts!$B$5:$B$504,A271,Payouts!$H$5:$H$504,"Paid"))</f>
        <v/>
      </c>
      <c r="J271" s="32" t="str">
        <f t="shared" si="4"/>
        <v/>
      </c>
      <c r="K271" s="4"/>
      <c r="L271" s="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4"/>
      <c r="B272" s="4"/>
      <c r="C272" s="3" t="str">
        <f>IF(B272="","",VLOOKUP(B272,Customers!$A$5:$J$504,3,FALSE))</f>
        <v/>
      </c>
      <c r="D272" s="3" t="str">
        <f>IF(B272="","",VLOOKUP(B272,Customers!$A$5:$J$504,4,FALSE))</f>
        <v/>
      </c>
      <c r="E272" s="4"/>
      <c r="F272" s="28"/>
      <c r="G272" s="4"/>
      <c r="H272" s="32" t="str">
        <f>IF(A272="","",SUMIFS(Sales!$K$5:$K$504,Sales!$I$5:$I$504,A272,Sales!$L$5:$L$504,"Approved"))</f>
        <v/>
      </c>
      <c r="I272" s="32" t="str">
        <f>IF(A272="","",SUMIFS(Payouts!$G$5:$G$504,Payouts!$B$5:$B$504,A272,Payouts!$H$5:$H$504,"Paid"))</f>
        <v/>
      </c>
      <c r="J272" s="32" t="str">
        <f t="shared" si="4"/>
        <v/>
      </c>
      <c r="K272" s="4"/>
      <c r="L272" s="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4"/>
      <c r="B273" s="4"/>
      <c r="C273" s="3" t="str">
        <f>IF(B273="","",VLOOKUP(B273,Customers!$A$5:$J$504,3,FALSE))</f>
        <v/>
      </c>
      <c r="D273" s="3" t="str">
        <f>IF(B273="","",VLOOKUP(B273,Customers!$A$5:$J$504,4,FALSE))</f>
        <v/>
      </c>
      <c r="E273" s="4"/>
      <c r="F273" s="28"/>
      <c r="G273" s="4"/>
      <c r="H273" s="32" t="str">
        <f>IF(A273="","",SUMIFS(Sales!$K$5:$K$504,Sales!$I$5:$I$504,A273,Sales!$L$5:$L$504,"Approved"))</f>
        <v/>
      </c>
      <c r="I273" s="32" t="str">
        <f>IF(A273="","",SUMIFS(Payouts!$G$5:$G$504,Payouts!$B$5:$B$504,A273,Payouts!$H$5:$H$504,"Paid"))</f>
        <v/>
      </c>
      <c r="J273" s="32" t="str">
        <f t="shared" si="4"/>
        <v/>
      </c>
      <c r="K273" s="4"/>
      <c r="L273" s="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4"/>
      <c r="B274" s="4"/>
      <c r="C274" s="3" t="str">
        <f>IF(B274="","",VLOOKUP(B274,Customers!$A$5:$J$504,3,FALSE))</f>
        <v/>
      </c>
      <c r="D274" s="3" t="str">
        <f>IF(B274="","",VLOOKUP(B274,Customers!$A$5:$J$504,4,FALSE))</f>
        <v/>
      </c>
      <c r="E274" s="4"/>
      <c r="F274" s="28"/>
      <c r="G274" s="4"/>
      <c r="H274" s="32" t="str">
        <f>IF(A274="","",SUMIFS(Sales!$K$5:$K$504,Sales!$I$5:$I$504,A274,Sales!$L$5:$L$504,"Approved"))</f>
        <v/>
      </c>
      <c r="I274" s="32" t="str">
        <f>IF(A274="","",SUMIFS(Payouts!$G$5:$G$504,Payouts!$B$5:$B$504,A274,Payouts!$H$5:$H$504,"Paid"))</f>
        <v/>
      </c>
      <c r="J274" s="32" t="str">
        <f t="shared" si="4"/>
        <v/>
      </c>
      <c r="K274" s="4"/>
      <c r="L274" s="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4"/>
      <c r="B275" s="4"/>
      <c r="C275" s="3" t="str">
        <f>IF(B275="","",VLOOKUP(B275,Customers!$A$5:$J$504,3,FALSE))</f>
        <v/>
      </c>
      <c r="D275" s="3" t="str">
        <f>IF(B275="","",VLOOKUP(B275,Customers!$A$5:$J$504,4,FALSE))</f>
        <v/>
      </c>
      <c r="E275" s="4"/>
      <c r="F275" s="28"/>
      <c r="G275" s="4"/>
      <c r="H275" s="32" t="str">
        <f>IF(A275="","",SUMIFS(Sales!$K$5:$K$504,Sales!$I$5:$I$504,A275,Sales!$L$5:$L$504,"Approved"))</f>
        <v/>
      </c>
      <c r="I275" s="32" t="str">
        <f>IF(A275="","",SUMIFS(Payouts!$G$5:$G$504,Payouts!$B$5:$B$504,A275,Payouts!$H$5:$H$504,"Paid"))</f>
        <v/>
      </c>
      <c r="J275" s="32" t="str">
        <f t="shared" si="4"/>
        <v/>
      </c>
      <c r="K275" s="4"/>
      <c r="L275" s="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4"/>
      <c r="B276" s="4"/>
      <c r="C276" s="3" t="str">
        <f>IF(B276="","",VLOOKUP(B276,Customers!$A$5:$J$504,3,FALSE))</f>
        <v/>
      </c>
      <c r="D276" s="3" t="str">
        <f>IF(B276="","",VLOOKUP(B276,Customers!$A$5:$J$504,4,FALSE))</f>
        <v/>
      </c>
      <c r="E276" s="4"/>
      <c r="F276" s="28"/>
      <c r="G276" s="4"/>
      <c r="H276" s="32" t="str">
        <f>IF(A276="","",SUMIFS(Sales!$K$5:$K$504,Sales!$I$5:$I$504,A276,Sales!$L$5:$L$504,"Approved"))</f>
        <v/>
      </c>
      <c r="I276" s="32" t="str">
        <f>IF(A276="","",SUMIFS(Payouts!$G$5:$G$504,Payouts!$B$5:$B$504,A276,Payouts!$H$5:$H$504,"Paid"))</f>
        <v/>
      </c>
      <c r="J276" s="32" t="str">
        <f t="shared" si="4"/>
        <v/>
      </c>
      <c r="K276" s="4"/>
      <c r="L276" s="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4"/>
      <c r="B277" s="4"/>
      <c r="C277" s="3" t="str">
        <f>IF(B277="","",VLOOKUP(B277,Customers!$A$5:$J$504,3,FALSE))</f>
        <v/>
      </c>
      <c r="D277" s="3" t="str">
        <f>IF(B277="","",VLOOKUP(B277,Customers!$A$5:$J$504,4,FALSE))</f>
        <v/>
      </c>
      <c r="E277" s="4"/>
      <c r="F277" s="28"/>
      <c r="G277" s="4"/>
      <c r="H277" s="32" t="str">
        <f>IF(A277="","",SUMIFS(Sales!$K$5:$K$504,Sales!$I$5:$I$504,A277,Sales!$L$5:$L$504,"Approved"))</f>
        <v/>
      </c>
      <c r="I277" s="32" t="str">
        <f>IF(A277="","",SUMIFS(Payouts!$G$5:$G$504,Payouts!$B$5:$B$504,A277,Payouts!$H$5:$H$504,"Paid"))</f>
        <v/>
      </c>
      <c r="J277" s="32" t="str">
        <f t="shared" si="4"/>
        <v/>
      </c>
      <c r="K277" s="4"/>
      <c r="L277" s="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4"/>
      <c r="B278" s="4"/>
      <c r="C278" s="3" t="str">
        <f>IF(B278="","",VLOOKUP(B278,Customers!$A$5:$J$504,3,FALSE))</f>
        <v/>
      </c>
      <c r="D278" s="3" t="str">
        <f>IF(B278="","",VLOOKUP(B278,Customers!$A$5:$J$504,4,FALSE))</f>
        <v/>
      </c>
      <c r="E278" s="4"/>
      <c r="F278" s="28"/>
      <c r="G278" s="4"/>
      <c r="H278" s="32" t="str">
        <f>IF(A278="","",SUMIFS(Sales!$K$5:$K$504,Sales!$I$5:$I$504,A278,Sales!$L$5:$L$504,"Approved"))</f>
        <v/>
      </c>
      <c r="I278" s="32" t="str">
        <f>IF(A278="","",SUMIFS(Payouts!$G$5:$G$504,Payouts!$B$5:$B$504,A278,Payouts!$H$5:$H$504,"Paid"))</f>
        <v/>
      </c>
      <c r="J278" s="32" t="str">
        <f t="shared" si="4"/>
        <v/>
      </c>
      <c r="K278" s="4"/>
      <c r="L278" s="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4"/>
      <c r="B279" s="4"/>
      <c r="C279" s="3" t="str">
        <f>IF(B279="","",VLOOKUP(B279,Customers!$A$5:$J$504,3,FALSE))</f>
        <v/>
      </c>
      <c r="D279" s="3" t="str">
        <f>IF(B279="","",VLOOKUP(B279,Customers!$A$5:$J$504,4,FALSE))</f>
        <v/>
      </c>
      <c r="E279" s="4"/>
      <c r="F279" s="28"/>
      <c r="G279" s="4"/>
      <c r="H279" s="32" t="str">
        <f>IF(A279="","",SUMIFS(Sales!$K$5:$K$504,Sales!$I$5:$I$504,A279,Sales!$L$5:$L$504,"Approved"))</f>
        <v/>
      </c>
      <c r="I279" s="32" t="str">
        <f>IF(A279="","",SUMIFS(Payouts!$G$5:$G$504,Payouts!$B$5:$B$504,A279,Payouts!$H$5:$H$504,"Paid"))</f>
        <v/>
      </c>
      <c r="J279" s="32" t="str">
        <f t="shared" si="4"/>
        <v/>
      </c>
      <c r="K279" s="4"/>
      <c r="L279" s="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4"/>
      <c r="B280" s="4"/>
      <c r="C280" s="3" t="str">
        <f>IF(B280="","",VLOOKUP(B280,Customers!$A$5:$J$504,3,FALSE))</f>
        <v/>
      </c>
      <c r="D280" s="3" t="str">
        <f>IF(B280="","",VLOOKUP(B280,Customers!$A$5:$J$504,4,FALSE))</f>
        <v/>
      </c>
      <c r="E280" s="4"/>
      <c r="F280" s="28"/>
      <c r="G280" s="4"/>
      <c r="H280" s="32" t="str">
        <f>IF(A280="","",SUMIFS(Sales!$K$5:$K$504,Sales!$I$5:$I$504,A280,Sales!$L$5:$L$504,"Approved"))</f>
        <v/>
      </c>
      <c r="I280" s="32" t="str">
        <f>IF(A280="","",SUMIFS(Payouts!$G$5:$G$504,Payouts!$B$5:$B$504,A280,Payouts!$H$5:$H$504,"Paid"))</f>
        <v/>
      </c>
      <c r="J280" s="32" t="str">
        <f t="shared" si="4"/>
        <v/>
      </c>
      <c r="K280" s="4"/>
      <c r="L280" s="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4"/>
      <c r="B281" s="4"/>
      <c r="C281" s="3" t="str">
        <f>IF(B281="","",VLOOKUP(B281,Customers!$A$5:$J$504,3,FALSE))</f>
        <v/>
      </c>
      <c r="D281" s="3" t="str">
        <f>IF(B281="","",VLOOKUP(B281,Customers!$A$5:$J$504,4,FALSE))</f>
        <v/>
      </c>
      <c r="E281" s="4"/>
      <c r="F281" s="28"/>
      <c r="G281" s="4"/>
      <c r="H281" s="32" t="str">
        <f>IF(A281="","",SUMIFS(Sales!$K$5:$K$504,Sales!$I$5:$I$504,A281,Sales!$L$5:$L$504,"Approved"))</f>
        <v/>
      </c>
      <c r="I281" s="32" t="str">
        <f>IF(A281="","",SUMIFS(Payouts!$G$5:$G$504,Payouts!$B$5:$B$504,A281,Payouts!$H$5:$H$504,"Paid"))</f>
        <v/>
      </c>
      <c r="J281" s="32" t="str">
        <f t="shared" si="4"/>
        <v/>
      </c>
      <c r="K281" s="4"/>
      <c r="L281" s="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4"/>
      <c r="B282" s="4"/>
      <c r="C282" s="3" t="str">
        <f>IF(B282="","",VLOOKUP(B282,Customers!$A$5:$J$504,3,FALSE))</f>
        <v/>
      </c>
      <c r="D282" s="3" t="str">
        <f>IF(B282="","",VLOOKUP(B282,Customers!$A$5:$J$504,4,FALSE))</f>
        <v/>
      </c>
      <c r="E282" s="4"/>
      <c r="F282" s="28"/>
      <c r="G282" s="4"/>
      <c r="H282" s="32" t="str">
        <f>IF(A282="","",SUMIFS(Sales!$K$5:$K$504,Sales!$I$5:$I$504,A282,Sales!$L$5:$L$504,"Approved"))</f>
        <v/>
      </c>
      <c r="I282" s="32" t="str">
        <f>IF(A282="","",SUMIFS(Payouts!$G$5:$G$504,Payouts!$B$5:$B$504,A282,Payouts!$H$5:$H$504,"Paid"))</f>
        <v/>
      </c>
      <c r="J282" s="32" t="str">
        <f t="shared" si="4"/>
        <v/>
      </c>
      <c r="K282" s="4"/>
      <c r="L282" s="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4"/>
      <c r="B283" s="4"/>
      <c r="C283" s="3" t="str">
        <f>IF(B283="","",VLOOKUP(B283,Customers!$A$5:$J$504,3,FALSE))</f>
        <v/>
      </c>
      <c r="D283" s="3" t="str">
        <f>IF(B283="","",VLOOKUP(B283,Customers!$A$5:$J$504,4,FALSE))</f>
        <v/>
      </c>
      <c r="E283" s="4"/>
      <c r="F283" s="28"/>
      <c r="G283" s="4"/>
      <c r="H283" s="32" t="str">
        <f>IF(A283="","",SUMIFS(Sales!$K$5:$K$504,Sales!$I$5:$I$504,A283,Sales!$L$5:$L$504,"Approved"))</f>
        <v/>
      </c>
      <c r="I283" s="32" t="str">
        <f>IF(A283="","",SUMIFS(Payouts!$G$5:$G$504,Payouts!$B$5:$B$504,A283,Payouts!$H$5:$H$504,"Paid"))</f>
        <v/>
      </c>
      <c r="J283" s="32" t="str">
        <f t="shared" si="4"/>
        <v/>
      </c>
      <c r="K283" s="4"/>
      <c r="L283" s="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4"/>
      <c r="B284" s="4"/>
      <c r="C284" s="3" t="str">
        <f>IF(B284="","",VLOOKUP(B284,Customers!$A$5:$J$504,3,FALSE))</f>
        <v/>
      </c>
      <c r="D284" s="3" t="str">
        <f>IF(B284="","",VLOOKUP(B284,Customers!$A$5:$J$504,4,FALSE))</f>
        <v/>
      </c>
      <c r="E284" s="4"/>
      <c r="F284" s="28"/>
      <c r="G284" s="4"/>
      <c r="H284" s="32" t="str">
        <f>IF(A284="","",SUMIFS(Sales!$K$5:$K$504,Sales!$I$5:$I$504,A284,Sales!$L$5:$L$504,"Approved"))</f>
        <v/>
      </c>
      <c r="I284" s="32" t="str">
        <f>IF(A284="","",SUMIFS(Payouts!$G$5:$G$504,Payouts!$B$5:$B$504,A284,Payouts!$H$5:$H$504,"Paid"))</f>
        <v/>
      </c>
      <c r="J284" s="32" t="str">
        <f t="shared" si="4"/>
        <v/>
      </c>
      <c r="K284" s="4"/>
      <c r="L284" s="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4"/>
      <c r="B285" s="4"/>
      <c r="C285" s="3" t="str">
        <f>IF(B285="","",VLOOKUP(B285,Customers!$A$5:$J$504,3,FALSE))</f>
        <v/>
      </c>
      <c r="D285" s="3" t="str">
        <f>IF(B285="","",VLOOKUP(B285,Customers!$A$5:$J$504,4,FALSE))</f>
        <v/>
      </c>
      <c r="E285" s="4"/>
      <c r="F285" s="28"/>
      <c r="G285" s="4"/>
      <c r="H285" s="32" t="str">
        <f>IF(A285="","",SUMIFS(Sales!$K$5:$K$504,Sales!$I$5:$I$504,A285,Sales!$L$5:$L$504,"Approved"))</f>
        <v/>
      </c>
      <c r="I285" s="32" t="str">
        <f>IF(A285="","",SUMIFS(Payouts!$G$5:$G$504,Payouts!$B$5:$B$504,A285,Payouts!$H$5:$H$504,"Paid"))</f>
        <v/>
      </c>
      <c r="J285" s="32" t="str">
        <f t="shared" si="4"/>
        <v/>
      </c>
      <c r="K285" s="4"/>
      <c r="L285" s="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4"/>
      <c r="B286" s="4"/>
      <c r="C286" s="3" t="str">
        <f>IF(B286="","",VLOOKUP(B286,Customers!$A$5:$J$504,3,FALSE))</f>
        <v/>
      </c>
      <c r="D286" s="3" t="str">
        <f>IF(B286="","",VLOOKUP(B286,Customers!$A$5:$J$504,4,FALSE))</f>
        <v/>
      </c>
      <c r="E286" s="4"/>
      <c r="F286" s="28"/>
      <c r="G286" s="4"/>
      <c r="H286" s="32" t="str">
        <f>IF(A286="","",SUMIFS(Sales!$K$5:$K$504,Sales!$I$5:$I$504,A286,Sales!$L$5:$L$504,"Approved"))</f>
        <v/>
      </c>
      <c r="I286" s="32" t="str">
        <f>IF(A286="","",SUMIFS(Payouts!$G$5:$G$504,Payouts!$B$5:$B$504,A286,Payouts!$H$5:$H$504,"Paid"))</f>
        <v/>
      </c>
      <c r="J286" s="32" t="str">
        <f t="shared" si="4"/>
        <v/>
      </c>
      <c r="K286" s="4"/>
      <c r="L286" s="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4"/>
      <c r="B287" s="4"/>
      <c r="C287" s="3" t="str">
        <f>IF(B287="","",VLOOKUP(B287,Customers!$A$5:$J$504,3,FALSE))</f>
        <v/>
      </c>
      <c r="D287" s="3" t="str">
        <f>IF(B287="","",VLOOKUP(B287,Customers!$A$5:$J$504,4,FALSE))</f>
        <v/>
      </c>
      <c r="E287" s="4"/>
      <c r="F287" s="28"/>
      <c r="G287" s="4"/>
      <c r="H287" s="32" t="str">
        <f>IF(A287="","",SUMIFS(Sales!$K$5:$K$504,Sales!$I$5:$I$504,A287,Sales!$L$5:$L$504,"Approved"))</f>
        <v/>
      </c>
      <c r="I287" s="32" t="str">
        <f>IF(A287="","",SUMIFS(Payouts!$G$5:$G$504,Payouts!$B$5:$B$504,A287,Payouts!$H$5:$H$504,"Paid"))</f>
        <v/>
      </c>
      <c r="J287" s="32" t="str">
        <f t="shared" si="4"/>
        <v/>
      </c>
      <c r="K287" s="4"/>
      <c r="L287" s="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4"/>
      <c r="B288" s="4"/>
      <c r="C288" s="3" t="str">
        <f>IF(B288="","",VLOOKUP(B288,Customers!$A$5:$J$504,3,FALSE))</f>
        <v/>
      </c>
      <c r="D288" s="3" t="str">
        <f>IF(B288="","",VLOOKUP(B288,Customers!$A$5:$J$504,4,FALSE))</f>
        <v/>
      </c>
      <c r="E288" s="4"/>
      <c r="F288" s="28"/>
      <c r="G288" s="4"/>
      <c r="H288" s="32" t="str">
        <f>IF(A288="","",SUMIFS(Sales!$K$5:$K$504,Sales!$I$5:$I$504,A288,Sales!$L$5:$L$504,"Approved"))</f>
        <v/>
      </c>
      <c r="I288" s="32" t="str">
        <f>IF(A288="","",SUMIFS(Payouts!$G$5:$G$504,Payouts!$B$5:$B$504,A288,Payouts!$H$5:$H$504,"Paid"))</f>
        <v/>
      </c>
      <c r="J288" s="32" t="str">
        <f t="shared" si="4"/>
        <v/>
      </c>
      <c r="K288" s="4"/>
      <c r="L288" s="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4"/>
      <c r="B289" s="4"/>
      <c r="C289" s="3" t="str">
        <f>IF(B289="","",VLOOKUP(B289,Customers!$A$5:$J$504,3,FALSE))</f>
        <v/>
      </c>
      <c r="D289" s="3" t="str">
        <f>IF(B289="","",VLOOKUP(B289,Customers!$A$5:$J$504,4,FALSE))</f>
        <v/>
      </c>
      <c r="E289" s="4"/>
      <c r="F289" s="28"/>
      <c r="G289" s="4"/>
      <c r="H289" s="32" t="str">
        <f>IF(A289="","",SUMIFS(Sales!$K$5:$K$504,Sales!$I$5:$I$504,A289,Sales!$L$5:$L$504,"Approved"))</f>
        <v/>
      </c>
      <c r="I289" s="32" t="str">
        <f>IF(A289="","",SUMIFS(Payouts!$G$5:$G$504,Payouts!$B$5:$B$504,A289,Payouts!$H$5:$H$504,"Paid"))</f>
        <v/>
      </c>
      <c r="J289" s="32" t="str">
        <f t="shared" si="4"/>
        <v/>
      </c>
      <c r="K289" s="4"/>
      <c r="L289" s="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4"/>
      <c r="B290" s="4"/>
      <c r="C290" s="3" t="str">
        <f>IF(B290="","",VLOOKUP(B290,Customers!$A$5:$J$504,3,FALSE))</f>
        <v/>
      </c>
      <c r="D290" s="3" t="str">
        <f>IF(B290="","",VLOOKUP(B290,Customers!$A$5:$J$504,4,FALSE))</f>
        <v/>
      </c>
      <c r="E290" s="4"/>
      <c r="F290" s="28"/>
      <c r="G290" s="4"/>
      <c r="H290" s="32" t="str">
        <f>IF(A290="","",SUMIFS(Sales!$K$5:$K$504,Sales!$I$5:$I$504,A290,Sales!$L$5:$L$504,"Approved"))</f>
        <v/>
      </c>
      <c r="I290" s="32" t="str">
        <f>IF(A290="","",SUMIFS(Payouts!$G$5:$G$504,Payouts!$B$5:$B$504,A290,Payouts!$H$5:$H$504,"Paid"))</f>
        <v/>
      </c>
      <c r="J290" s="32" t="str">
        <f t="shared" si="4"/>
        <v/>
      </c>
      <c r="K290" s="4"/>
      <c r="L290" s="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4"/>
      <c r="B291" s="4"/>
      <c r="C291" s="3" t="str">
        <f>IF(B291="","",VLOOKUP(B291,Customers!$A$5:$J$504,3,FALSE))</f>
        <v/>
      </c>
      <c r="D291" s="3" t="str">
        <f>IF(B291="","",VLOOKUP(B291,Customers!$A$5:$J$504,4,FALSE))</f>
        <v/>
      </c>
      <c r="E291" s="4"/>
      <c r="F291" s="28"/>
      <c r="G291" s="4"/>
      <c r="H291" s="32" t="str">
        <f>IF(A291="","",SUMIFS(Sales!$K$5:$K$504,Sales!$I$5:$I$504,A291,Sales!$L$5:$L$504,"Approved"))</f>
        <v/>
      </c>
      <c r="I291" s="32" t="str">
        <f>IF(A291="","",SUMIFS(Payouts!$G$5:$G$504,Payouts!$B$5:$B$504,A291,Payouts!$H$5:$H$504,"Paid"))</f>
        <v/>
      </c>
      <c r="J291" s="32" t="str">
        <f t="shared" si="4"/>
        <v/>
      </c>
      <c r="K291" s="4"/>
      <c r="L291" s="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4"/>
      <c r="B292" s="4"/>
      <c r="C292" s="3" t="str">
        <f>IF(B292="","",VLOOKUP(B292,Customers!$A$5:$J$504,3,FALSE))</f>
        <v/>
      </c>
      <c r="D292" s="3" t="str">
        <f>IF(B292="","",VLOOKUP(B292,Customers!$A$5:$J$504,4,FALSE))</f>
        <v/>
      </c>
      <c r="E292" s="4"/>
      <c r="F292" s="28"/>
      <c r="G292" s="4"/>
      <c r="H292" s="32" t="str">
        <f>IF(A292="","",SUMIFS(Sales!$K$5:$K$504,Sales!$I$5:$I$504,A292,Sales!$L$5:$L$504,"Approved"))</f>
        <v/>
      </c>
      <c r="I292" s="32" t="str">
        <f>IF(A292="","",SUMIFS(Payouts!$G$5:$G$504,Payouts!$B$5:$B$504,A292,Payouts!$H$5:$H$504,"Paid"))</f>
        <v/>
      </c>
      <c r="J292" s="32" t="str">
        <f t="shared" si="4"/>
        <v/>
      </c>
      <c r="K292" s="4"/>
      <c r="L292" s="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4"/>
      <c r="B293" s="4"/>
      <c r="C293" s="3" t="str">
        <f>IF(B293="","",VLOOKUP(B293,Customers!$A$5:$J$504,3,FALSE))</f>
        <v/>
      </c>
      <c r="D293" s="3" t="str">
        <f>IF(B293="","",VLOOKUP(B293,Customers!$A$5:$J$504,4,FALSE))</f>
        <v/>
      </c>
      <c r="E293" s="4"/>
      <c r="F293" s="28"/>
      <c r="G293" s="4"/>
      <c r="H293" s="32" t="str">
        <f>IF(A293="","",SUMIFS(Sales!$K$5:$K$504,Sales!$I$5:$I$504,A293,Sales!$L$5:$L$504,"Approved"))</f>
        <v/>
      </c>
      <c r="I293" s="32" t="str">
        <f>IF(A293="","",SUMIFS(Payouts!$G$5:$G$504,Payouts!$B$5:$B$504,A293,Payouts!$H$5:$H$504,"Paid"))</f>
        <v/>
      </c>
      <c r="J293" s="32" t="str">
        <f t="shared" si="4"/>
        <v/>
      </c>
      <c r="K293" s="4"/>
      <c r="L293" s="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4"/>
      <c r="B294" s="4"/>
      <c r="C294" s="3" t="str">
        <f>IF(B294="","",VLOOKUP(B294,Customers!$A$5:$J$504,3,FALSE))</f>
        <v/>
      </c>
      <c r="D294" s="3" t="str">
        <f>IF(B294="","",VLOOKUP(B294,Customers!$A$5:$J$504,4,FALSE))</f>
        <v/>
      </c>
      <c r="E294" s="4"/>
      <c r="F294" s="28"/>
      <c r="G294" s="4"/>
      <c r="H294" s="32" t="str">
        <f>IF(A294="","",SUMIFS(Sales!$K$5:$K$504,Sales!$I$5:$I$504,A294,Sales!$L$5:$L$504,"Approved"))</f>
        <v/>
      </c>
      <c r="I294" s="32" t="str">
        <f>IF(A294="","",SUMIFS(Payouts!$G$5:$G$504,Payouts!$B$5:$B$504,A294,Payouts!$H$5:$H$504,"Paid"))</f>
        <v/>
      </c>
      <c r="J294" s="32" t="str">
        <f t="shared" si="4"/>
        <v/>
      </c>
      <c r="K294" s="4"/>
      <c r="L294" s="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4"/>
      <c r="B295" s="4"/>
      <c r="C295" s="3" t="str">
        <f>IF(B295="","",VLOOKUP(B295,Customers!$A$5:$J$504,3,FALSE))</f>
        <v/>
      </c>
      <c r="D295" s="3" t="str">
        <f>IF(B295="","",VLOOKUP(B295,Customers!$A$5:$J$504,4,FALSE))</f>
        <v/>
      </c>
      <c r="E295" s="4"/>
      <c r="F295" s="28"/>
      <c r="G295" s="4"/>
      <c r="H295" s="32" t="str">
        <f>IF(A295="","",SUMIFS(Sales!$K$5:$K$504,Sales!$I$5:$I$504,A295,Sales!$L$5:$L$504,"Approved"))</f>
        <v/>
      </c>
      <c r="I295" s="32" t="str">
        <f>IF(A295="","",SUMIFS(Payouts!$G$5:$G$504,Payouts!$B$5:$B$504,A295,Payouts!$H$5:$H$504,"Paid"))</f>
        <v/>
      </c>
      <c r="J295" s="32" t="str">
        <f t="shared" si="4"/>
        <v/>
      </c>
      <c r="K295" s="4"/>
      <c r="L295" s="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4"/>
      <c r="B296" s="4"/>
      <c r="C296" s="3" t="str">
        <f>IF(B296="","",VLOOKUP(B296,Customers!$A$5:$J$504,3,FALSE))</f>
        <v/>
      </c>
      <c r="D296" s="3" t="str">
        <f>IF(B296="","",VLOOKUP(B296,Customers!$A$5:$J$504,4,FALSE))</f>
        <v/>
      </c>
      <c r="E296" s="4"/>
      <c r="F296" s="28"/>
      <c r="G296" s="4"/>
      <c r="H296" s="32" t="str">
        <f>IF(A296="","",SUMIFS(Sales!$K$5:$K$504,Sales!$I$5:$I$504,A296,Sales!$L$5:$L$504,"Approved"))</f>
        <v/>
      </c>
      <c r="I296" s="32" t="str">
        <f>IF(A296="","",SUMIFS(Payouts!$G$5:$G$504,Payouts!$B$5:$B$504,A296,Payouts!$H$5:$H$504,"Paid"))</f>
        <v/>
      </c>
      <c r="J296" s="32" t="str">
        <f t="shared" si="4"/>
        <v/>
      </c>
      <c r="K296" s="4"/>
      <c r="L296" s="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4"/>
      <c r="B297" s="4"/>
      <c r="C297" s="3" t="str">
        <f>IF(B297="","",VLOOKUP(B297,Customers!$A$5:$J$504,3,FALSE))</f>
        <v/>
      </c>
      <c r="D297" s="3" t="str">
        <f>IF(B297="","",VLOOKUP(B297,Customers!$A$5:$J$504,4,FALSE))</f>
        <v/>
      </c>
      <c r="E297" s="4"/>
      <c r="F297" s="28"/>
      <c r="G297" s="4"/>
      <c r="H297" s="32" t="str">
        <f>IF(A297="","",SUMIFS(Sales!$K$5:$K$504,Sales!$I$5:$I$504,A297,Sales!$L$5:$L$504,"Approved"))</f>
        <v/>
      </c>
      <c r="I297" s="32" t="str">
        <f>IF(A297="","",SUMIFS(Payouts!$G$5:$G$504,Payouts!$B$5:$B$504,A297,Payouts!$H$5:$H$504,"Paid"))</f>
        <v/>
      </c>
      <c r="J297" s="32" t="str">
        <f t="shared" si="4"/>
        <v/>
      </c>
      <c r="K297" s="4"/>
      <c r="L297" s="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4"/>
      <c r="B298" s="4"/>
      <c r="C298" s="3" t="str">
        <f>IF(B298="","",VLOOKUP(B298,Customers!$A$5:$J$504,3,FALSE))</f>
        <v/>
      </c>
      <c r="D298" s="3" t="str">
        <f>IF(B298="","",VLOOKUP(B298,Customers!$A$5:$J$504,4,FALSE))</f>
        <v/>
      </c>
      <c r="E298" s="4"/>
      <c r="F298" s="28"/>
      <c r="G298" s="4"/>
      <c r="H298" s="32" t="str">
        <f>IF(A298="","",SUMIFS(Sales!$K$5:$K$504,Sales!$I$5:$I$504,A298,Sales!$L$5:$L$504,"Approved"))</f>
        <v/>
      </c>
      <c r="I298" s="32" t="str">
        <f>IF(A298="","",SUMIFS(Payouts!$G$5:$G$504,Payouts!$B$5:$B$504,A298,Payouts!$H$5:$H$504,"Paid"))</f>
        <v/>
      </c>
      <c r="J298" s="32" t="str">
        <f t="shared" si="4"/>
        <v/>
      </c>
      <c r="K298" s="4"/>
      <c r="L298" s="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4"/>
      <c r="B299" s="4"/>
      <c r="C299" s="3" t="str">
        <f>IF(B299="","",VLOOKUP(B299,Customers!$A$5:$J$504,3,FALSE))</f>
        <v/>
      </c>
      <c r="D299" s="3" t="str">
        <f>IF(B299="","",VLOOKUP(B299,Customers!$A$5:$J$504,4,FALSE))</f>
        <v/>
      </c>
      <c r="E299" s="4"/>
      <c r="F299" s="28"/>
      <c r="G299" s="4"/>
      <c r="H299" s="32" t="str">
        <f>IF(A299="","",SUMIFS(Sales!$K$5:$K$504,Sales!$I$5:$I$504,A299,Sales!$L$5:$L$504,"Approved"))</f>
        <v/>
      </c>
      <c r="I299" s="32" t="str">
        <f>IF(A299="","",SUMIFS(Payouts!$G$5:$G$504,Payouts!$B$5:$B$504,A299,Payouts!$H$5:$H$504,"Paid"))</f>
        <v/>
      </c>
      <c r="J299" s="32" t="str">
        <f t="shared" si="4"/>
        <v/>
      </c>
      <c r="K299" s="4"/>
      <c r="L299" s="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4"/>
      <c r="B300" s="4"/>
      <c r="C300" s="3" t="str">
        <f>IF(B300="","",VLOOKUP(B300,Customers!$A$5:$J$504,3,FALSE))</f>
        <v/>
      </c>
      <c r="D300" s="3" t="str">
        <f>IF(B300="","",VLOOKUP(B300,Customers!$A$5:$J$504,4,FALSE))</f>
        <v/>
      </c>
      <c r="E300" s="4"/>
      <c r="F300" s="28"/>
      <c r="G300" s="4"/>
      <c r="H300" s="32" t="str">
        <f>IF(A300="","",SUMIFS(Sales!$K$5:$K$504,Sales!$I$5:$I$504,A300,Sales!$L$5:$L$504,"Approved"))</f>
        <v/>
      </c>
      <c r="I300" s="32" t="str">
        <f>IF(A300="","",SUMIFS(Payouts!$G$5:$G$504,Payouts!$B$5:$B$504,A300,Payouts!$H$5:$H$504,"Paid"))</f>
        <v/>
      </c>
      <c r="J300" s="32" t="str">
        <f t="shared" si="4"/>
        <v/>
      </c>
      <c r="K300" s="4"/>
      <c r="L300" s="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4"/>
      <c r="B301" s="4"/>
      <c r="C301" s="3" t="str">
        <f>IF(B301="","",VLOOKUP(B301,Customers!$A$5:$J$504,3,FALSE))</f>
        <v/>
      </c>
      <c r="D301" s="3" t="str">
        <f>IF(B301="","",VLOOKUP(B301,Customers!$A$5:$J$504,4,FALSE))</f>
        <v/>
      </c>
      <c r="E301" s="4"/>
      <c r="F301" s="28"/>
      <c r="G301" s="4"/>
      <c r="H301" s="32" t="str">
        <f>IF(A301="","",SUMIFS(Sales!$K$5:$K$504,Sales!$I$5:$I$504,A301,Sales!$L$5:$L$504,"Approved"))</f>
        <v/>
      </c>
      <c r="I301" s="32" t="str">
        <f>IF(A301="","",SUMIFS(Payouts!$G$5:$G$504,Payouts!$B$5:$B$504,A301,Payouts!$H$5:$H$504,"Paid"))</f>
        <v/>
      </c>
      <c r="J301" s="32" t="str">
        <f t="shared" si="4"/>
        <v/>
      </c>
      <c r="K301" s="4"/>
      <c r="L301" s="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4"/>
      <c r="B302" s="4"/>
      <c r="C302" s="3" t="str">
        <f>IF(B302="","",VLOOKUP(B302,Customers!$A$5:$J$504,3,FALSE))</f>
        <v/>
      </c>
      <c r="D302" s="3" t="str">
        <f>IF(B302="","",VLOOKUP(B302,Customers!$A$5:$J$504,4,FALSE))</f>
        <v/>
      </c>
      <c r="E302" s="4"/>
      <c r="F302" s="28"/>
      <c r="G302" s="4"/>
      <c r="H302" s="32" t="str">
        <f>IF(A302="","",SUMIFS(Sales!$K$5:$K$504,Sales!$I$5:$I$504,A302,Sales!$L$5:$L$504,"Approved"))</f>
        <v/>
      </c>
      <c r="I302" s="32" t="str">
        <f>IF(A302="","",SUMIFS(Payouts!$G$5:$G$504,Payouts!$B$5:$B$504,A302,Payouts!$H$5:$H$504,"Paid"))</f>
        <v/>
      </c>
      <c r="J302" s="32" t="str">
        <f t="shared" si="4"/>
        <v/>
      </c>
      <c r="K302" s="4"/>
      <c r="L302" s="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4"/>
      <c r="B303" s="4"/>
      <c r="C303" s="3" t="str">
        <f>IF(B303="","",VLOOKUP(B303,Customers!$A$5:$J$504,3,FALSE))</f>
        <v/>
      </c>
      <c r="D303" s="3" t="str">
        <f>IF(B303="","",VLOOKUP(B303,Customers!$A$5:$J$504,4,FALSE))</f>
        <v/>
      </c>
      <c r="E303" s="4"/>
      <c r="F303" s="28"/>
      <c r="G303" s="4"/>
      <c r="H303" s="32" t="str">
        <f>IF(A303="","",SUMIFS(Sales!$K$5:$K$504,Sales!$I$5:$I$504,A303,Sales!$L$5:$L$504,"Approved"))</f>
        <v/>
      </c>
      <c r="I303" s="32" t="str">
        <f>IF(A303="","",SUMIFS(Payouts!$G$5:$G$504,Payouts!$B$5:$B$504,A303,Payouts!$H$5:$H$504,"Paid"))</f>
        <v/>
      </c>
      <c r="J303" s="32" t="str">
        <f t="shared" si="4"/>
        <v/>
      </c>
      <c r="K303" s="4"/>
      <c r="L303" s="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4"/>
      <c r="B304" s="4"/>
      <c r="C304" s="3" t="str">
        <f>IF(B304="","",VLOOKUP(B304,Customers!$A$5:$J$504,3,FALSE))</f>
        <v/>
      </c>
      <c r="D304" s="3" t="str">
        <f>IF(B304="","",VLOOKUP(B304,Customers!$A$5:$J$504,4,FALSE))</f>
        <v/>
      </c>
      <c r="E304" s="4"/>
      <c r="F304" s="28"/>
      <c r="G304" s="4"/>
      <c r="H304" s="32" t="str">
        <f>IF(A304="","",SUMIFS(Sales!$K$5:$K$504,Sales!$I$5:$I$504,A304,Sales!$L$5:$L$504,"Approved"))</f>
        <v/>
      </c>
      <c r="I304" s="32" t="str">
        <f>IF(A304="","",SUMIFS(Payouts!$G$5:$G$504,Payouts!$B$5:$B$504,A304,Payouts!$H$5:$H$504,"Paid"))</f>
        <v/>
      </c>
      <c r="J304" s="32" t="str">
        <f t="shared" si="4"/>
        <v/>
      </c>
      <c r="K304" s="4"/>
      <c r="L304" s="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4"/>
      <c r="B305" s="4"/>
      <c r="C305" s="3" t="str">
        <f>IF(B305="","",VLOOKUP(B305,Customers!$A$5:$J$504,3,FALSE))</f>
        <v/>
      </c>
      <c r="D305" s="3" t="str">
        <f>IF(B305="","",VLOOKUP(B305,Customers!$A$5:$J$504,4,FALSE))</f>
        <v/>
      </c>
      <c r="E305" s="4"/>
      <c r="F305" s="28"/>
      <c r="G305" s="4"/>
      <c r="H305" s="32" t="str">
        <f>IF(A305="","",SUMIFS(Sales!$K$5:$K$504,Sales!$I$5:$I$504,A305,Sales!$L$5:$L$504,"Approved"))</f>
        <v/>
      </c>
      <c r="I305" s="32" t="str">
        <f>IF(A305="","",SUMIFS(Payouts!$G$5:$G$504,Payouts!$B$5:$B$504,A305,Payouts!$H$5:$H$504,"Paid"))</f>
        <v/>
      </c>
      <c r="J305" s="32" t="str">
        <f t="shared" si="4"/>
        <v/>
      </c>
      <c r="K305" s="4"/>
      <c r="L305" s="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4"/>
      <c r="B306" s="4"/>
      <c r="C306" s="3" t="str">
        <f>IF(B306="","",VLOOKUP(B306,Customers!$A$5:$J$504,3,FALSE))</f>
        <v/>
      </c>
      <c r="D306" s="3" t="str">
        <f>IF(B306="","",VLOOKUP(B306,Customers!$A$5:$J$504,4,FALSE))</f>
        <v/>
      </c>
      <c r="E306" s="4"/>
      <c r="F306" s="28"/>
      <c r="G306" s="4"/>
      <c r="H306" s="32" t="str">
        <f>IF(A306="","",SUMIFS(Sales!$K$5:$K$504,Sales!$I$5:$I$504,A306,Sales!$L$5:$L$504,"Approved"))</f>
        <v/>
      </c>
      <c r="I306" s="32" t="str">
        <f>IF(A306="","",SUMIFS(Payouts!$G$5:$G$504,Payouts!$B$5:$B$504,A306,Payouts!$H$5:$H$504,"Paid"))</f>
        <v/>
      </c>
      <c r="J306" s="32" t="str">
        <f t="shared" si="4"/>
        <v/>
      </c>
      <c r="K306" s="4"/>
      <c r="L306" s="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4"/>
      <c r="B307" s="4"/>
      <c r="C307" s="3" t="str">
        <f>IF(B307="","",VLOOKUP(B307,Customers!$A$5:$J$504,3,FALSE))</f>
        <v/>
      </c>
      <c r="D307" s="3" t="str">
        <f>IF(B307="","",VLOOKUP(B307,Customers!$A$5:$J$504,4,FALSE))</f>
        <v/>
      </c>
      <c r="E307" s="4"/>
      <c r="F307" s="28"/>
      <c r="G307" s="4"/>
      <c r="H307" s="32" t="str">
        <f>IF(A307="","",SUMIFS(Sales!$K$5:$K$504,Sales!$I$5:$I$504,A307,Sales!$L$5:$L$504,"Approved"))</f>
        <v/>
      </c>
      <c r="I307" s="32" t="str">
        <f>IF(A307="","",SUMIFS(Payouts!$G$5:$G$504,Payouts!$B$5:$B$504,A307,Payouts!$H$5:$H$504,"Paid"))</f>
        <v/>
      </c>
      <c r="J307" s="32" t="str">
        <f t="shared" si="4"/>
        <v/>
      </c>
      <c r="K307" s="4"/>
      <c r="L307" s="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4"/>
      <c r="B308" s="4"/>
      <c r="C308" s="3" t="str">
        <f>IF(B308="","",VLOOKUP(B308,Customers!$A$5:$J$504,3,FALSE))</f>
        <v/>
      </c>
      <c r="D308" s="3" t="str">
        <f>IF(B308="","",VLOOKUP(B308,Customers!$A$5:$J$504,4,FALSE))</f>
        <v/>
      </c>
      <c r="E308" s="4"/>
      <c r="F308" s="28"/>
      <c r="G308" s="4"/>
      <c r="H308" s="32" t="str">
        <f>IF(A308="","",SUMIFS(Sales!$K$5:$K$504,Sales!$I$5:$I$504,A308,Sales!$L$5:$L$504,"Approved"))</f>
        <v/>
      </c>
      <c r="I308" s="32" t="str">
        <f>IF(A308="","",SUMIFS(Payouts!$G$5:$G$504,Payouts!$B$5:$B$504,A308,Payouts!$H$5:$H$504,"Paid"))</f>
        <v/>
      </c>
      <c r="J308" s="32" t="str">
        <f t="shared" si="4"/>
        <v/>
      </c>
      <c r="K308" s="4"/>
      <c r="L308" s="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4"/>
      <c r="B309" s="4"/>
      <c r="C309" s="3" t="str">
        <f>IF(B309="","",VLOOKUP(B309,Customers!$A$5:$J$504,3,FALSE))</f>
        <v/>
      </c>
      <c r="D309" s="3" t="str">
        <f>IF(B309="","",VLOOKUP(B309,Customers!$A$5:$J$504,4,FALSE))</f>
        <v/>
      </c>
      <c r="E309" s="4"/>
      <c r="F309" s="28"/>
      <c r="G309" s="4"/>
      <c r="H309" s="32" t="str">
        <f>IF(A309="","",SUMIFS(Sales!$K$5:$K$504,Sales!$I$5:$I$504,A309,Sales!$L$5:$L$504,"Approved"))</f>
        <v/>
      </c>
      <c r="I309" s="32" t="str">
        <f>IF(A309="","",SUMIFS(Payouts!$G$5:$G$504,Payouts!$B$5:$B$504,A309,Payouts!$H$5:$H$504,"Paid"))</f>
        <v/>
      </c>
      <c r="J309" s="32" t="str">
        <f t="shared" si="4"/>
        <v/>
      </c>
      <c r="K309" s="4"/>
      <c r="L309" s="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4"/>
      <c r="B310" s="4"/>
      <c r="C310" s="3" t="str">
        <f>IF(B310="","",VLOOKUP(B310,Customers!$A$5:$J$504,3,FALSE))</f>
        <v/>
      </c>
      <c r="D310" s="3" t="str">
        <f>IF(B310="","",VLOOKUP(B310,Customers!$A$5:$J$504,4,FALSE))</f>
        <v/>
      </c>
      <c r="E310" s="4"/>
      <c r="F310" s="28"/>
      <c r="G310" s="4"/>
      <c r="H310" s="32" t="str">
        <f>IF(A310="","",SUMIFS(Sales!$K$5:$K$504,Sales!$I$5:$I$504,A310,Sales!$L$5:$L$504,"Approved"))</f>
        <v/>
      </c>
      <c r="I310" s="32" t="str">
        <f>IF(A310="","",SUMIFS(Payouts!$G$5:$G$504,Payouts!$B$5:$B$504,A310,Payouts!$H$5:$H$504,"Paid"))</f>
        <v/>
      </c>
      <c r="J310" s="32" t="str">
        <f t="shared" si="4"/>
        <v/>
      </c>
      <c r="K310" s="4"/>
      <c r="L310" s="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4"/>
      <c r="B311" s="4"/>
      <c r="C311" s="3" t="str">
        <f>IF(B311="","",VLOOKUP(B311,Customers!$A$5:$J$504,3,FALSE))</f>
        <v/>
      </c>
      <c r="D311" s="3" t="str">
        <f>IF(B311="","",VLOOKUP(B311,Customers!$A$5:$J$504,4,FALSE))</f>
        <v/>
      </c>
      <c r="E311" s="4"/>
      <c r="F311" s="28"/>
      <c r="G311" s="4"/>
      <c r="H311" s="32" t="str">
        <f>IF(A311="","",SUMIFS(Sales!$K$5:$K$504,Sales!$I$5:$I$504,A311,Sales!$L$5:$L$504,"Approved"))</f>
        <v/>
      </c>
      <c r="I311" s="32" t="str">
        <f>IF(A311="","",SUMIFS(Payouts!$G$5:$G$504,Payouts!$B$5:$B$504,A311,Payouts!$H$5:$H$504,"Paid"))</f>
        <v/>
      </c>
      <c r="J311" s="32" t="str">
        <f t="shared" si="4"/>
        <v/>
      </c>
      <c r="K311" s="4"/>
      <c r="L311" s="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4"/>
      <c r="B312" s="4"/>
      <c r="C312" s="3" t="str">
        <f>IF(B312="","",VLOOKUP(B312,Customers!$A$5:$J$504,3,FALSE))</f>
        <v/>
      </c>
      <c r="D312" s="3" t="str">
        <f>IF(B312="","",VLOOKUP(B312,Customers!$A$5:$J$504,4,FALSE))</f>
        <v/>
      </c>
      <c r="E312" s="4"/>
      <c r="F312" s="28"/>
      <c r="G312" s="4"/>
      <c r="H312" s="32" t="str">
        <f>IF(A312="","",SUMIFS(Sales!$K$5:$K$504,Sales!$I$5:$I$504,A312,Sales!$L$5:$L$504,"Approved"))</f>
        <v/>
      </c>
      <c r="I312" s="32" t="str">
        <f>IF(A312="","",SUMIFS(Payouts!$G$5:$G$504,Payouts!$B$5:$B$504,A312,Payouts!$H$5:$H$504,"Paid"))</f>
        <v/>
      </c>
      <c r="J312" s="32" t="str">
        <f t="shared" si="4"/>
        <v/>
      </c>
      <c r="K312" s="4"/>
      <c r="L312" s="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4"/>
      <c r="B313" s="4"/>
      <c r="C313" s="3" t="str">
        <f>IF(B313="","",VLOOKUP(B313,Customers!$A$5:$J$504,3,FALSE))</f>
        <v/>
      </c>
      <c r="D313" s="3" t="str">
        <f>IF(B313="","",VLOOKUP(B313,Customers!$A$5:$J$504,4,FALSE))</f>
        <v/>
      </c>
      <c r="E313" s="4"/>
      <c r="F313" s="28"/>
      <c r="G313" s="4"/>
      <c r="H313" s="32" t="str">
        <f>IF(A313="","",SUMIFS(Sales!$K$5:$K$504,Sales!$I$5:$I$504,A313,Sales!$L$5:$L$504,"Approved"))</f>
        <v/>
      </c>
      <c r="I313" s="32" t="str">
        <f>IF(A313="","",SUMIFS(Payouts!$G$5:$G$504,Payouts!$B$5:$B$504,A313,Payouts!$H$5:$H$504,"Paid"))</f>
        <v/>
      </c>
      <c r="J313" s="32" t="str">
        <f t="shared" si="4"/>
        <v/>
      </c>
      <c r="K313" s="4"/>
      <c r="L313" s="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4"/>
      <c r="B314" s="4"/>
      <c r="C314" s="3" t="str">
        <f>IF(B314="","",VLOOKUP(B314,Customers!$A$5:$J$504,3,FALSE))</f>
        <v/>
      </c>
      <c r="D314" s="3" t="str">
        <f>IF(B314="","",VLOOKUP(B314,Customers!$A$5:$J$504,4,FALSE))</f>
        <v/>
      </c>
      <c r="E314" s="4"/>
      <c r="F314" s="28"/>
      <c r="G314" s="4"/>
      <c r="H314" s="32" t="str">
        <f>IF(A314="","",SUMIFS(Sales!$K$5:$K$504,Sales!$I$5:$I$504,A314,Sales!$L$5:$L$504,"Approved"))</f>
        <v/>
      </c>
      <c r="I314" s="32" t="str">
        <f>IF(A314="","",SUMIFS(Payouts!$G$5:$G$504,Payouts!$B$5:$B$504,A314,Payouts!$H$5:$H$504,"Paid"))</f>
        <v/>
      </c>
      <c r="J314" s="32" t="str">
        <f t="shared" si="4"/>
        <v/>
      </c>
      <c r="K314" s="4"/>
      <c r="L314" s="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4"/>
      <c r="B315" s="4"/>
      <c r="C315" s="3" t="str">
        <f>IF(B315="","",VLOOKUP(B315,Customers!$A$5:$J$504,3,FALSE))</f>
        <v/>
      </c>
      <c r="D315" s="3" t="str">
        <f>IF(B315="","",VLOOKUP(B315,Customers!$A$5:$J$504,4,FALSE))</f>
        <v/>
      </c>
      <c r="E315" s="4"/>
      <c r="F315" s="28"/>
      <c r="G315" s="4"/>
      <c r="H315" s="32" t="str">
        <f>IF(A315="","",SUMIFS(Sales!$K$5:$K$504,Sales!$I$5:$I$504,A315,Sales!$L$5:$L$504,"Approved"))</f>
        <v/>
      </c>
      <c r="I315" s="32" t="str">
        <f>IF(A315="","",SUMIFS(Payouts!$G$5:$G$504,Payouts!$B$5:$B$504,A315,Payouts!$H$5:$H$504,"Paid"))</f>
        <v/>
      </c>
      <c r="J315" s="32" t="str">
        <f t="shared" si="4"/>
        <v/>
      </c>
      <c r="K315" s="4"/>
      <c r="L315" s="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4"/>
      <c r="B316" s="4"/>
      <c r="C316" s="3" t="str">
        <f>IF(B316="","",VLOOKUP(B316,Customers!$A$5:$J$504,3,FALSE))</f>
        <v/>
      </c>
      <c r="D316" s="3" t="str">
        <f>IF(B316="","",VLOOKUP(B316,Customers!$A$5:$J$504,4,FALSE))</f>
        <v/>
      </c>
      <c r="E316" s="4"/>
      <c r="F316" s="28"/>
      <c r="G316" s="4"/>
      <c r="H316" s="32" t="str">
        <f>IF(A316="","",SUMIFS(Sales!$K$5:$K$504,Sales!$I$5:$I$504,A316,Sales!$L$5:$L$504,"Approved"))</f>
        <v/>
      </c>
      <c r="I316" s="32" t="str">
        <f>IF(A316="","",SUMIFS(Payouts!$G$5:$G$504,Payouts!$B$5:$B$504,A316,Payouts!$H$5:$H$504,"Paid"))</f>
        <v/>
      </c>
      <c r="J316" s="32" t="str">
        <f t="shared" si="4"/>
        <v/>
      </c>
      <c r="K316" s="4"/>
      <c r="L316" s="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4"/>
      <c r="B317" s="4"/>
      <c r="C317" s="3" t="str">
        <f>IF(B317="","",VLOOKUP(B317,Customers!$A$5:$J$504,3,FALSE))</f>
        <v/>
      </c>
      <c r="D317" s="3" t="str">
        <f>IF(B317="","",VLOOKUP(B317,Customers!$A$5:$J$504,4,FALSE))</f>
        <v/>
      </c>
      <c r="E317" s="4"/>
      <c r="F317" s="28"/>
      <c r="G317" s="4"/>
      <c r="H317" s="32" t="str">
        <f>IF(A317="","",SUMIFS(Sales!$K$5:$K$504,Sales!$I$5:$I$504,A317,Sales!$L$5:$L$504,"Approved"))</f>
        <v/>
      </c>
      <c r="I317" s="32" t="str">
        <f>IF(A317="","",SUMIFS(Payouts!$G$5:$G$504,Payouts!$B$5:$B$504,A317,Payouts!$H$5:$H$504,"Paid"))</f>
        <v/>
      </c>
      <c r="J317" s="32" t="str">
        <f t="shared" si="4"/>
        <v/>
      </c>
      <c r="K317" s="4"/>
      <c r="L317" s="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4"/>
      <c r="B318" s="4"/>
      <c r="C318" s="3" t="str">
        <f>IF(B318="","",VLOOKUP(B318,Customers!$A$5:$J$504,3,FALSE))</f>
        <v/>
      </c>
      <c r="D318" s="3" t="str">
        <f>IF(B318="","",VLOOKUP(B318,Customers!$A$5:$J$504,4,FALSE))</f>
        <v/>
      </c>
      <c r="E318" s="4"/>
      <c r="F318" s="28"/>
      <c r="G318" s="4"/>
      <c r="H318" s="32" t="str">
        <f>IF(A318="","",SUMIFS(Sales!$K$5:$K$504,Sales!$I$5:$I$504,A318,Sales!$L$5:$L$504,"Approved"))</f>
        <v/>
      </c>
      <c r="I318" s="32" t="str">
        <f>IF(A318="","",SUMIFS(Payouts!$G$5:$G$504,Payouts!$B$5:$B$504,A318,Payouts!$H$5:$H$504,"Paid"))</f>
        <v/>
      </c>
      <c r="J318" s="32" t="str">
        <f t="shared" si="4"/>
        <v/>
      </c>
      <c r="K318" s="4"/>
      <c r="L318" s="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4"/>
      <c r="B319" s="4"/>
      <c r="C319" s="3" t="str">
        <f>IF(B319="","",VLOOKUP(B319,Customers!$A$5:$J$504,3,FALSE))</f>
        <v/>
      </c>
      <c r="D319" s="3" t="str">
        <f>IF(B319="","",VLOOKUP(B319,Customers!$A$5:$J$504,4,FALSE))</f>
        <v/>
      </c>
      <c r="E319" s="4"/>
      <c r="F319" s="28"/>
      <c r="G319" s="4"/>
      <c r="H319" s="32" t="str">
        <f>IF(A319="","",SUMIFS(Sales!$K$5:$K$504,Sales!$I$5:$I$504,A319,Sales!$L$5:$L$504,"Approved"))</f>
        <v/>
      </c>
      <c r="I319" s="32" t="str">
        <f>IF(A319="","",SUMIFS(Payouts!$G$5:$G$504,Payouts!$B$5:$B$504,A319,Payouts!$H$5:$H$504,"Paid"))</f>
        <v/>
      </c>
      <c r="J319" s="32" t="str">
        <f t="shared" si="4"/>
        <v/>
      </c>
      <c r="K319" s="4"/>
      <c r="L319" s="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4"/>
      <c r="B320" s="4"/>
      <c r="C320" s="3" t="str">
        <f>IF(B320="","",VLOOKUP(B320,Customers!$A$5:$J$504,3,FALSE))</f>
        <v/>
      </c>
      <c r="D320" s="3" t="str">
        <f>IF(B320="","",VLOOKUP(B320,Customers!$A$5:$J$504,4,FALSE))</f>
        <v/>
      </c>
      <c r="E320" s="4"/>
      <c r="F320" s="28"/>
      <c r="G320" s="4"/>
      <c r="H320" s="32" t="str">
        <f>IF(A320="","",SUMIFS(Sales!$K$5:$K$504,Sales!$I$5:$I$504,A320,Sales!$L$5:$L$504,"Approved"))</f>
        <v/>
      </c>
      <c r="I320" s="32" t="str">
        <f>IF(A320="","",SUMIFS(Payouts!$G$5:$G$504,Payouts!$B$5:$B$504,A320,Payouts!$H$5:$H$504,"Paid"))</f>
        <v/>
      </c>
      <c r="J320" s="32" t="str">
        <f t="shared" si="4"/>
        <v/>
      </c>
      <c r="K320" s="4"/>
      <c r="L320" s="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4"/>
      <c r="B321" s="4"/>
      <c r="C321" s="3" t="str">
        <f>IF(B321="","",VLOOKUP(B321,Customers!$A$5:$J$504,3,FALSE))</f>
        <v/>
      </c>
      <c r="D321" s="3" t="str">
        <f>IF(B321="","",VLOOKUP(B321,Customers!$A$5:$J$504,4,FALSE))</f>
        <v/>
      </c>
      <c r="E321" s="4"/>
      <c r="F321" s="28"/>
      <c r="G321" s="4"/>
      <c r="H321" s="32" t="str">
        <f>IF(A321="","",SUMIFS(Sales!$K$5:$K$504,Sales!$I$5:$I$504,A321,Sales!$L$5:$L$504,"Approved"))</f>
        <v/>
      </c>
      <c r="I321" s="32" t="str">
        <f>IF(A321="","",SUMIFS(Payouts!$G$5:$G$504,Payouts!$B$5:$B$504,A321,Payouts!$H$5:$H$504,"Paid"))</f>
        <v/>
      </c>
      <c r="J321" s="32" t="str">
        <f t="shared" si="4"/>
        <v/>
      </c>
      <c r="K321" s="4"/>
      <c r="L321" s="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4"/>
      <c r="B322" s="4"/>
      <c r="C322" s="3" t="str">
        <f>IF(B322="","",VLOOKUP(B322,Customers!$A$5:$J$504,3,FALSE))</f>
        <v/>
      </c>
      <c r="D322" s="3" t="str">
        <f>IF(B322="","",VLOOKUP(B322,Customers!$A$5:$J$504,4,FALSE))</f>
        <v/>
      </c>
      <c r="E322" s="4"/>
      <c r="F322" s="28"/>
      <c r="G322" s="4"/>
      <c r="H322" s="32" t="str">
        <f>IF(A322="","",SUMIFS(Sales!$K$5:$K$504,Sales!$I$5:$I$504,A322,Sales!$L$5:$L$504,"Approved"))</f>
        <v/>
      </c>
      <c r="I322" s="32" t="str">
        <f>IF(A322="","",SUMIFS(Payouts!$G$5:$G$504,Payouts!$B$5:$B$504,A322,Payouts!$H$5:$H$504,"Paid"))</f>
        <v/>
      </c>
      <c r="J322" s="32" t="str">
        <f t="shared" si="4"/>
        <v/>
      </c>
      <c r="K322" s="4"/>
      <c r="L322" s="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4"/>
      <c r="B323" s="4"/>
      <c r="C323" s="3" t="str">
        <f>IF(B323="","",VLOOKUP(B323,Customers!$A$5:$J$504,3,FALSE))</f>
        <v/>
      </c>
      <c r="D323" s="3" t="str">
        <f>IF(B323="","",VLOOKUP(B323,Customers!$A$5:$J$504,4,FALSE))</f>
        <v/>
      </c>
      <c r="E323" s="4"/>
      <c r="F323" s="28"/>
      <c r="G323" s="4"/>
      <c r="H323" s="32" t="str">
        <f>IF(A323="","",SUMIFS(Sales!$K$5:$K$504,Sales!$I$5:$I$504,A323,Sales!$L$5:$L$504,"Approved"))</f>
        <v/>
      </c>
      <c r="I323" s="32" t="str">
        <f>IF(A323="","",SUMIFS(Payouts!$G$5:$G$504,Payouts!$B$5:$B$504,A323,Payouts!$H$5:$H$504,"Paid"))</f>
        <v/>
      </c>
      <c r="J323" s="32" t="str">
        <f t="shared" si="4"/>
        <v/>
      </c>
      <c r="K323" s="4"/>
      <c r="L323" s="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4"/>
      <c r="B324" s="4"/>
      <c r="C324" s="3" t="str">
        <f>IF(B324="","",VLOOKUP(B324,Customers!$A$5:$J$504,3,FALSE))</f>
        <v/>
      </c>
      <c r="D324" s="3" t="str">
        <f>IF(B324="","",VLOOKUP(B324,Customers!$A$5:$J$504,4,FALSE))</f>
        <v/>
      </c>
      <c r="E324" s="4"/>
      <c r="F324" s="28"/>
      <c r="G324" s="4"/>
      <c r="H324" s="32" t="str">
        <f>IF(A324="","",SUMIFS(Sales!$K$5:$K$504,Sales!$I$5:$I$504,A324,Sales!$L$5:$L$504,"Approved"))</f>
        <v/>
      </c>
      <c r="I324" s="32" t="str">
        <f>IF(A324="","",SUMIFS(Payouts!$G$5:$G$504,Payouts!$B$5:$B$504,A324,Payouts!$H$5:$H$504,"Paid"))</f>
        <v/>
      </c>
      <c r="J324" s="32" t="str">
        <f t="shared" si="4"/>
        <v/>
      </c>
      <c r="K324" s="4"/>
      <c r="L324" s="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4"/>
      <c r="B325" s="4"/>
      <c r="C325" s="3" t="str">
        <f>IF(B325="","",VLOOKUP(B325,Customers!$A$5:$J$504,3,FALSE))</f>
        <v/>
      </c>
      <c r="D325" s="3" t="str">
        <f>IF(B325="","",VLOOKUP(B325,Customers!$A$5:$J$504,4,FALSE))</f>
        <v/>
      </c>
      <c r="E325" s="4"/>
      <c r="F325" s="28"/>
      <c r="G325" s="4"/>
      <c r="H325" s="32" t="str">
        <f>IF(A325="","",SUMIFS(Sales!$K$5:$K$504,Sales!$I$5:$I$504,A325,Sales!$L$5:$L$504,"Approved"))</f>
        <v/>
      </c>
      <c r="I325" s="32" t="str">
        <f>IF(A325="","",SUMIFS(Payouts!$G$5:$G$504,Payouts!$B$5:$B$504,A325,Payouts!$H$5:$H$504,"Paid"))</f>
        <v/>
      </c>
      <c r="J325" s="32" t="str">
        <f t="shared" ref="J325:J388" si="5">IF(A325="","",H325-I325)</f>
        <v/>
      </c>
      <c r="K325" s="4"/>
      <c r="L325" s="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4"/>
      <c r="B326" s="4"/>
      <c r="C326" s="3" t="str">
        <f>IF(B326="","",VLOOKUP(B326,Customers!$A$5:$J$504,3,FALSE))</f>
        <v/>
      </c>
      <c r="D326" s="3" t="str">
        <f>IF(B326="","",VLOOKUP(B326,Customers!$A$5:$J$504,4,FALSE))</f>
        <v/>
      </c>
      <c r="E326" s="4"/>
      <c r="F326" s="28"/>
      <c r="G326" s="4"/>
      <c r="H326" s="32" t="str">
        <f>IF(A326="","",SUMIFS(Sales!$K$5:$K$504,Sales!$I$5:$I$504,A326,Sales!$L$5:$L$504,"Approved"))</f>
        <v/>
      </c>
      <c r="I326" s="32" t="str">
        <f>IF(A326="","",SUMIFS(Payouts!$G$5:$G$504,Payouts!$B$5:$B$504,A326,Payouts!$H$5:$H$504,"Paid"))</f>
        <v/>
      </c>
      <c r="J326" s="32" t="str">
        <f t="shared" si="5"/>
        <v/>
      </c>
      <c r="K326" s="4"/>
      <c r="L326" s="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4"/>
      <c r="B327" s="4"/>
      <c r="C327" s="3" t="str">
        <f>IF(B327="","",VLOOKUP(B327,Customers!$A$5:$J$504,3,FALSE))</f>
        <v/>
      </c>
      <c r="D327" s="3" t="str">
        <f>IF(B327="","",VLOOKUP(B327,Customers!$A$5:$J$504,4,FALSE))</f>
        <v/>
      </c>
      <c r="E327" s="4"/>
      <c r="F327" s="28"/>
      <c r="G327" s="4"/>
      <c r="H327" s="32" t="str">
        <f>IF(A327="","",SUMIFS(Sales!$K$5:$K$504,Sales!$I$5:$I$504,A327,Sales!$L$5:$L$504,"Approved"))</f>
        <v/>
      </c>
      <c r="I327" s="32" t="str">
        <f>IF(A327="","",SUMIFS(Payouts!$G$5:$G$504,Payouts!$B$5:$B$504,A327,Payouts!$H$5:$H$504,"Paid"))</f>
        <v/>
      </c>
      <c r="J327" s="32" t="str">
        <f t="shared" si="5"/>
        <v/>
      </c>
      <c r="K327" s="4"/>
      <c r="L327" s="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4"/>
      <c r="B328" s="4"/>
      <c r="C328" s="3" t="str">
        <f>IF(B328="","",VLOOKUP(B328,Customers!$A$5:$J$504,3,FALSE))</f>
        <v/>
      </c>
      <c r="D328" s="3" t="str">
        <f>IF(B328="","",VLOOKUP(B328,Customers!$A$5:$J$504,4,FALSE))</f>
        <v/>
      </c>
      <c r="E328" s="4"/>
      <c r="F328" s="28"/>
      <c r="G328" s="4"/>
      <c r="H328" s="32" t="str">
        <f>IF(A328="","",SUMIFS(Sales!$K$5:$K$504,Sales!$I$5:$I$504,A328,Sales!$L$5:$L$504,"Approved"))</f>
        <v/>
      </c>
      <c r="I328" s="32" t="str">
        <f>IF(A328="","",SUMIFS(Payouts!$G$5:$G$504,Payouts!$B$5:$B$504,A328,Payouts!$H$5:$H$504,"Paid"))</f>
        <v/>
      </c>
      <c r="J328" s="32" t="str">
        <f t="shared" si="5"/>
        <v/>
      </c>
      <c r="K328" s="4"/>
      <c r="L328" s="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4"/>
      <c r="B329" s="4"/>
      <c r="C329" s="3" t="str">
        <f>IF(B329="","",VLOOKUP(B329,Customers!$A$5:$J$504,3,FALSE))</f>
        <v/>
      </c>
      <c r="D329" s="3" t="str">
        <f>IF(B329="","",VLOOKUP(B329,Customers!$A$5:$J$504,4,FALSE))</f>
        <v/>
      </c>
      <c r="E329" s="4"/>
      <c r="F329" s="28"/>
      <c r="G329" s="4"/>
      <c r="H329" s="32" t="str">
        <f>IF(A329="","",SUMIFS(Sales!$K$5:$K$504,Sales!$I$5:$I$504,A329,Sales!$L$5:$L$504,"Approved"))</f>
        <v/>
      </c>
      <c r="I329" s="32" t="str">
        <f>IF(A329="","",SUMIFS(Payouts!$G$5:$G$504,Payouts!$B$5:$B$504,A329,Payouts!$H$5:$H$504,"Paid"))</f>
        <v/>
      </c>
      <c r="J329" s="32" t="str">
        <f t="shared" si="5"/>
        <v/>
      </c>
      <c r="K329" s="4"/>
      <c r="L329" s="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4"/>
      <c r="B330" s="4"/>
      <c r="C330" s="3" t="str">
        <f>IF(B330="","",VLOOKUP(B330,Customers!$A$5:$J$504,3,FALSE))</f>
        <v/>
      </c>
      <c r="D330" s="3" t="str">
        <f>IF(B330="","",VLOOKUP(B330,Customers!$A$5:$J$504,4,FALSE))</f>
        <v/>
      </c>
      <c r="E330" s="4"/>
      <c r="F330" s="28"/>
      <c r="G330" s="4"/>
      <c r="H330" s="32" t="str">
        <f>IF(A330="","",SUMIFS(Sales!$K$5:$K$504,Sales!$I$5:$I$504,A330,Sales!$L$5:$L$504,"Approved"))</f>
        <v/>
      </c>
      <c r="I330" s="32" t="str">
        <f>IF(A330="","",SUMIFS(Payouts!$G$5:$G$504,Payouts!$B$5:$B$504,A330,Payouts!$H$5:$H$504,"Paid"))</f>
        <v/>
      </c>
      <c r="J330" s="32" t="str">
        <f t="shared" si="5"/>
        <v/>
      </c>
      <c r="K330" s="4"/>
      <c r="L330" s="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4"/>
      <c r="B331" s="4"/>
      <c r="C331" s="3" t="str">
        <f>IF(B331="","",VLOOKUP(B331,Customers!$A$5:$J$504,3,FALSE))</f>
        <v/>
      </c>
      <c r="D331" s="3" t="str">
        <f>IF(B331="","",VLOOKUP(B331,Customers!$A$5:$J$504,4,FALSE))</f>
        <v/>
      </c>
      <c r="E331" s="4"/>
      <c r="F331" s="28"/>
      <c r="G331" s="4"/>
      <c r="H331" s="32" t="str">
        <f>IF(A331="","",SUMIFS(Sales!$K$5:$K$504,Sales!$I$5:$I$504,A331,Sales!$L$5:$L$504,"Approved"))</f>
        <v/>
      </c>
      <c r="I331" s="32" t="str">
        <f>IF(A331="","",SUMIFS(Payouts!$G$5:$G$504,Payouts!$B$5:$B$504,A331,Payouts!$H$5:$H$504,"Paid"))</f>
        <v/>
      </c>
      <c r="J331" s="32" t="str">
        <f t="shared" si="5"/>
        <v/>
      </c>
      <c r="K331" s="4"/>
      <c r="L331" s="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4"/>
      <c r="B332" s="4"/>
      <c r="C332" s="3" t="str">
        <f>IF(B332="","",VLOOKUP(B332,Customers!$A$5:$J$504,3,FALSE))</f>
        <v/>
      </c>
      <c r="D332" s="3" t="str">
        <f>IF(B332="","",VLOOKUP(B332,Customers!$A$5:$J$504,4,FALSE))</f>
        <v/>
      </c>
      <c r="E332" s="4"/>
      <c r="F332" s="28"/>
      <c r="G332" s="4"/>
      <c r="H332" s="32" t="str">
        <f>IF(A332="","",SUMIFS(Sales!$K$5:$K$504,Sales!$I$5:$I$504,A332,Sales!$L$5:$L$504,"Approved"))</f>
        <v/>
      </c>
      <c r="I332" s="32" t="str">
        <f>IF(A332="","",SUMIFS(Payouts!$G$5:$G$504,Payouts!$B$5:$B$504,A332,Payouts!$H$5:$H$504,"Paid"))</f>
        <v/>
      </c>
      <c r="J332" s="32" t="str">
        <f t="shared" si="5"/>
        <v/>
      </c>
      <c r="K332" s="4"/>
      <c r="L332" s="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4"/>
      <c r="B333" s="4"/>
      <c r="C333" s="3" t="str">
        <f>IF(B333="","",VLOOKUP(B333,Customers!$A$5:$J$504,3,FALSE))</f>
        <v/>
      </c>
      <c r="D333" s="3" t="str">
        <f>IF(B333="","",VLOOKUP(B333,Customers!$A$5:$J$504,4,FALSE))</f>
        <v/>
      </c>
      <c r="E333" s="4"/>
      <c r="F333" s="28"/>
      <c r="G333" s="4"/>
      <c r="H333" s="32" t="str">
        <f>IF(A333="","",SUMIFS(Sales!$K$5:$K$504,Sales!$I$5:$I$504,A333,Sales!$L$5:$L$504,"Approved"))</f>
        <v/>
      </c>
      <c r="I333" s="32" t="str">
        <f>IF(A333="","",SUMIFS(Payouts!$G$5:$G$504,Payouts!$B$5:$B$504,A333,Payouts!$H$5:$H$504,"Paid"))</f>
        <v/>
      </c>
      <c r="J333" s="32" t="str">
        <f t="shared" si="5"/>
        <v/>
      </c>
      <c r="K333" s="4"/>
      <c r="L333" s="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4"/>
      <c r="B334" s="4"/>
      <c r="C334" s="3" t="str">
        <f>IF(B334="","",VLOOKUP(B334,Customers!$A$5:$J$504,3,FALSE))</f>
        <v/>
      </c>
      <c r="D334" s="3" t="str">
        <f>IF(B334="","",VLOOKUP(B334,Customers!$A$5:$J$504,4,FALSE))</f>
        <v/>
      </c>
      <c r="E334" s="4"/>
      <c r="F334" s="28"/>
      <c r="G334" s="4"/>
      <c r="H334" s="32" t="str">
        <f>IF(A334="","",SUMIFS(Sales!$K$5:$K$504,Sales!$I$5:$I$504,A334,Sales!$L$5:$L$504,"Approved"))</f>
        <v/>
      </c>
      <c r="I334" s="32" t="str">
        <f>IF(A334="","",SUMIFS(Payouts!$G$5:$G$504,Payouts!$B$5:$B$504,A334,Payouts!$H$5:$H$504,"Paid"))</f>
        <v/>
      </c>
      <c r="J334" s="32" t="str">
        <f t="shared" si="5"/>
        <v/>
      </c>
      <c r="K334" s="4"/>
      <c r="L334" s="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4"/>
      <c r="B335" s="4"/>
      <c r="C335" s="3" t="str">
        <f>IF(B335="","",VLOOKUP(B335,Customers!$A$5:$J$504,3,FALSE))</f>
        <v/>
      </c>
      <c r="D335" s="3" t="str">
        <f>IF(B335="","",VLOOKUP(B335,Customers!$A$5:$J$504,4,FALSE))</f>
        <v/>
      </c>
      <c r="E335" s="4"/>
      <c r="F335" s="28"/>
      <c r="G335" s="4"/>
      <c r="H335" s="32" t="str">
        <f>IF(A335="","",SUMIFS(Sales!$K$5:$K$504,Sales!$I$5:$I$504,A335,Sales!$L$5:$L$504,"Approved"))</f>
        <v/>
      </c>
      <c r="I335" s="32" t="str">
        <f>IF(A335="","",SUMIFS(Payouts!$G$5:$G$504,Payouts!$B$5:$B$504,A335,Payouts!$H$5:$H$504,"Paid"))</f>
        <v/>
      </c>
      <c r="J335" s="32" t="str">
        <f t="shared" si="5"/>
        <v/>
      </c>
      <c r="K335" s="4"/>
      <c r="L335" s="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4"/>
      <c r="B336" s="4"/>
      <c r="C336" s="3" t="str">
        <f>IF(B336="","",VLOOKUP(B336,Customers!$A$5:$J$504,3,FALSE))</f>
        <v/>
      </c>
      <c r="D336" s="3" t="str">
        <f>IF(B336="","",VLOOKUP(B336,Customers!$A$5:$J$504,4,FALSE))</f>
        <v/>
      </c>
      <c r="E336" s="4"/>
      <c r="F336" s="28"/>
      <c r="G336" s="4"/>
      <c r="H336" s="32" t="str">
        <f>IF(A336="","",SUMIFS(Sales!$K$5:$K$504,Sales!$I$5:$I$504,A336,Sales!$L$5:$L$504,"Approved"))</f>
        <v/>
      </c>
      <c r="I336" s="32" t="str">
        <f>IF(A336="","",SUMIFS(Payouts!$G$5:$G$504,Payouts!$B$5:$B$504,A336,Payouts!$H$5:$H$504,"Paid"))</f>
        <v/>
      </c>
      <c r="J336" s="32" t="str">
        <f t="shared" si="5"/>
        <v/>
      </c>
      <c r="K336" s="4"/>
      <c r="L336" s="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4"/>
      <c r="B337" s="4"/>
      <c r="C337" s="3" t="str">
        <f>IF(B337="","",VLOOKUP(B337,Customers!$A$5:$J$504,3,FALSE))</f>
        <v/>
      </c>
      <c r="D337" s="3" t="str">
        <f>IF(B337="","",VLOOKUP(B337,Customers!$A$5:$J$504,4,FALSE))</f>
        <v/>
      </c>
      <c r="E337" s="4"/>
      <c r="F337" s="28"/>
      <c r="G337" s="4"/>
      <c r="H337" s="32" t="str">
        <f>IF(A337="","",SUMIFS(Sales!$K$5:$K$504,Sales!$I$5:$I$504,A337,Sales!$L$5:$L$504,"Approved"))</f>
        <v/>
      </c>
      <c r="I337" s="32" t="str">
        <f>IF(A337="","",SUMIFS(Payouts!$G$5:$G$504,Payouts!$B$5:$B$504,A337,Payouts!$H$5:$H$504,"Paid"))</f>
        <v/>
      </c>
      <c r="J337" s="32" t="str">
        <f t="shared" si="5"/>
        <v/>
      </c>
      <c r="K337" s="4"/>
      <c r="L337" s="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4"/>
      <c r="B338" s="4"/>
      <c r="C338" s="3" t="str">
        <f>IF(B338="","",VLOOKUP(B338,Customers!$A$5:$J$504,3,FALSE))</f>
        <v/>
      </c>
      <c r="D338" s="3" t="str">
        <f>IF(B338="","",VLOOKUP(B338,Customers!$A$5:$J$504,4,FALSE))</f>
        <v/>
      </c>
      <c r="E338" s="4"/>
      <c r="F338" s="28"/>
      <c r="G338" s="4"/>
      <c r="H338" s="32" t="str">
        <f>IF(A338="","",SUMIFS(Sales!$K$5:$K$504,Sales!$I$5:$I$504,A338,Sales!$L$5:$L$504,"Approved"))</f>
        <v/>
      </c>
      <c r="I338" s="32" t="str">
        <f>IF(A338="","",SUMIFS(Payouts!$G$5:$G$504,Payouts!$B$5:$B$504,A338,Payouts!$H$5:$H$504,"Paid"))</f>
        <v/>
      </c>
      <c r="J338" s="32" t="str">
        <f t="shared" si="5"/>
        <v/>
      </c>
      <c r="K338" s="4"/>
      <c r="L338" s="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4"/>
      <c r="B339" s="4"/>
      <c r="C339" s="3" t="str">
        <f>IF(B339="","",VLOOKUP(B339,Customers!$A$5:$J$504,3,FALSE))</f>
        <v/>
      </c>
      <c r="D339" s="3" t="str">
        <f>IF(B339="","",VLOOKUP(B339,Customers!$A$5:$J$504,4,FALSE))</f>
        <v/>
      </c>
      <c r="E339" s="4"/>
      <c r="F339" s="28"/>
      <c r="G339" s="4"/>
      <c r="H339" s="32" t="str">
        <f>IF(A339="","",SUMIFS(Sales!$K$5:$K$504,Sales!$I$5:$I$504,A339,Sales!$L$5:$L$504,"Approved"))</f>
        <v/>
      </c>
      <c r="I339" s="32" t="str">
        <f>IF(A339="","",SUMIFS(Payouts!$G$5:$G$504,Payouts!$B$5:$B$504,A339,Payouts!$H$5:$H$504,"Paid"))</f>
        <v/>
      </c>
      <c r="J339" s="32" t="str">
        <f t="shared" si="5"/>
        <v/>
      </c>
      <c r="K339" s="4"/>
      <c r="L339" s="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4"/>
      <c r="B340" s="4"/>
      <c r="C340" s="3" t="str">
        <f>IF(B340="","",VLOOKUP(B340,Customers!$A$5:$J$504,3,FALSE))</f>
        <v/>
      </c>
      <c r="D340" s="3" t="str">
        <f>IF(B340="","",VLOOKUP(B340,Customers!$A$5:$J$504,4,FALSE))</f>
        <v/>
      </c>
      <c r="E340" s="4"/>
      <c r="F340" s="28"/>
      <c r="G340" s="4"/>
      <c r="H340" s="32" t="str">
        <f>IF(A340="","",SUMIFS(Sales!$K$5:$K$504,Sales!$I$5:$I$504,A340,Sales!$L$5:$L$504,"Approved"))</f>
        <v/>
      </c>
      <c r="I340" s="32" t="str">
        <f>IF(A340="","",SUMIFS(Payouts!$G$5:$G$504,Payouts!$B$5:$B$504,A340,Payouts!$H$5:$H$504,"Paid"))</f>
        <v/>
      </c>
      <c r="J340" s="32" t="str">
        <f t="shared" si="5"/>
        <v/>
      </c>
      <c r="K340" s="4"/>
      <c r="L340" s="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4"/>
      <c r="B341" s="4"/>
      <c r="C341" s="3" t="str">
        <f>IF(B341="","",VLOOKUP(B341,Customers!$A$5:$J$504,3,FALSE))</f>
        <v/>
      </c>
      <c r="D341" s="3" t="str">
        <f>IF(B341="","",VLOOKUP(B341,Customers!$A$5:$J$504,4,FALSE))</f>
        <v/>
      </c>
      <c r="E341" s="4"/>
      <c r="F341" s="28"/>
      <c r="G341" s="4"/>
      <c r="H341" s="32" t="str">
        <f>IF(A341="","",SUMIFS(Sales!$K$5:$K$504,Sales!$I$5:$I$504,A341,Sales!$L$5:$L$504,"Approved"))</f>
        <v/>
      </c>
      <c r="I341" s="32" t="str">
        <f>IF(A341="","",SUMIFS(Payouts!$G$5:$G$504,Payouts!$B$5:$B$504,A341,Payouts!$H$5:$H$504,"Paid"))</f>
        <v/>
      </c>
      <c r="J341" s="32" t="str">
        <f t="shared" si="5"/>
        <v/>
      </c>
      <c r="K341" s="4"/>
      <c r="L341" s="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4"/>
      <c r="B342" s="4"/>
      <c r="C342" s="3" t="str">
        <f>IF(B342="","",VLOOKUP(B342,Customers!$A$5:$J$504,3,FALSE))</f>
        <v/>
      </c>
      <c r="D342" s="3" t="str">
        <f>IF(B342="","",VLOOKUP(B342,Customers!$A$5:$J$504,4,FALSE))</f>
        <v/>
      </c>
      <c r="E342" s="4"/>
      <c r="F342" s="28"/>
      <c r="G342" s="4"/>
      <c r="H342" s="32" t="str">
        <f>IF(A342="","",SUMIFS(Sales!$K$5:$K$504,Sales!$I$5:$I$504,A342,Sales!$L$5:$L$504,"Approved"))</f>
        <v/>
      </c>
      <c r="I342" s="32" t="str">
        <f>IF(A342="","",SUMIFS(Payouts!$G$5:$G$504,Payouts!$B$5:$B$504,A342,Payouts!$H$5:$H$504,"Paid"))</f>
        <v/>
      </c>
      <c r="J342" s="32" t="str">
        <f t="shared" si="5"/>
        <v/>
      </c>
      <c r="K342" s="4"/>
      <c r="L342" s="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4"/>
      <c r="B343" s="4"/>
      <c r="C343" s="3" t="str">
        <f>IF(B343="","",VLOOKUP(B343,Customers!$A$5:$J$504,3,FALSE))</f>
        <v/>
      </c>
      <c r="D343" s="3" t="str">
        <f>IF(B343="","",VLOOKUP(B343,Customers!$A$5:$J$504,4,FALSE))</f>
        <v/>
      </c>
      <c r="E343" s="4"/>
      <c r="F343" s="28"/>
      <c r="G343" s="4"/>
      <c r="H343" s="32" t="str">
        <f>IF(A343="","",SUMIFS(Sales!$K$5:$K$504,Sales!$I$5:$I$504,A343,Sales!$L$5:$L$504,"Approved"))</f>
        <v/>
      </c>
      <c r="I343" s="32" t="str">
        <f>IF(A343="","",SUMIFS(Payouts!$G$5:$G$504,Payouts!$B$5:$B$504,A343,Payouts!$H$5:$H$504,"Paid"))</f>
        <v/>
      </c>
      <c r="J343" s="32" t="str">
        <f t="shared" si="5"/>
        <v/>
      </c>
      <c r="K343" s="4"/>
      <c r="L343" s="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4"/>
      <c r="B344" s="4"/>
      <c r="C344" s="3" t="str">
        <f>IF(B344="","",VLOOKUP(B344,Customers!$A$5:$J$504,3,FALSE))</f>
        <v/>
      </c>
      <c r="D344" s="3" t="str">
        <f>IF(B344="","",VLOOKUP(B344,Customers!$A$5:$J$504,4,FALSE))</f>
        <v/>
      </c>
      <c r="E344" s="4"/>
      <c r="F344" s="28"/>
      <c r="G344" s="4"/>
      <c r="H344" s="32" t="str">
        <f>IF(A344="","",SUMIFS(Sales!$K$5:$K$504,Sales!$I$5:$I$504,A344,Sales!$L$5:$L$504,"Approved"))</f>
        <v/>
      </c>
      <c r="I344" s="32" t="str">
        <f>IF(A344="","",SUMIFS(Payouts!$G$5:$G$504,Payouts!$B$5:$B$504,A344,Payouts!$H$5:$H$504,"Paid"))</f>
        <v/>
      </c>
      <c r="J344" s="32" t="str">
        <f t="shared" si="5"/>
        <v/>
      </c>
      <c r="K344" s="4"/>
      <c r="L344" s="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4"/>
      <c r="B345" s="4"/>
      <c r="C345" s="3" t="str">
        <f>IF(B345="","",VLOOKUP(B345,Customers!$A$5:$J$504,3,FALSE))</f>
        <v/>
      </c>
      <c r="D345" s="3" t="str">
        <f>IF(B345="","",VLOOKUP(B345,Customers!$A$5:$J$504,4,FALSE))</f>
        <v/>
      </c>
      <c r="E345" s="4"/>
      <c r="F345" s="28"/>
      <c r="G345" s="4"/>
      <c r="H345" s="32" t="str">
        <f>IF(A345="","",SUMIFS(Sales!$K$5:$K$504,Sales!$I$5:$I$504,A345,Sales!$L$5:$L$504,"Approved"))</f>
        <v/>
      </c>
      <c r="I345" s="32" t="str">
        <f>IF(A345="","",SUMIFS(Payouts!$G$5:$G$504,Payouts!$B$5:$B$504,A345,Payouts!$H$5:$H$504,"Paid"))</f>
        <v/>
      </c>
      <c r="J345" s="32" t="str">
        <f t="shared" si="5"/>
        <v/>
      </c>
      <c r="K345" s="4"/>
      <c r="L345" s="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4"/>
      <c r="B346" s="4"/>
      <c r="C346" s="3" t="str">
        <f>IF(B346="","",VLOOKUP(B346,Customers!$A$5:$J$504,3,FALSE))</f>
        <v/>
      </c>
      <c r="D346" s="3" t="str">
        <f>IF(B346="","",VLOOKUP(B346,Customers!$A$5:$J$504,4,FALSE))</f>
        <v/>
      </c>
      <c r="E346" s="4"/>
      <c r="F346" s="28"/>
      <c r="G346" s="4"/>
      <c r="H346" s="32" t="str">
        <f>IF(A346="","",SUMIFS(Sales!$K$5:$K$504,Sales!$I$5:$I$504,A346,Sales!$L$5:$L$504,"Approved"))</f>
        <v/>
      </c>
      <c r="I346" s="32" t="str">
        <f>IF(A346="","",SUMIFS(Payouts!$G$5:$G$504,Payouts!$B$5:$B$504,A346,Payouts!$H$5:$H$504,"Paid"))</f>
        <v/>
      </c>
      <c r="J346" s="32" t="str">
        <f t="shared" si="5"/>
        <v/>
      </c>
      <c r="K346" s="4"/>
      <c r="L346" s="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4"/>
      <c r="B347" s="4"/>
      <c r="C347" s="3" t="str">
        <f>IF(B347="","",VLOOKUP(B347,Customers!$A$5:$J$504,3,FALSE))</f>
        <v/>
      </c>
      <c r="D347" s="3" t="str">
        <f>IF(B347="","",VLOOKUP(B347,Customers!$A$5:$J$504,4,FALSE))</f>
        <v/>
      </c>
      <c r="E347" s="4"/>
      <c r="F347" s="28"/>
      <c r="G347" s="4"/>
      <c r="H347" s="32" t="str">
        <f>IF(A347="","",SUMIFS(Sales!$K$5:$K$504,Sales!$I$5:$I$504,A347,Sales!$L$5:$L$504,"Approved"))</f>
        <v/>
      </c>
      <c r="I347" s="32" t="str">
        <f>IF(A347="","",SUMIFS(Payouts!$G$5:$G$504,Payouts!$B$5:$B$504,A347,Payouts!$H$5:$H$504,"Paid"))</f>
        <v/>
      </c>
      <c r="J347" s="32" t="str">
        <f t="shared" si="5"/>
        <v/>
      </c>
      <c r="K347" s="4"/>
      <c r="L347" s="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4"/>
      <c r="B348" s="4"/>
      <c r="C348" s="3" t="str">
        <f>IF(B348="","",VLOOKUP(B348,Customers!$A$5:$J$504,3,FALSE))</f>
        <v/>
      </c>
      <c r="D348" s="3" t="str">
        <f>IF(B348="","",VLOOKUP(B348,Customers!$A$5:$J$504,4,FALSE))</f>
        <v/>
      </c>
      <c r="E348" s="4"/>
      <c r="F348" s="28"/>
      <c r="G348" s="4"/>
      <c r="H348" s="32" t="str">
        <f>IF(A348="","",SUMIFS(Sales!$K$5:$K$504,Sales!$I$5:$I$504,A348,Sales!$L$5:$L$504,"Approved"))</f>
        <v/>
      </c>
      <c r="I348" s="32" t="str">
        <f>IF(A348="","",SUMIFS(Payouts!$G$5:$G$504,Payouts!$B$5:$B$504,A348,Payouts!$H$5:$H$504,"Paid"))</f>
        <v/>
      </c>
      <c r="J348" s="32" t="str">
        <f t="shared" si="5"/>
        <v/>
      </c>
      <c r="K348" s="4"/>
      <c r="L348" s="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4"/>
      <c r="B349" s="4"/>
      <c r="C349" s="3" t="str">
        <f>IF(B349="","",VLOOKUP(B349,Customers!$A$5:$J$504,3,FALSE))</f>
        <v/>
      </c>
      <c r="D349" s="3" t="str">
        <f>IF(B349="","",VLOOKUP(B349,Customers!$A$5:$J$504,4,FALSE))</f>
        <v/>
      </c>
      <c r="E349" s="4"/>
      <c r="F349" s="28"/>
      <c r="G349" s="4"/>
      <c r="H349" s="32" t="str">
        <f>IF(A349="","",SUMIFS(Sales!$K$5:$K$504,Sales!$I$5:$I$504,A349,Sales!$L$5:$L$504,"Approved"))</f>
        <v/>
      </c>
      <c r="I349" s="32" t="str">
        <f>IF(A349="","",SUMIFS(Payouts!$G$5:$G$504,Payouts!$B$5:$B$504,A349,Payouts!$H$5:$H$504,"Paid"))</f>
        <v/>
      </c>
      <c r="J349" s="32" t="str">
        <f t="shared" si="5"/>
        <v/>
      </c>
      <c r="K349" s="4"/>
      <c r="L349" s="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4"/>
      <c r="B350" s="4"/>
      <c r="C350" s="3" t="str">
        <f>IF(B350="","",VLOOKUP(B350,Customers!$A$5:$J$504,3,FALSE))</f>
        <v/>
      </c>
      <c r="D350" s="3" t="str">
        <f>IF(B350="","",VLOOKUP(B350,Customers!$A$5:$J$504,4,FALSE))</f>
        <v/>
      </c>
      <c r="E350" s="4"/>
      <c r="F350" s="28"/>
      <c r="G350" s="4"/>
      <c r="H350" s="32" t="str">
        <f>IF(A350="","",SUMIFS(Sales!$K$5:$K$504,Sales!$I$5:$I$504,A350,Sales!$L$5:$L$504,"Approved"))</f>
        <v/>
      </c>
      <c r="I350" s="32" t="str">
        <f>IF(A350="","",SUMIFS(Payouts!$G$5:$G$504,Payouts!$B$5:$B$504,A350,Payouts!$H$5:$H$504,"Paid"))</f>
        <v/>
      </c>
      <c r="J350" s="32" t="str">
        <f t="shared" si="5"/>
        <v/>
      </c>
      <c r="K350" s="4"/>
      <c r="L350" s="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4"/>
      <c r="B351" s="4"/>
      <c r="C351" s="3" t="str">
        <f>IF(B351="","",VLOOKUP(B351,Customers!$A$5:$J$504,3,FALSE))</f>
        <v/>
      </c>
      <c r="D351" s="3" t="str">
        <f>IF(B351="","",VLOOKUP(B351,Customers!$A$5:$J$504,4,FALSE))</f>
        <v/>
      </c>
      <c r="E351" s="4"/>
      <c r="F351" s="28"/>
      <c r="G351" s="4"/>
      <c r="H351" s="32" t="str">
        <f>IF(A351="","",SUMIFS(Sales!$K$5:$K$504,Sales!$I$5:$I$504,A351,Sales!$L$5:$L$504,"Approved"))</f>
        <v/>
      </c>
      <c r="I351" s="32" t="str">
        <f>IF(A351="","",SUMIFS(Payouts!$G$5:$G$504,Payouts!$B$5:$B$504,A351,Payouts!$H$5:$H$504,"Paid"))</f>
        <v/>
      </c>
      <c r="J351" s="32" t="str">
        <f t="shared" si="5"/>
        <v/>
      </c>
      <c r="K351" s="4"/>
      <c r="L351" s="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4"/>
      <c r="B352" s="4"/>
      <c r="C352" s="3" t="str">
        <f>IF(B352="","",VLOOKUP(B352,Customers!$A$5:$J$504,3,FALSE))</f>
        <v/>
      </c>
      <c r="D352" s="3" t="str">
        <f>IF(B352="","",VLOOKUP(B352,Customers!$A$5:$J$504,4,FALSE))</f>
        <v/>
      </c>
      <c r="E352" s="4"/>
      <c r="F352" s="28"/>
      <c r="G352" s="4"/>
      <c r="H352" s="32" t="str">
        <f>IF(A352="","",SUMIFS(Sales!$K$5:$K$504,Sales!$I$5:$I$504,A352,Sales!$L$5:$L$504,"Approved"))</f>
        <v/>
      </c>
      <c r="I352" s="32" t="str">
        <f>IF(A352="","",SUMIFS(Payouts!$G$5:$G$504,Payouts!$B$5:$B$504,A352,Payouts!$H$5:$H$504,"Paid"))</f>
        <v/>
      </c>
      <c r="J352" s="32" t="str">
        <f t="shared" si="5"/>
        <v/>
      </c>
      <c r="K352" s="4"/>
      <c r="L352" s="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4"/>
      <c r="B353" s="4"/>
      <c r="C353" s="3" t="str">
        <f>IF(B353="","",VLOOKUP(B353,Customers!$A$5:$J$504,3,FALSE))</f>
        <v/>
      </c>
      <c r="D353" s="3" t="str">
        <f>IF(B353="","",VLOOKUP(B353,Customers!$A$5:$J$504,4,FALSE))</f>
        <v/>
      </c>
      <c r="E353" s="4"/>
      <c r="F353" s="28"/>
      <c r="G353" s="4"/>
      <c r="H353" s="32" t="str">
        <f>IF(A353="","",SUMIFS(Sales!$K$5:$K$504,Sales!$I$5:$I$504,A353,Sales!$L$5:$L$504,"Approved"))</f>
        <v/>
      </c>
      <c r="I353" s="32" t="str">
        <f>IF(A353="","",SUMIFS(Payouts!$G$5:$G$504,Payouts!$B$5:$B$504,A353,Payouts!$H$5:$H$504,"Paid"))</f>
        <v/>
      </c>
      <c r="J353" s="32" t="str">
        <f t="shared" si="5"/>
        <v/>
      </c>
      <c r="K353" s="4"/>
      <c r="L353" s="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4"/>
      <c r="B354" s="4"/>
      <c r="C354" s="3" t="str">
        <f>IF(B354="","",VLOOKUP(B354,Customers!$A$5:$J$504,3,FALSE))</f>
        <v/>
      </c>
      <c r="D354" s="3" t="str">
        <f>IF(B354="","",VLOOKUP(B354,Customers!$A$5:$J$504,4,FALSE))</f>
        <v/>
      </c>
      <c r="E354" s="4"/>
      <c r="F354" s="28"/>
      <c r="G354" s="4"/>
      <c r="H354" s="32" t="str">
        <f>IF(A354="","",SUMIFS(Sales!$K$5:$K$504,Sales!$I$5:$I$504,A354,Sales!$L$5:$L$504,"Approved"))</f>
        <v/>
      </c>
      <c r="I354" s="32" t="str">
        <f>IF(A354="","",SUMIFS(Payouts!$G$5:$G$504,Payouts!$B$5:$B$504,A354,Payouts!$H$5:$H$504,"Paid"))</f>
        <v/>
      </c>
      <c r="J354" s="32" t="str">
        <f t="shared" si="5"/>
        <v/>
      </c>
      <c r="K354" s="4"/>
      <c r="L354" s="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4"/>
      <c r="B355" s="4"/>
      <c r="C355" s="3" t="str">
        <f>IF(B355="","",VLOOKUP(B355,Customers!$A$5:$J$504,3,FALSE))</f>
        <v/>
      </c>
      <c r="D355" s="3" t="str">
        <f>IF(B355="","",VLOOKUP(B355,Customers!$A$5:$J$504,4,FALSE))</f>
        <v/>
      </c>
      <c r="E355" s="4"/>
      <c r="F355" s="28"/>
      <c r="G355" s="4"/>
      <c r="H355" s="32" t="str">
        <f>IF(A355="","",SUMIFS(Sales!$K$5:$K$504,Sales!$I$5:$I$504,A355,Sales!$L$5:$L$504,"Approved"))</f>
        <v/>
      </c>
      <c r="I355" s="32" t="str">
        <f>IF(A355="","",SUMIFS(Payouts!$G$5:$G$504,Payouts!$B$5:$B$504,A355,Payouts!$H$5:$H$504,"Paid"))</f>
        <v/>
      </c>
      <c r="J355" s="32" t="str">
        <f t="shared" si="5"/>
        <v/>
      </c>
      <c r="K355" s="4"/>
      <c r="L355" s="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4"/>
      <c r="B356" s="4"/>
      <c r="C356" s="3" t="str">
        <f>IF(B356="","",VLOOKUP(B356,Customers!$A$5:$J$504,3,FALSE))</f>
        <v/>
      </c>
      <c r="D356" s="3" t="str">
        <f>IF(B356="","",VLOOKUP(B356,Customers!$A$5:$J$504,4,FALSE))</f>
        <v/>
      </c>
      <c r="E356" s="4"/>
      <c r="F356" s="28"/>
      <c r="G356" s="4"/>
      <c r="H356" s="32" t="str">
        <f>IF(A356="","",SUMIFS(Sales!$K$5:$K$504,Sales!$I$5:$I$504,A356,Sales!$L$5:$L$504,"Approved"))</f>
        <v/>
      </c>
      <c r="I356" s="32" t="str">
        <f>IF(A356="","",SUMIFS(Payouts!$G$5:$G$504,Payouts!$B$5:$B$504,A356,Payouts!$H$5:$H$504,"Paid"))</f>
        <v/>
      </c>
      <c r="J356" s="32" t="str">
        <f t="shared" si="5"/>
        <v/>
      </c>
      <c r="K356" s="4"/>
      <c r="L356" s="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4"/>
      <c r="B357" s="4"/>
      <c r="C357" s="3" t="str">
        <f>IF(B357="","",VLOOKUP(B357,Customers!$A$5:$J$504,3,FALSE))</f>
        <v/>
      </c>
      <c r="D357" s="3" t="str">
        <f>IF(B357="","",VLOOKUP(B357,Customers!$A$5:$J$504,4,FALSE))</f>
        <v/>
      </c>
      <c r="E357" s="4"/>
      <c r="F357" s="28"/>
      <c r="G357" s="4"/>
      <c r="H357" s="32" t="str">
        <f>IF(A357="","",SUMIFS(Sales!$K$5:$K$504,Sales!$I$5:$I$504,A357,Sales!$L$5:$L$504,"Approved"))</f>
        <v/>
      </c>
      <c r="I357" s="32" t="str">
        <f>IF(A357="","",SUMIFS(Payouts!$G$5:$G$504,Payouts!$B$5:$B$504,A357,Payouts!$H$5:$H$504,"Paid"))</f>
        <v/>
      </c>
      <c r="J357" s="32" t="str">
        <f t="shared" si="5"/>
        <v/>
      </c>
      <c r="K357" s="4"/>
      <c r="L357" s="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4"/>
      <c r="B358" s="4"/>
      <c r="C358" s="3" t="str">
        <f>IF(B358="","",VLOOKUP(B358,Customers!$A$5:$J$504,3,FALSE))</f>
        <v/>
      </c>
      <c r="D358" s="3" t="str">
        <f>IF(B358="","",VLOOKUP(B358,Customers!$A$5:$J$504,4,FALSE))</f>
        <v/>
      </c>
      <c r="E358" s="4"/>
      <c r="F358" s="28"/>
      <c r="G358" s="4"/>
      <c r="H358" s="32" t="str">
        <f>IF(A358="","",SUMIFS(Sales!$K$5:$K$504,Sales!$I$5:$I$504,A358,Sales!$L$5:$L$504,"Approved"))</f>
        <v/>
      </c>
      <c r="I358" s="32" t="str">
        <f>IF(A358="","",SUMIFS(Payouts!$G$5:$G$504,Payouts!$B$5:$B$504,A358,Payouts!$H$5:$H$504,"Paid"))</f>
        <v/>
      </c>
      <c r="J358" s="32" t="str">
        <f t="shared" si="5"/>
        <v/>
      </c>
      <c r="K358" s="4"/>
      <c r="L358" s="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4"/>
      <c r="B359" s="4"/>
      <c r="C359" s="3" t="str">
        <f>IF(B359="","",VLOOKUP(B359,Customers!$A$5:$J$504,3,FALSE))</f>
        <v/>
      </c>
      <c r="D359" s="3" t="str">
        <f>IF(B359="","",VLOOKUP(B359,Customers!$A$5:$J$504,4,FALSE))</f>
        <v/>
      </c>
      <c r="E359" s="4"/>
      <c r="F359" s="28"/>
      <c r="G359" s="4"/>
      <c r="H359" s="32" t="str">
        <f>IF(A359="","",SUMIFS(Sales!$K$5:$K$504,Sales!$I$5:$I$504,A359,Sales!$L$5:$L$504,"Approved"))</f>
        <v/>
      </c>
      <c r="I359" s="32" t="str">
        <f>IF(A359="","",SUMIFS(Payouts!$G$5:$G$504,Payouts!$B$5:$B$504,A359,Payouts!$H$5:$H$504,"Paid"))</f>
        <v/>
      </c>
      <c r="J359" s="32" t="str">
        <f t="shared" si="5"/>
        <v/>
      </c>
      <c r="K359" s="4"/>
      <c r="L359" s="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4"/>
      <c r="B360" s="4"/>
      <c r="C360" s="3" t="str">
        <f>IF(B360="","",VLOOKUP(B360,Customers!$A$5:$J$504,3,FALSE))</f>
        <v/>
      </c>
      <c r="D360" s="3" t="str">
        <f>IF(B360="","",VLOOKUP(B360,Customers!$A$5:$J$504,4,FALSE))</f>
        <v/>
      </c>
      <c r="E360" s="4"/>
      <c r="F360" s="28"/>
      <c r="G360" s="4"/>
      <c r="H360" s="32" t="str">
        <f>IF(A360="","",SUMIFS(Sales!$K$5:$K$504,Sales!$I$5:$I$504,A360,Sales!$L$5:$L$504,"Approved"))</f>
        <v/>
      </c>
      <c r="I360" s="32" t="str">
        <f>IF(A360="","",SUMIFS(Payouts!$G$5:$G$504,Payouts!$B$5:$B$504,A360,Payouts!$H$5:$H$504,"Paid"))</f>
        <v/>
      </c>
      <c r="J360" s="32" t="str">
        <f t="shared" si="5"/>
        <v/>
      </c>
      <c r="K360" s="4"/>
      <c r="L360" s="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4"/>
      <c r="B361" s="4"/>
      <c r="C361" s="3" t="str">
        <f>IF(B361="","",VLOOKUP(B361,Customers!$A$5:$J$504,3,FALSE))</f>
        <v/>
      </c>
      <c r="D361" s="3" t="str">
        <f>IF(B361="","",VLOOKUP(B361,Customers!$A$5:$J$504,4,FALSE))</f>
        <v/>
      </c>
      <c r="E361" s="4"/>
      <c r="F361" s="28"/>
      <c r="G361" s="4"/>
      <c r="H361" s="32" t="str">
        <f>IF(A361="","",SUMIFS(Sales!$K$5:$K$504,Sales!$I$5:$I$504,A361,Sales!$L$5:$L$504,"Approved"))</f>
        <v/>
      </c>
      <c r="I361" s="32" t="str">
        <f>IF(A361="","",SUMIFS(Payouts!$G$5:$G$504,Payouts!$B$5:$B$504,A361,Payouts!$H$5:$H$504,"Paid"))</f>
        <v/>
      </c>
      <c r="J361" s="32" t="str">
        <f t="shared" si="5"/>
        <v/>
      </c>
      <c r="K361" s="4"/>
      <c r="L361" s="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4"/>
      <c r="B362" s="4"/>
      <c r="C362" s="3" t="str">
        <f>IF(B362="","",VLOOKUP(B362,Customers!$A$5:$J$504,3,FALSE))</f>
        <v/>
      </c>
      <c r="D362" s="3" t="str">
        <f>IF(B362="","",VLOOKUP(B362,Customers!$A$5:$J$504,4,FALSE))</f>
        <v/>
      </c>
      <c r="E362" s="4"/>
      <c r="F362" s="28"/>
      <c r="G362" s="4"/>
      <c r="H362" s="32" t="str">
        <f>IF(A362="","",SUMIFS(Sales!$K$5:$K$504,Sales!$I$5:$I$504,A362,Sales!$L$5:$L$504,"Approved"))</f>
        <v/>
      </c>
      <c r="I362" s="32" t="str">
        <f>IF(A362="","",SUMIFS(Payouts!$G$5:$G$504,Payouts!$B$5:$B$504,A362,Payouts!$H$5:$H$504,"Paid"))</f>
        <v/>
      </c>
      <c r="J362" s="32" t="str">
        <f t="shared" si="5"/>
        <v/>
      </c>
      <c r="K362" s="4"/>
      <c r="L362" s="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4"/>
      <c r="B363" s="4"/>
      <c r="C363" s="3" t="str">
        <f>IF(B363="","",VLOOKUP(B363,Customers!$A$5:$J$504,3,FALSE))</f>
        <v/>
      </c>
      <c r="D363" s="3" t="str">
        <f>IF(B363="","",VLOOKUP(B363,Customers!$A$5:$J$504,4,FALSE))</f>
        <v/>
      </c>
      <c r="E363" s="4"/>
      <c r="F363" s="28"/>
      <c r="G363" s="4"/>
      <c r="H363" s="32" t="str">
        <f>IF(A363="","",SUMIFS(Sales!$K$5:$K$504,Sales!$I$5:$I$504,A363,Sales!$L$5:$L$504,"Approved"))</f>
        <v/>
      </c>
      <c r="I363" s="32" t="str">
        <f>IF(A363="","",SUMIFS(Payouts!$G$5:$G$504,Payouts!$B$5:$B$504,A363,Payouts!$H$5:$H$504,"Paid"))</f>
        <v/>
      </c>
      <c r="J363" s="32" t="str">
        <f t="shared" si="5"/>
        <v/>
      </c>
      <c r="K363" s="4"/>
      <c r="L363" s="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4"/>
      <c r="B364" s="4"/>
      <c r="C364" s="3" t="str">
        <f>IF(B364="","",VLOOKUP(B364,Customers!$A$5:$J$504,3,FALSE))</f>
        <v/>
      </c>
      <c r="D364" s="3" t="str">
        <f>IF(B364="","",VLOOKUP(B364,Customers!$A$5:$J$504,4,FALSE))</f>
        <v/>
      </c>
      <c r="E364" s="4"/>
      <c r="F364" s="28"/>
      <c r="G364" s="4"/>
      <c r="H364" s="32" t="str">
        <f>IF(A364="","",SUMIFS(Sales!$K$5:$K$504,Sales!$I$5:$I$504,A364,Sales!$L$5:$L$504,"Approved"))</f>
        <v/>
      </c>
      <c r="I364" s="32" t="str">
        <f>IF(A364="","",SUMIFS(Payouts!$G$5:$G$504,Payouts!$B$5:$B$504,A364,Payouts!$H$5:$H$504,"Paid"))</f>
        <v/>
      </c>
      <c r="J364" s="32" t="str">
        <f t="shared" si="5"/>
        <v/>
      </c>
      <c r="K364" s="4"/>
      <c r="L364" s="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4"/>
      <c r="B365" s="4"/>
      <c r="C365" s="3" t="str">
        <f>IF(B365="","",VLOOKUP(B365,Customers!$A$5:$J$504,3,FALSE))</f>
        <v/>
      </c>
      <c r="D365" s="3" t="str">
        <f>IF(B365="","",VLOOKUP(B365,Customers!$A$5:$J$504,4,FALSE))</f>
        <v/>
      </c>
      <c r="E365" s="4"/>
      <c r="F365" s="28"/>
      <c r="G365" s="4"/>
      <c r="H365" s="32" t="str">
        <f>IF(A365="","",SUMIFS(Sales!$K$5:$K$504,Sales!$I$5:$I$504,A365,Sales!$L$5:$L$504,"Approved"))</f>
        <v/>
      </c>
      <c r="I365" s="32" t="str">
        <f>IF(A365="","",SUMIFS(Payouts!$G$5:$G$504,Payouts!$B$5:$B$504,A365,Payouts!$H$5:$H$504,"Paid"))</f>
        <v/>
      </c>
      <c r="J365" s="32" t="str">
        <f t="shared" si="5"/>
        <v/>
      </c>
      <c r="K365" s="4"/>
      <c r="L365" s="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4"/>
      <c r="B366" s="4"/>
      <c r="C366" s="3" t="str">
        <f>IF(B366="","",VLOOKUP(B366,Customers!$A$5:$J$504,3,FALSE))</f>
        <v/>
      </c>
      <c r="D366" s="3" t="str">
        <f>IF(B366="","",VLOOKUP(B366,Customers!$A$5:$J$504,4,FALSE))</f>
        <v/>
      </c>
      <c r="E366" s="4"/>
      <c r="F366" s="28"/>
      <c r="G366" s="4"/>
      <c r="H366" s="32" t="str">
        <f>IF(A366="","",SUMIFS(Sales!$K$5:$K$504,Sales!$I$5:$I$504,A366,Sales!$L$5:$L$504,"Approved"))</f>
        <v/>
      </c>
      <c r="I366" s="32" t="str">
        <f>IF(A366="","",SUMIFS(Payouts!$G$5:$G$504,Payouts!$B$5:$B$504,A366,Payouts!$H$5:$H$504,"Paid"))</f>
        <v/>
      </c>
      <c r="J366" s="32" t="str">
        <f t="shared" si="5"/>
        <v/>
      </c>
      <c r="K366" s="4"/>
      <c r="L366" s="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4"/>
      <c r="B367" s="4"/>
      <c r="C367" s="3" t="str">
        <f>IF(B367="","",VLOOKUP(B367,Customers!$A$5:$J$504,3,FALSE))</f>
        <v/>
      </c>
      <c r="D367" s="3" t="str">
        <f>IF(B367="","",VLOOKUP(B367,Customers!$A$5:$J$504,4,FALSE))</f>
        <v/>
      </c>
      <c r="E367" s="4"/>
      <c r="F367" s="28"/>
      <c r="G367" s="4"/>
      <c r="H367" s="32" t="str">
        <f>IF(A367="","",SUMIFS(Sales!$K$5:$K$504,Sales!$I$5:$I$504,A367,Sales!$L$5:$L$504,"Approved"))</f>
        <v/>
      </c>
      <c r="I367" s="32" t="str">
        <f>IF(A367="","",SUMIFS(Payouts!$G$5:$G$504,Payouts!$B$5:$B$504,A367,Payouts!$H$5:$H$504,"Paid"))</f>
        <v/>
      </c>
      <c r="J367" s="32" t="str">
        <f t="shared" si="5"/>
        <v/>
      </c>
      <c r="K367" s="4"/>
      <c r="L367" s="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4"/>
      <c r="B368" s="4"/>
      <c r="C368" s="3" t="str">
        <f>IF(B368="","",VLOOKUP(B368,Customers!$A$5:$J$504,3,FALSE))</f>
        <v/>
      </c>
      <c r="D368" s="3" t="str">
        <f>IF(B368="","",VLOOKUP(B368,Customers!$A$5:$J$504,4,FALSE))</f>
        <v/>
      </c>
      <c r="E368" s="4"/>
      <c r="F368" s="28"/>
      <c r="G368" s="4"/>
      <c r="H368" s="32" t="str">
        <f>IF(A368="","",SUMIFS(Sales!$K$5:$K$504,Sales!$I$5:$I$504,A368,Sales!$L$5:$L$504,"Approved"))</f>
        <v/>
      </c>
      <c r="I368" s="32" t="str">
        <f>IF(A368="","",SUMIFS(Payouts!$G$5:$G$504,Payouts!$B$5:$B$504,A368,Payouts!$H$5:$H$504,"Paid"))</f>
        <v/>
      </c>
      <c r="J368" s="32" t="str">
        <f t="shared" si="5"/>
        <v/>
      </c>
      <c r="K368" s="4"/>
      <c r="L368" s="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4"/>
      <c r="B369" s="4"/>
      <c r="C369" s="3" t="str">
        <f>IF(B369="","",VLOOKUP(B369,Customers!$A$5:$J$504,3,FALSE))</f>
        <v/>
      </c>
      <c r="D369" s="3" t="str">
        <f>IF(B369="","",VLOOKUP(B369,Customers!$A$5:$J$504,4,FALSE))</f>
        <v/>
      </c>
      <c r="E369" s="4"/>
      <c r="F369" s="28"/>
      <c r="G369" s="4"/>
      <c r="H369" s="32" t="str">
        <f>IF(A369="","",SUMIFS(Sales!$K$5:$K$504,Sales!$I$5:$I$504,A369,Sales!$L$5:$L$504,"Approved"))</f>
        <v/>
      </c>
      <c r="I369" s="32" t="str">
        <f>IF(A369="","",SUMIFS(Payouts!$G$5:$G$504,Payouts!$B$5:$B$504,A369,Payouts!$H$5:$H$504,"Paid"))</f>
        <v/>
      </c>
      <c r="J369" s="32" t="str">
        <f t="shared" si="5"/>
        <v/>
      </c>
      <c r="K369" s="4"/>
      <c r="L369" s="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4"/>
      <c r="B370" s="4"/>
      <c r="C370" s="3" t="str">
        <f>IF(B370="","",VLOOKUP(B370,Customers!$A$5:$J$504,3,FALSE))</f>
        <v/>
      </c>
      <c r="D370" s="3" t="str">
        <f>IF(B370="","",VLOOKUP(B370,Customers!$A$5:$J$504,4,FALSE))</f>
        <v/>
      </c>
      <c r="E370" s="4"/>
      <c r="F370" s="28"/>
      <c r="G370" s="4"/>
      <c r="H370" s="32" t="str">
        <f>IF(A370="","",SUMIFS(Sales!$K$5:$K$504,Sales!$I$5:$I$504,A370,Sales!$L$5:$L$504,"Approved"))</f>
        <v/>
      </c>
      <c r="I370" s="32" t="str">
        <f>IF(A370="","",SUMIFS(Payouts!$G$5:$G$504,Payouts!$B$5:$B$504,A370,Payouts!$H$5:$H$504,"Paid"))</f>
        <v/>
      </c>
      <c r="J370" s="32" t="str">
        <f t="shared" si="5"/>
        <v/>
      </c>
      <c r="K370" s="4"/>
      <c r="L370" s="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4"/>
      <c r="B371" s="4"/>
      <c r="C371" s="3" t="str">
        <f>IF(B371="","",VLOOKUP(B371,Customers!$A$5:$J$504,3,FALSE))</f>
        <v/>
      </c>
      <c r="D371" s="3" t="str">
        <f>IF(B371="","",VLOOKUP(B371,Customers!$A$5:$J$504,4,FALSE))</f>
        <v/>
      </c>
      <c r="E371" s="4"/>
      <c r="F371" s="28"/>
      <c r="G371" s="4"/>
      <c r="H371" s="32" t="str">
        <f>IF(A371="","",SUMIFS(Sales!$K$5:$K$504,Sales!$I$5:$I$504,A371,Sales!$L$5:$L$504,"Approved"))</f>
        <v/>
      </c>
      <c r="I371" s="32" t="str">
        <f>IF(A371="","",SUMIFS(Payouts!$G$5:$G$504,Payouts!$B$5:$B$504,A371,Payouts!$H$5:$H$504,"Paid"))</f>
        <v/>
      </c>
      <c r="J371" s="32" t="str">
        <f t="shared" si="5"/>
        <v/>
      </c>
      <c r="K371" s="4"/>
      <c r="L371" s="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4"/>
      <c r="B372" s="4"/>
      <c r="C372" s="3" t="str">
        <f>IF(B372="","",VLOOKUP(B372,Customers!$A$5:$J$504,3,FALSE))</f>
        <v/>
      </c>
      <c r="D372" s="3" t="str">
        <f>IF(B372="","",VLOOKUP(B372,Customers!$A$5:$J$504,4,FALSE))</f>
        <v/>
      </c>
      <c r="E372" s="4"/>
      <c r="F372" s="28"/>
      <c r="G372" s="4"/>
      <c r="H372" s="32" t="str">
        <f>IF(A372="","",SUMIFS(Sales!$K$5:$K$504,Sales!$I$5:$I$504,A372,Sales!$L$5:$L$504,"Approved"))</f>
        <v/>
      </c>
      <c r="I372" s="32" t="str">
        <f>IF(A372="","",SUMIFS(Payouts!$G$5:$G$504,Payouts!$B$5:$B$504,A372,Payouts!$H$5:$H$504,"Paid"))</f>
        <v/>
      </c>
      <c r="J372" s="32" t="str">
        <f t="shared" si="5"/>
        <v/>
      </c>
      <c r="K372" s="4"/>
      <c r="L372" s="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4"/>
      <c r="B373" s="4"/>
      <c r="C373" s="3" t="str">
        <f>IF(B373="","",VLOOKUP(B373,Customers!$A$5:$J$504,3,FALSE))</f>
        <v/>
      </c>
      <c r="D373" s="3" t="str">
        <f>IF(B373="","",VLOOKUP(B373,Customers!$A$5:$J$504,4,FALSE))</f>
        <v/>
      </c>
      <c r="E373" s="4"/>
      <c r="F373" s="28"/>
      <c r="G373" s="4"/>
      <c r="H373" s="32" t="str">
        <f>IF(A373="","",SUMIFS(Sales!$K$5:$K$504,Sales!$I$5:$I$504,A373,Sales!$L$5:$L$504,"Approved"))</f>
        <v/>
      </c>
      <c r="I373" s="32" t="str">
        <f>IF(A373="","",SUMIFS(Payouts!$G$5:$G$504,Payouts!$B$5:$B$504,A373,Payouts!$H$5:$H$504,"Paid"))</f>
        <v/>
      </c>
      <c r="J373" s="32" t="str">
        <f t="shared" si="5"/>
        <v/>
      </c>
      <c r="K373" s="4"/>
      <c r="L373" s="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4"/>
      <c r="B374" s="4"/>
      <c r="C374" s="3" t="str">
        <f>IF(B374="","",VLOOKUP(B374,Customers!$A$5:$J$504,3,FALSE))</f>
        <v/>
      </c>
      <c r="D374" s="3" t="str">
        <f>IF(B374="","",VLOOKUP(B374,Customers!$A$5:$J$504,4,FALSE))</f>
        <v/>
      </c>
      <c r="E374" s="4"/>
      <c r="F374" s="28"/>
      <c r="G374" s="4"/>
      <c r="H374" s="32" t="str">
        <f>IF(A374="","",SUMIFS(Sales!$K$5:$K$504,Sales!$I$5:$I$504,A374,Sales!$L$5:$L$504,"Approved"))</f>
        <v/>
      </c>
      <c r="I374" s="32" t="str">
        <f>IF(A374="","",SUMIFS(Payouts!$G$5:$G$504,Payouts!$B$5:$B$504,A374,Payouts!$H$5:$H$504,"Paid"))</f>
        <v/>
      </c>
      <c r="J374" s="32" t="str">
        <f t="shared" si="5"/>
        <v/>
      </c>
      <c r="K374" s="4"/>
      <c r="L374" s="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4"/>
      <c r="B375" s="4"/>
      <c r="C375" s="3" t="str">
        <f>IF(B375="","",VLOOKUP(B375,Customers!$A$5:$J$504,3,FALSE))</f>
        <v/>
      </c>
      <c r="D375" s="3" t="str">
        <f>IF(B375="","",VLOOKUP(B375,Customers!$A$5:$J$504,4,FALSE))</f>
        <v/>
      </c>
      <c r="E375" s="4"/>
      <c r="F375" s="28"/>
      <c r="G375" s="4"/>
      <c r="H375" s="32" t="str">
        <f>IF(A375="","",SUMIFS(Sales!$K$5:$K$504,Sales!$I$5:$I$504,A375,Sales!$L$5:$L$504,"Approved"))</f>
        <v/>
      </c>
      <c r="I375" s="32" t="str">
        <f>IF(A375="","",SUMIFS(Payouts!$G$5:$G$504,Payouts!$B$5:$B$504,A375,Payouts!$H$5:$H$504,"Paid"))</f>
        <v/>
      </c>
      <c r="J375" s="32" t="str">
        <f t="shared" si="5"/>
        <v/>
      </c>
      <c r="K375" s="4"/>
      <c r="L375" s="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4"/>
      <c r="B376" s="4"/>
      <c r="C376" s="3" t="str">
        <f>IF(B376="","",VLOOKUP(B376,Customers!$A$5:$J$504,3,FALSE))</f>
        <v/>
      </c>
      <c r="D376" s="3" t="str">
        <f>IF(B376="","",VLOOKUP(B376,Customers!$A$5:$J$504,4,FALSE))</f>
        <v/>
      </c>
      <c r="E376" s="4"/>
      <c r="F376" s="28"/>
      <c r="G376" s="4"/>
      <c r="H376" s="32" t="str">
        <f>IF(A376="","",SUMIFS(Sales!$K$5:$K$504,Sales!$I$5:$I$504,A376,Sales!$L$5:$L$504,"Approved"))</f>
        <v/>
      </c>
      <c r="I376" s="32" t="str">
        <f>IF(A376="","",SUMIFS(Payouts!$G$5:$G$504,Payouts!$B$5:$B$504,A376,Payouts!$H$5:$H$504,"Paid"))</f>
        <v/>
      </c>
      <c r="J376" s="32" t="str">
        <f t="shared" si="5"/>
        <v/>
      </c>
      <c r="K376" s="4"/>
      <c r="L376" s="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4"/>
      <c r="B377" s="4"/>
      <c r="C377" s="3" t="str">
        <f>IF(B377="","",VLOOKUP(B377,Customers!$A$5:$J$504,3,FALSE))</f>
        <v/>
      </c>
      <c r="D377" s="3" t="str">
        <f>IF(B377="","",VLOOKUP(B377,Customers!$A$5:$J$504,4,FALSE))</f>
        <v/>
      </c>
      <c r="E377" s="4"/>
      <c r="F377" s="28"/>
      <c r="G377" s="4"/>
      <c r="H377" s="32" t="str">
        <f>IF(A377="","",SUMIFS(Sales!$K$5:$K$504,Sales!$I$5:$I$504,A377,Sales!$L$5:$L$504,"Approved"))</f>
        <v/>
      </c>
      <c r="I377" s="32" t="str">
        <f>IF(A377="","",SUMIFS(Payouts!$G$5:$G$504,Payouts!$B$5:$B$504,A377,Payouts!$H$5:$H$504,"Paid"))</f>
        <v/>
      </c>
      <c r="J377" s="32" t="str">
        <f t="shared" si="5"/>
        <v/>
      </c>
      <c r="K377" s="4"/>
      <c r="L377" s="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4"/>
      <c r="B378" s="4"/>
      <c r="C378" s="3" t="str">
        <f>IF(B378="","",VLOOKUP(B378,Customers!$A$5:$J$504,3,FALSE))</f>
        <v/>
      </c>
      <c r="D378" s="3" t="str">
        <f>IF(B378="","",VLOOKUP(B378,Customers!$A$5:$J$504,4,FALSE))</f>
        <v/>
      </c>
      <c r="E378" s="4"/>
      <c r="F378" s="28"/>
      <c r="G378" s="4"/>
      <c r="H378" s="32" t="str">
        <f>IF(A378="","",SUMIFS(Sales!$K$5:$K$504,Sales!$I$5:$I$504,A378,Sales!$L$5:$L$504,"Approved"))</f>
        <v/>
      </c>
      <c r="I378" s="32" t="str">
        <f>IF(A378="","",SUMIFS(Payouts!$G$5:$G$504,Payouts!$B$5:$B$504,A378,Payouts!$H$5:$H$504,"Paid"))</f>
        <v/>
      </c>
      <c r="J378" s="32" t="str">
        <f t="shared" si="5"/>
        <v/>
      </c>
      <c r="K378" s="4"/>
      <c r="L378" s="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4"/>
      <c r="B379" s="4"/>
      <c r="C379" s="3" t="str">
        <f>IF(B379="","",VLOOKUP(B379,Customers!$A$5:$J$504,3,FALSE))</f>
        <v/>
      </c>
      <c r="D379" s="3" t="str">
        <f>IF(B379="","",VLOOKUP(B379,Customers!$A$5:$J$504,4,FALSE))</f>
        <v/>
      </c>
      <c r="E379" s="4"/>
      <c r="F379" s="28"/>
      <c r="G379" s="4"/>
      <c r="H379" s="32" t="str">
        <f>IF(A379="","",SUMIFS(Sales!$K$5:$K$504,Sales!$I$5:$I$504,A379,Sales!$L$5:$L$504,"Approved"))</f>
        <v/>
      </c>
      <c r="I379" s="32" t="str">
        <f>IF(A379="","",SUMIFS(Payouts!$G$5:$G$504,Payouts!$B$5:$B$504,A379,Payouts!$H$5:$H$504,"Paid"))</f>
        <v/>
      </c>
      <c r="J379" s="32" t="str">
        <f t="shared" si="5"/>
        <v/>
      </c>
      <c r="K379" s="4"/>
      <c r="L379" s="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4"/>
      <c r="B380" s="4"/>
      <c r="C380" s="3" t="str">
        <f>IF(B380="","",VLOOKUP(B380,Customers!$A$5:$J$504,3,FALSE))</f>
        <v/>
      </c>
      <c r="D380" s="3" t="str">
        <f>IF(B380="","",VLOOKUP(B380,Customers!$A$5:$J$504,4,FALSE))</f>
        <v/>
      </c>
      <c r="E380" s="4"/>
      <c r="F380" s="28"/>
      <c r="G380" s="4"/>
      <c r="H380" s="32" t="str">
        <f>IF(A380="","",SUMIFS(Sales!$K$5:$K$504,Sales!$I$5:$I$504,A380,Sales!$L$5:$L$504,"Approved"))</f>
        <v/>
      </c>
      <c r="I380" s="32" t="str">
        <f>IF(A380="","",SUMIFS(Payouts!$G$5:$G$504,Payouts!$B$5:$B$504,A380,Payouts!$H$5:$H$504,"Paid"))</f>
        <v/>
      </c>
      <c r="J380" s="32" t="str">
        <f t="shared" si="5"/>
        <v/>
      </c>
      <c r="K380" s="4"/>
      <c r="L380" s="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4"/>
      <c r="B381" s="4"/>
      <c r="C381" s="3" t="str">
        <f>IF(B381="","",VLOOKUP(B381,Customers!$A$5:$J$504,3,FALSE))</f>
        <v/>
      </c>
      <c r="D381" s="3" t="str">
        <f>IF(B381="","",VLOOKUP(B381,Customers!$A$5:$J$504,4,FALSE))</f>
        <v/>
      </c>
      <c r="E381" s="4"/>
      <c r="F381" s="28"/>
      <c r="G381" s="4"/>
      <c r="H381" s="32" t="str">
        <f>IF(A381="","",SUMIFS(Sales!$K$5:$K$504,Sales!$I$5:$I$504,A381,Sales!$L$5:$L$504,"Approved"))</f>
        <v/>
      </c>
      <c r="I381" s="32" t="str">
        <f>IF(A381="","",SUMIFS(Payouts!$G$5:$G$504,Payouts!$B$5:$B$504,A381,Payouts!$H$5:$H$504,"Paid"))</f>
        <v/>
      </c>
      <c r="J381" s="32" t="str">
        <f t="shared" si="5"/>
        <v/>
      </c>
      <c r="K381" s="4"/>
      <c r="L381" s="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4"/>
      <c r="B382" s="4"/>
      <c r="C382" s="3" t="str">
        <f>IF(B382="","",VLOOKUP(B382,Customers!$A$5:$J$504,3,FALSE))</f>
        <v/>
      </c>
      <c r="D382" s="3" t="str">
        <f>IF(B382="","",VLOOKUP(B382,Customers!$A$5:$J$504,4,FALSE))</f>
        <v/>
      </c>
      <c r="E382" s="4"/>
      <c r="F382" s="28"/>
      <c r="G382" s="4"/>
      <c r="H382" s="32" t="str">
        <f>IF(A382="","",SUMIFS(Sales!$K$5:$K$504,Sales!$I$5:$I$504,A382,Sales!$L$5:$L$504,"Approved"))</f>
        <v/>
      </c>
      <c r="I382" s="32" t="str">
        <f>IF(A382="","",SUMIFS(Payouts!$G$5:$G$504,Payouts!$B$5:$B$504,A382,Payouts!$H$5:$H$504,"Paid"))</f>
        <v/>
      </c>
      <c r="J382" s="32" t="str">
        <f t="shared" si="5"/>
        <v/>
      </c>
      <c r="K382" s="4"/>
      <c r="L382" s="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4"/>
      <c r="B383" s="4"/>
      <c r="C383" s="3" t="str">
        <f>IF(B383="","",VLOOKUP(B383,Customers!$A$5:$J$504,3,FALSE))</f>
        <v/>
      </c>
      <c r="D383" s="3" t="str">
        <f>IF(B383="","",VLOOKUP(B383,Customers!$A$5:$J$504,4,FALSE))</f>
        <v/>
      </c>
      <c r="E383" s="4"/>
      <c r="F383" s="28"/>
      <c r="G383" s="4"/>
      <c r="H383" s="32" t="str">
        <f>IF(A383="","",SUMIFS(Sales!$K$5:$K$504,Sales!$I$5:$I$504,A383,Sales!$L$5:$L$504,"Approved"))</f>
        <v/>
      </c>
      <c r="I383" s="32" t="str">
        <f>IF(A383="","",SUMIFS(Payouts!$G$5:$G$504,Payouts!$B$5:$B$504,A383,Payouts!$H$5:$H$504,"Paid"))</f>
        <v/>
      </c>
      <c r="J383" s="32" t="str">
        <f t="shared" si="5"/>
        <v/>
      </c>
      <c r="K383" s="4"/>
      <c r="L383" s="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4"/>
      <c r="B384" s="4"/>
      <c r="C384" s="3" t="str">
        <f>IF(B384="","",VLOOKUP(B384,Customers!$A$5:$J$504,3,FALSE))</f>
        <v/>
      </c>
      <c r="D384" s="3" t="str">
        <f>IF(B384="","",VLOOKUP(B384,Customers!$A$5:$J$504,4,FALSE))</f>
        <v/>
      </c>
      <c r="E384" s="4"/>
      <c r="F384" s="28"/>
      <c r="G384" s="4"/>
      <c r="H384" s="32" t="str">
        <f>IF(A384="","",SUMIFS(Sales!$K$5:$K$504,Sales!$I$5:$I$504,A384,Sales!$L$5:$L$504,"Approved"))</f>
        <v/>
      </c>
      <c r="I384" s="32" t="str">
        <f>IF(A384="","",SUMIFS(Payouts!$G$5:$G$504,Payouts!$B$5:$B$504,A384,Payouts!$H$5:$H$504,"Paid"))</f>
        <v/>
      </c>
      <c r="J384" s="32" t="str">
        <f t="shared" si="5"/>
        <v/>
      </c>
      <c r="K384" s="4"/>
      <c r="L384" s="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4"/>
      <c r="B385" s="4"/>
      <c r="C385" s="3" t="str">
        <f>IF(B385="","",VLOOKUP(B385,Customers!$A$5:$J$504,3,FALSE))</f>
        <v/>
      </c>
      <c r="D385" s="3" t="str">
        <f>IF(B385="","",VLOOKUP(B385,Customers!$A$5:$J$504,4,FALSE))</f>
        <v/>
      </c>
      <c r="E385" s="4"/>
      <c r="F385" s="28"/>
      <c r="G385" s="4"/>
      <c r="H385" s="32" t="str">
        <f>IF(A385="","",SUMIFS(Sales!$K$5:$K$504,Sales!$I$5:$I$504,A385,Sales!$L$5:$L$504,"Approved"))</f>
        <v/>
      </c>
      <c r="I385" s="32" t="str">
        <f>IF(A385="","",SUMIFS(Payouts!$G$5:$G$504,Payouts!$B$5:$B$504,A385,Payouts!$H$5:$H$504,"Paid"))</f>
        <v/>
      </c>
      <c r="J385" s="32" t="str">
        <f t="shared" si="5"/>
        <v/>
      </c>
      <c r="K385" s="4"/>
      <c r="L385" s="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4"/>
      <c r="B386" s="4"/>
      <c r="C386" s="3" t="str">
        <f>IF(B386="","",VLOOKUP(B386,Customers!$A$5:$J$504,3,FALSE))</f>
        <v/>
      </c>
      <c r="D386" s="3" t="str">
        <f>IF(B386="","",VLOOKUP(B386,Customers!$A$5:$J$504,4,FALSE))</f>
        <v/>
      </c>
      <c r="E386" s="4"/>
      <c r="F386" s="28"/>
      <c r="G386" s="4"/>
      <c r="H386" s="32" t="str">
        <f>IF(A386="","",SUMIFS(Sales!$K$5:$K$504,Sales!$I$5:$I$504,A386,Sales!$L$5:$L$504,"Approved"))</f>
        <v/>
      </c>
      <c r="I386" s="32" t="str">
        <f>IF(A386="","",SUMIFS(Payouts!$G$5:$G$504,Payouts!$B$5:$B$504,A386,Payouts!$H$5:$H$504,"Paid"))</f>
        <v/>
      </c>
      <c r="J386" s="32" t="str">
        <f t="shared" si="5"/>
        <v/>
      </c>
      <c r="K386" s="4"/>
      <c r="L386" s="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4"/>
      <c r="B387" s="4"/>
      <c r="C387" s="3" t="str">
        <f>IF(B387="","",VLOOKUP(B387,Customers!$A$5:$J$504,3,FALSE))</f>
        <v/>
      </c>
      <c r="D387" s="3" t="str">
        <f>IF(B387="","",VLOOKUP(B387,Customers!$A$5:$J$504,4,FALSE))</f>
        <v/>
      </c>
      <c r="E387" s="4"/>
      <c r="F387" s="28"/>
      <c r="G387" s="4"/>
      <c r="H387" s="32" t="str">
        <f>IF(A387="","",SUMIFS(Sales!$K$5:$K$504,Sales!$I$5:$I$504,A387,Sales!$L$5:$L$504,"Approved"))</f>
        <v/>
      </c>
      <c r="I387" s="32" t="str">
        <f>IF(A387="","",SUMIFS(Payouts!$G$5:$G$504,Payouts!$B$5:$B$504,A387,Payouts!$H$5:$H$504,"Paid"))</f>
        <v/>
      </c>
      <c r="J387" s="32" t="str">
        <f t="shared" si="5"/>
        <v/>
      </c>
      <c r="K387" s="4"/>
      <c r="L387" s="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4"/>
      <c r="B388" s="4"/>
      <c r="C388" s="3" t="str">
        <f>IF(B388="","",VLOOKUP(B388,Customers!$A$5:$J$504,3,FALSE))</f>
        <v/>
      </c>
      <c r="D388" s="3" t="str">
        <f>IF(B388="","",VLOOKUP(B388,Customers!$A$5:$J$504,4,FALSE))</f>
        <v/>
      </c>
      <c r="E388" s="4"/>
      <c r="F388" s="28"/>
      <c r="G388" s="4"/>
      <c r="H388" s="32" t="str">
        <f>IF(A388="","",SUMIFS(Sales!$K$5:$K$504,Sales!$I$5:$I$504,A388,Sales!$L$5:$L$504,"Approved"))</f>
        <v/>
      </c>
      <c r="I388" s="32" t="str">
        <f>IF(A388="","",SUMIFS(Payouts!$G$5:$G$504,Payouts!$B$5:$B$504,A388,Payouts!$H$5:$H$504,"Paid"))</f>
        <v/>
      </c>
      <c r="J388" s="32" t="str">
        <f t="shared" si="5"/>
        <v/>
      </c>
      <c r="K388" s="4"/>
      <c r="L388" s="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4"/>
      <c r="B389" s="4"/>
      <c r="C389" s="3" t="str">
        <f>IF(B389="","",VLOOKUP(B389,Customers!$A$5:$J$504,3,FALSE))</f>
        <v/>
      </c>
      <c r="D389" s="3" t="str">
        <f>IF(B389="","",VLOOKUP(B389,Customers!$A$5:$J$504,4,FALSE))</f>
        <v/>
      </c>
      <c r="E389" s="4"/>
      <c r="F389" s="28"/>
      <c r="G389" s="4"/>
      <c r="H389" s="32" t="str">
        <f>IF(A389="","",SUMIFS(Sales!$K$5:$K$504,Sales!$I$5:$I$504,A389,Sales!$L$5:$L$504,"Approved"))</f>
        <v/>
      </c>
      <c r="I389" s="32" t="str">
        <f>IF(A389="","",SUMIFS(Payouts!$G$5:$G$504,Payouts!$B$5:$B$504,A389,Payouts!$H$5:$H$504,"Paid"))</f>
        <v/>
      </c>
      <c r="J389" s="32" t="str">
        <f t="shared" ref="J389:J452" si="6">IF(A389="","",H389-I389)</f>
        <v/>
      </c>
      <c r="K389" s="4"/>
      <c r="L389" s="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4"/>
      <c r="B390" s="4"/>
      <c r="C390" s="3" t="str">
        <f>IF(B390="","",VLOOKUP(B390,Customers!$A$5:$J$504,3,FALSE))</f>
        <v/>
      </c>
      <c r="D390" s="3" t="str">
        <f>IF(B390="","",VLOOKUP(B390,Customers!$A$5:$J$504,4,FALSE))</f>
        <v/>
      </c>
      <c r="E390" s="4"/>
      <c r="F390" s="28"/>
      <c r="G390" s="4"/>
      <c r="H390" s="32" t="str">
        <f>IF(A390="","",SUMIFS(Sales!$K$5:$K$504,Sales!$I$5:$I$504,A390,Sales!$L$5:$L$504,"Approved"))</f>
        <v/>
      </c>
      <c r="I390" s="32" t="str">
        <f>IF(A390="","",SUMIFS(Payouts!$G$5:$G$504,Payouts!$B$5:$B$504,A390,Payouts!$H$5:$H$504,"Paid"))</f>
        <v/>
      </c>
      <c r="J390" s="32" t="str">
        <f t="shared" si="6"/>
        <v/>
      </c>
      <c r="K390" s="4"/>
      <c r="L390" s="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4"/>
      <c r="B391" s="4"/>
      <c r="C391" s="3" t="str">
        <f>IF(B391="","",VLOOKUP(B391,Customers!$A$5:$J$504,3,FALSE))</f>
        <v/>
      </c>
      <c r="D391" s="3" t="str">
        <f>IF(B391="","",VLOOKUP(B391,Customers!$A$5:$J$504,4,FALSE))</f>
        <v/>
      </c>
      <c r="E391" s="4"/>
      <c r="F391" s="28"/>
      <c r="G391" s="4"/>
      <c r="H391" s="32" t="str">
        <f>IF(A391="","",SUMIFS(Sales!$K$5:$K$504,Sales!$I$5:$I$504,A391,Sales!$L$5:$L$504,"Approved"))</f>
        <v/>
      </c>
      <c r="I391" s="32" t="str">
        <f>IF(A391="","",SUMIFS(Payouts!$G$5:$G$504,Payouts!$B$5:$B$504,A391,Payouts!$H$5:$H$504,"Paid"))</f>
        <v/>
      </c>
      <c r="J391" s="32" t="str">
        <f t="shared" si="6"/>
        <v/>
      </c>
      <c r="K391" s="4"/>
      <c r="L391" s="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4"/>
      <c r="B392" s="4"/>
      <c r="C392" s="3" t="str">
        <f>IF(B392="","",VLOOKUP(B392,Customers!$A$5:$J$504,3,FALSE))</f>
        <v/>
      </c>
      <c r="D392" s="3" t="str">
        <f>IF(B392="","",VLOOKUP(B392,Customers!$A$5:$J$504,4,FALSE))</f>
        <v/>
      </c>
      <c r="E392" s="4"/>
      <c r="F392" s="28"/>
      <c r="G392" s="4"/>
      <c r="H392" s="32" t="str">
        <f>IF(A392="","",SUMIFS(Sales!$K$5:$K$504,Sales!$I$5:$I$504,A392,Sales!$L$5:$L$504,"Approved"))</f>
        <v/>
      </c>
      <c r="I392" s="32" t="str">
        <f>IF(A392="","",SUMIFS(Payouts!$G$5:$G$504,Payouts!$B$5:$B$504,A392,Payouts!$H$5:$H$504,"Paid"))</f>
        <v/>
      </c>
      <c r="J392" s="32" t="str">
        <f t="shared" si="6"/>
        <v/>
      </c>
      <c r="K392" s="4"/>
      <c r="L392" s="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4"/>
      <c r="B393" s="4"/>
      <c r="C393" s="3" t="str">
        <f>IF(B393="","",VLOOKUP(B393,Customers!$A$5:$J$504,3,FALSE))</f>
        <v/>
      </c>
      <c r="D393" s="3" t="str">
        <f>IF(B393="","",VLOOKUP(B393,Customers!$A$5:$J$504,4,FALSE))</f>
        <v/>
      </c>
      <c r="E393" s="4"/>
      <c r="F393" s="28"/>
      <c r="G393" s="4"/>
      <c r="H393" s="32" t="str">
        <f>IF(A393="","",SUMIFS(Sales!$K$5:$K$504,Sales!$I$5:$I$504,A393,Sales!$L$5:$L$504,"Approved"))</f>
        <v/>
      </c>
      <c r="I393" s="32" t="str">
        <f>IF(A393="","",SUMIFS(Payouts!$G$5:$G$504,Payouts!$B$5:$B$504,A393,Payouts!$H$5:$H$504,"Paid"))</f>
        <v/>
      </c>
      <c r="J393" s="32" t="str">
        <f t="shared" si="6"/>
        <v/>
      </c>
      <c r="K393" s="4"/>
      <c r="L393" s="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4"/>
      <c r="B394" s="4"/>
      <c r="C394" s="3" t="str">
        <f>IF(B394="","",VLOOKUP(B394,Customers!$A$5:$J$504,3,FALSE))</f>
        <v/>
      </c>
      <c r="D394" s="3" t="str">
        <f>IF(B394="","",VLOOKUP(B394,Customers!$A$5:$J$504,4,FALSE))</f>
        <v/>
      </c>
      <c r="E394" s="4"/>
      <c r="F394" s="28"/>
      <c r="G394" s="4"/>
      <c r="H394" s="32" t="str">
        <f>IF(A394="","",SUMIFS(Sales!$K$5:$K$504,Sales!$I$5:$I$504,A394,Sales!$L$5:$L$504,"Approved"))</f>
        <v/>
      </c>
      <c r="I394" s="32" t="str">
        <f>IF(A394="","",SUMIFS(Payouts!$G$5:$G$504,Payouts!$B$5:$B$504,A394,Payouts!$H$5:$H$504,"Paid"))</f>
        <v/>
      </c>
      <c r="J394" s="32" t="str">
        <f t="shared" si="6"/>
        <v/>
      </c>
      <c r="K394" s="4"/>
      <c r="L394" s="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4"/>
      <c r="B395" s="4"/>
      <c r="C395" s="3" t="str">
        <f>IF(B395="","",VLOOKUP(B395,Customers!$A$5:$J$504,3,FALSE))</f>
        <v/>
      </c>
      <c r="D395" s="3" t="str">
        <f>IF(B395="","",VLOOKUP(B395,Customers!$A$5:$J$504,4,FALSE))</f>
        <v/>
      </c>
      <c r="E395" s="4"/>
      <c r="F395" s="28"/>
      <c r="G395" s="4"/>
      <c r="H395" s="32" t="str">
        <f>IF(A395="","",SUMIFS(Sales!$K$5:$K$504,Sales!$I$5:$I$504,A395,Sales!$L$5:$L$504,"Approved"))</f>
        <v/>
      </c>
      <c r="I395" s="32" t="str">
        <f>IF(A395="","",SUMIFS(Payouts!$G$5:$G$504,Payouts!$B$5:$B$504,A395,Payouts!$H$5:$H$504,"Paid"))</f>
        <v/>
      </c>
      <c r="J395" s="32" t="str">
        <f t="shared" si="6"/>
        <v/>
      </c>
      <c r="K395" s="4"/>
      <c r="L395" s="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4"/>
      <c r="B396" s="4"/>
      <c r="C396" s="3" t="str">
        <f>IF(B396="","",VLOOKUP(B396,Customers!$A$5:$J$504,3,FALSE))</f>
        <v/>
      </c>
      <c r="D396" s="3" t="str">
        <f>IF(B396="","",VLOOKUP(B396,Customers!$A$5:$J$504,4,FALSE))</f>
        <v/>
      </c>
      <c r="E396" s="4"/>
      <c r="F396" s="28"/>
      <c r="G396" s="4"/>
      <c r="H396" s="32" t="str">
        <f>IF(A396="","",SUMIFS(Sales!$K$5:$K$504,Sales!$I$5:$I$504,A396,Sales!$L$5:$L$504,"Approved"))</f>
        <v/>
      </c>
      <c r="I396" s="32" t="str">
        <f>IF(A396="","",SUMIFS(Payouts!$G$5:$G$504,Payouts!$B$5:$B$504,A396,Payouts!$H$5:$H$504,"Paid"))</f>
        <v/>
      </c>
      <c r="J396" s="32" t="str">
        <f t="shared" si="6"/>
        <v/>
      </c>
      <c r="K396" s="4"/>
      <c r="L396" s="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4"/>
      <c r="B397" s="4"/>
      <c r="C397" s="3" t="str">
        <f>IF(B397="","",VLOOKUP(B397,Customers!$A$5:$J$504,3,FALSE))</f>
        <v/>
      </c>
      <c r="D397" s="3" t="str">
        <f>IF(B397="","",VLOOKUP(B397,Customers!$A$5:$J$504,4,FALSE))</f>
        <v/>
      </c>
      <c r="E397" s="4"/>
      <c r="F397" s="28"/>
      <c r="G397" s="4"/>
      <c r="H397" s="32" t="str">
        <f>IF(A397="","",SUMIFS(Sales!$K$5:$K$504,Sales!$I$5:$I$504,A397,Sales!$L$5:$L$504,"Approved"))</f>
        <v/>
      </c>
      <c r="I397" s="32" t="str">
        <f>IF(A397="","",SUMIFS(Payouts!$G$5:$G$504,Payouts!$B$5:$B$504,A397,Payouts!$H$5:$H$504,"Paid"))</f>
        <v/>
      </c>
      <c r="J397" s="32" t="str">
        <f t="shared" si="6"/>
        <v/>
      </c>
      <c r="K397" s="4"/>
      <c r="L397" s="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4"/>
      <c r="B398" s="4"/>
      <c r="C398" s="3" t="str">
        <f>IF(B398="","",VLOOKUP(B398,Customers!$A$5:$J$504,3,FALSE))</f>
        <v/>
      </c>
      <c r="D398" s="3" t="str">
        <f>IF(B398="","",VLOOKUP(B398,Customers!$A$5:$J$504,4,FALSE))</f>
        <v/>
      </c>
      <c r="E398" s="4"/>
      <c r="F398" s="28"/>
      <c r="G398" s="4"/>
      <c r="H398" s="32" t="str">
        <f>IF(A398="","",SUMIFS(Sales!$K$5:$K$504,Sales!$I$5:$I$504,A398,Sales!$L$5:$L$504,"Approved"))</f>
        <v/>
      </c>
      <c r="I398" s="32" t="str">
        <f>IF(A398="","",SUMIFS(Payouts!$G$5:$G$504,Payouts!$B$5:$B$504,A398,Payouts!$H$5:$H$504,"Paid"))</f>
        <v/>
      </c>
      <c r="J398" s="32" t="str">
        <f t="shared" si="6"/>
        <v/>
      </c>
      <c r="K398" s="4"/>
      <c r="L398" s="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4"/>
      <c r="B399" s="4"/>
      <c r="C399" s="3" t="str">
        <f>IF(B399="","",VLOOKUP(B399,Customers!$A$5:$J$504,3,FALSE))</f>
        <v/>
      </c>
      <c r="D399" s="3" t="str">
        <f>IF(B399="","",VLOOKUP(B399,Customers!$A$5:$J$504,4,FALSE))</f>
        <v/>
      </c>
      <c r="E399" s="4"/>
      <c r="F399" s="28"/>
      <c r="G399" s="4"/>
      <c r="H399" s="32" t="str">
        <f>IF(A399="","",SUMIFS(Sales!$K$5:$K$504,Sales!$I$5:$I$504,A399,Sales!$L$5:$L$504,"Approved"))</f>
        <v/>
      </c>
      <c r="I399" s="32" t="str">
        <f>IF(A399="","",SUMIFS(Payouts!$G$5:$G$504,Payouts!$B$5:$B$504,A399,Payouts!$H$5:$H$504,"Paid"))</f>
        <v/>
      </c>
      <c r="J399" s="32" t="str">
        <f t="shared" si="6"/>
        <v/>
      </c>
      <c r="K399" s="4"/>
      <c r="L399" s="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4"/>
      <c r="B400" s="4"/>
      <c r="C400" s="3" t="str">
        <f>IF(B400="","",VLOOKUP(B400,Customers!$A$5:$J$504,3,FALSE))</f>
        <v/>
      </c>
      <c r="D400" s="3" t="str">
        <f>IF(B400="","",VLOOKUP(B400,Customers!$A$5:$J$504,4,FALSE))</f>
        <v/>
      </c>
      <c r="E400" s="4"/>
      <c r="F400" s="28"/>
      <c r="G400" s="4"/>
      <c r="H400" s="32" t="str">
        <f>IF(A400="","",SUMIFS(Sales!$K$5:$K$504,Sales!$I$5:$I$504,A400,Sales!$L$5:$L$504,"Approved"))</f>
        <v/>
      </c>
      <c r="I400" s="32" t="str">
        <f>IF(A400="","",SUMIFS(Payouts!$G$5:$G$504,Payouts!$B$5:$B$504,A400,Payouts!$H$5:$H$504,"Paid"))</f>
        <v/>
      </c>
      <c r="J400" s="32" t="str">
        <f t="shared" si="6"/>
        <v/>
      </c>
      <c r="K400" s="4"/>
      <c r="L400" s="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4"/>
      <c r="B401" s="4"/>
      <c r="C401" s="3" t="str">
        <f>IF(B401="","",VLOOKUP(B401,Customers!$A$5:$J$504,3,FALSE))</f>
        <v/>
      </c>
      <c r="D401" s="3" t="str">
        <f>IF(B401="","",VLOOKUP(B401,Customers!$A$5:$J$504,4,FALSE))</f>
        <v/>
      </c>
      <c r="E401" s="4"/>
      <c r="F401" s="28"/>
      <c r="G401" s="4"/>
      <c r="H401" s="32" t="str">
        <f>IF(A401="","",SUMIFS(Sales!$K$5:$K$504,Sales!$I$5:$I$504,A401,Sales!$L$5:$L$504,"Approved"))</f>
        <v/>
      </c>
      <c r="I401" s="32" t="str">
        <f>IF(A401="","",SUMIFS(Payouts!$G$5:$G$504,Payouts!$B$5:$B$504,A401,Payouts!$H$5:$H$504,"Paid"))</f>
        <v/>
      </c>
      <c r="J401" s="32" t="str">
        <f t="shared" si="6"/>
        <v/>
      </c>
      <c r="K401" s="4"/>
      <c r="L401" s="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4"/>
      <c r="B402" s="4"/>
      <c r="C402" s="3" t="str">
        <f>IF(B402="","",VLOOKUP(B402,Customers!$A$5:$J$504,3,FALSE))</f>
        <v/>
      </c>
      <c r="D402" s="3" t="str">
        <f>IF(B402="","",VLOOKUP(B402,Customers!$A$5:$J$504,4,FALSE))</f>
        <v/>
      </c>
      <c r="E402" s="4"/>
      <c r="F402" s="28"/>
      <c r="G402" s="4"/>
      <c r="H402" s="32" t="str">
        <f>IF(A402="","",SUMIFS(Sales!$K$5:$K$504,Sales!$I$5:$I$504,A402,Sales!$L$5:$L$504,"Approved"))</f>
        <v/>
      </c>
      <c r="I402" s="32" t="str">
        <f>IF(A402="","",SUMIFS(Payouts!$G$5:$G$504,Payouts!$B$5:$B$504,A402,Payouts!$H$5:$H$504,"Paid"))</f>
        <v/>
      </c>
      <c r="J402" s="32" t="str">
        <f t="shared" si="6"/>
        <v/>
      </c>
      <c r="K402" s="4"/>
      <c r="L402" s="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4"/>
      <c r="B403" s="4"/>
      <c r="C403" s="3" t="str">
        <f>IF(B403="","",VLOOKUP(B403,Customers!$A$5:$J$504,3,FALSE))</f>
        <v/>
      </c>
      <c r="D403" s="3" t="str">
        <f>IF(B403="","",VLOOKUP(B403,Customers!$A$5:$J$504,4,FALSE))</f>
        <v/>
      </c>
      <c r="E403" s="4"/>
      <c r="F403" s="28"/>
      <c r="G403" s="4"/>
      <c r="H403" s="32" t="str">
        <f>IF(A403="","",SUMIFS(Sales!$K$5:$K$504,Sales!$I$5:$I$504,A403,Sales!$L$5:$L$504,"Approved"))</f>
        <v/>
      </c>
      <c r="I403" s="32" t="str">
        <f>IF(A403="","",SUMIFS(Payouts!$G$5:$G$504,Payouts!$B$5:$B$504,A403,Payouts!$H$5:$H$504,"Paid"))</f>
        <v/>
      </c>
      <c r="J403" s="32" t="str">
        <f t="shared" si="6"/>
        <v/>
      </c>
      <c r="K403" s="4"/>
      <c r="L403" s="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4"/>
      <c r="B404" s="4"/>
      <c r="C404" s="3" t="str">
        <f>IF(B404="","",VLOOKUP(B404,Customers!$A$5:$J$504,3,FALSE))</f>
        <v/>
      </c>
      <c r="D404" s="3" t="str">
        <f>IF(B404="","",VLOOKUP(B404,Customers!$A$5:$J$504,4,FALSE))</f>
        <v/>
      </c>
      <c r="E404" s="4"/>
      <c r="F404" s="28"/>
      <c r="G404" s="4"/>
      <c r="H404" s="32" t="str">
        <f>IF(A404="","",SUMIFS(Sales!$K$5:$K$504,Sales!$I$5:$I$504,A404,Sales!$L$5:$L$504,"Approved"))</f>
        <v/>
      </c>
      <c r="I404" s="32" t="str">
        <f>IF(A404="","",SUMIFS(Payouts!$G$5:$G$504,Payouts!$B$5:$B$504,A404,Payouts!$H$5:$H$504,"Paid"))</f>
        <v/>
      </c>
      <c r="J404" s="32" t="str">
        <f t="shared" si="6"/>
        <v/>
      </c>
      <c r="K404" s="4"/>
      <c r="L404" s="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4"/>
      <c r="B405" s="4"/>
      <c r="C405" s="3" t="str">
        <f>IF(B405="","",VLOOKUP(B405,Customers!$A$5:$J$504,3,FALSE))</f>
        <v/>
      </c>
      <c r="D405" s="3" t="str">
        <f>IF(B405="","",VLOOKUP(B405,Customers!$A$5:$J$504,4,FALSE))</f>
        <v/>
      </c>
      <c r="E405" s="4"/>
      <c r="F405" s="28"/>
      <c r="G405" s="4"/>
      <c r="H405" s="32" t="str">
        <f>IF(A405="","",SUMIFS(Sales!$K$5:$K$504,Sales!$I$5:$I$504,A405,Sales!$L$5:$L$504,"Approved"))</f>
        <v/>
      </c>
      <c r="I405" s="32" t="str">
        <f>IF(A405="","",SUMIFS(Payouts!$G$5:$G$504,Payouts!$B$5:$B$504,A405,Payouts!$H$5:$H$504,"Paid"))</f>
        <v/>
      </c>
      <c r="J405" s="32" t="str">
        <f t="shared" si="6"/>
        <v/>
      </c>
      <c r="K405" s="4"/>
      <c r="L405" s="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4"/>
      <c r="B406" s="4"/>
      <c r="C406" s="3" t="str">
        <f>IF(B406="","",VLOOKUP(B406,Customers!$A$5:$J$504,3,FALSE))</f>
        <v/>
      </c>
      <c r="D406" s="3" t="str">
        <f>IF(B406="","",VLOOKUP(B406,Customers!$A$5:$J$504,4,FALSE))</f>
        <v/>
      </c>
      <c r="E406" s="4"/>
      <c r="F406" s="28"/>
      <c r="G406" s="4"/>
      <c r="H406" s="32" t="str">
        <f>IF(A406="","",SUMIFS(Sales!$K$5:$K$504,Sales!$I$5:$I$504,A406,Sales!$L$5:$L$504,"Approved"))</f>
        <v/>
      </c>
      <c r="I406" s="32" t="str">
        <f>IF(A406="","",SUMIFS(Payouts!$G$5:$G$504,Payouts!$B$5:$B$504,A406,Payouts!$H$5:$H$504,"Paid"))</f>
        <v/>
      </c>
      <c r="J406" s="32" t="str">
        <f t="shared" si="6"/>
        <v/>
      </c>
      <c r="K406" s="4"/>
      <c r="L406" s="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4"/>
      <c r="B407" s="4"/>
      <c r="C407" s="3" t="str">
        <f>IF(B407="","",VLOOKUP(B407,Customers!$A$5:$J$504,3,FALSE))</f>
        <v/>
      </c>
      <c r="D407" s="3" t="str">
        <f>IF(B407="","",VLOOKUP(B407,Customers!$A$5:$J$504,4,FALSE))</f>
        <v/>
      </c>
      <c r="E407" s="4"/>
      <c r="F407" s="28"/>
      <c r="G407" s="4"/>
      <c r="H407" s="32" t="str">
        <f>IF(A407="","",SUMIFS(Sales!$K$5:$K$504,Sales!$I$5:$I$504,A407,Sales!$L$5:$L$504,"Approved"))</f>
        <v/>
      </c>
      <c r="I407" s="32" t="str">
        <f>IF(A407="","",SUMIFS(Payouts!$G$5:$G$504,Payouts!$B$5:$B$504,A407,Payouts!$H$5:$H$504,"Paid"))</f>
        <v/>
      </c>
      <c r="J407" s="32" t="str">
        <f t="shared" si="6"/>
        <v/>
      </c>
      <c r="K407" s="4"/>
      <c r="L407" s="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4"/>
      <c r="B408" s="4"/>
      <c r="C408" s="3" t="str">
        <f>IF(B408="","",VLOOKUP(B408,Customers!$A$5:$J$504,3,FALSE))</f>
        <v/>
      </c>
      <c r="D408" s="3" t="str">
        <f>IF(B408="","",VLOOKUP(B408,Customers!$A$5:$J$504,4,FALSE))</f>
        <v/>
      </c>
      <c r="E408" s="4"/>
      <c r="F408" s="28"/>
      <c r="G408" s="4"/>
      <c r="H408" s="32" t="str">
        <f>IF(A408="","",SUMIFS(Sales!$K$5:$K$504,Sales!$I$5:$I$504,A408,Sales!$L$5:$L$504,"Approved"))</f>
        <v/>
      </c>
      <c r="I408" s="32" t="str">
        <f>IF(A408="","",SUMIFS(Payouts!$G$5:$G$504,Payouts!$B$5:$B$504,A408,Payouts!$H$5:$H$504,"Paid"))</f>
        <v/>
      </c>
      <c r="J408" s="32" t="str">
        <f t="shared" si="6"/>
        <v/>
      </c>
      <c r="K408" s="4"/>
      <c r="L408" s="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4"/>
      <c r="B409" s="4"/>
      <c r="C409" s="3" t="str">
        <f>IF(B409="","",VLOOKUP(B409,Customers!$A$5:$J$504,3,FALSE))</f>
        <v/>
      </c>
      <c r="D409" s="3" t="str">
        <f>IF(B409="","",VLOOKUP(B409,Customers!$A$5:$J$504,4,FALSE))</f>
        <v/>
      </c>
      <c r="E409" s="4"/>
      <c r="F409" s="28"/>
      <c r="G409" s="4"/>
      <c r="H409" s="32" t="str">
        <f>IF(A409="","",SUMIFS(Sales!$K$5:$K$504,Sales!$I$5:$I$504,A409,Sales!$L$5:$L$504,"Approved"))</f>
        <v/>
      </c>
      <c r="I409" s="32" t="str">
        <f>IF(A409="","",SUMIFS(Payouts!$G$5:$G$504,Payouts!$B$5:$B$504,A409,Payouts!$H$5:$H$504,"Paid"))</f>
        <v/>
      </c>
      <c r="J409" s="32" t="str">
        <f t="shared" si="6"/>
        <v/>
      </c>
      <c r="K409" s="4"/>
      <c r="L409" s="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4"/>
      <c r="B410" s="4"/>
      <c r="C410" s="3" t="str">
        <f>IF(B410="","",VLOOKUP(B410,Customers!$A$5:$J$504,3,FALSE))</f>
        <v/>
      </c>
      <c r="D410" s="3" t="str">
        <f>IF(B410="","",VLOOKUP(B410,Customers!$A$5:$J$504,4,FALSE))</f>
        <v/>
      </c>
      <c r="E410" s="4"/>
      <c r="F410" s="28"/>
      <c r="G410" s="4"/>
      <c r="H410" s="32" t="str">
        <f>IF(A410="","",SUMIFS(Sales!$K$5:$K$504,Sales!$I$5:$I$504,A410,Sales!$L$5:$L$504,"Approved"))</f>
        <v/>
      </c>
      <c r="I410" s="32" t="str">
        <f>IF(A410="","",SUMIFS(Payouts!$G$5:$G$504,Payouts!$B$5:$B$504,A410,Payouts!$H$5:$H$504,"Paid"))</f>
        <v/>
      </c>
      <c r="J410" s="32" t="str">
        <f t="shared" si="6"/>
        <v/>
      </c>
      <c r="K410" s="4"/>
      <c r="L410" s="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4"/>
      <c r="B411" s="4"/>
      <c r="C411" s="3" t="str">
        <f>IF(B411="","",VLOOKUP(B411,Customers!$A$5:$J$504,3,FALSE))</f>
        <v/>
      </c>
      <c r="D411" s="3" t="str">
        <f>IF(B411="","",VLOOKUP(B411,Customers!$A$5:$J$504,4,FALSE))</f>
        <v/>
      </c>
      <c r="E411" s="4"/>
      <c r="F411" s="28"/>
      <c r="G411" s="4"/>
      <c r="H411" s="32" t="str">
        <f>IF(A411="","",SUMIFS(Sales!$K$5:$K$504,Sales!$I$5:$I$504,A411,Sales!$L$5:$L$504,"Approved"))</f>
        <v/>
      </c>
      <c r="I411" s="32" t="str">
        <f>IF(A411="","",SUMIFS(Payouts!$G$5:$G$504,Payouts!$B$5:$B$504,A411,Payouts!$H$5:$H$504,"Paid"))</f>
        <v/>
      </c>
      <c r="J411" s="32" t="str">
        <f t="shared" si="6"/>
        <v/>
      </c>
      <c r="K411" s="4"/>
      <c r="L411" s="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4"/>
      <c r="B412" s="4"/>
      <c r="C412" s="3" t="str">
        <f>IF(B412="","",VLOOKUP(B412,Customers!$A$5:$J$504,3,FALSE))</f>
        <v/>
      </c>
      <c r="D412" s="3" t="str">
        <f>IF(B412="","",VLOOKUP(B412,Customers!$A$5:$J$504,4,FALSE))</f>
        <v/>
      </c>
      <c r="E412" s="4"/>
      <c r="F412" s="28"/>
      <c r="G412" s="4"/>
      <c r="H412" s="32" t="str">
        <f>IF(A412="","",SUMIFS(Sales!$K$5:$K$504,Sales!$I$5:$I$504,A412,Sales!$L$5:$L$504,"Approved"))</f>
        <v/>
      </c>
      <c r="I412" s="32" t="str">
        <f>IF(A412="","",SUMIFS(Payouts!$G$5:$G$504,Payouts!$B$5:$B$504,A412,Payouts!$H$5:$H$504,"Paid"))</f>
        <v/>
      </c>
      <c r="J412" s="32" t="str">
        <f t="shared" si="6"/>
        <v/>
      </c>
      <c r="K412" s="4"/>
      <c r="L412" s="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4"/>
      <c r="B413" s="4"/>
      <c r="C413" s="3" t="str">
        <f>IF(B413="","",VLOOKUP(B413,Customers!$A$5:$J$504,3,FALSE))</f>
        <v/>
      </c>
      <c r="D413" s="3" t="str">
        <f>IF(B413="","",VLOOKUP(B413,Customers!$A$5:$J$504,4,FALSE))</f>
        <v/>
      </c>
      <c r="E413" s="4"/>
      <c r="F413" s="28"/>
      <c r="G413" s="4"/>
      <c r="H413" s="32" t="str">
        <f>IF(A413="","",SUMIFS(Sales!$K$5:$K$504,Sales!$I$5:$I$504,A413,Sales!$L$5:$L$504,"Approved"))</f>
        <v/>
      </c>
      <c r="I413" s="32" t="str">
        <f>IF(A413="","",SUMIFS(Payouts!$G$5:$G$504,Payouts!$B$5:$B$504,A413,Payouts!$H$5:$H$504,"Paid"))</f>
        <v/>
      </c>
      <c r="J413" s="32" t="str">
        <f t="shared" si="6"/>
        <v/>
      </c>
      <c r="K413" s="4"/>
      <c r="L413" s="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4"/>
      <c r="B414" s="4"/>
      <c r="C414" s="3" t="str">
        <f>IF(B414="","",VLOOKUP(B414,Customers!$A$5:$J$504,3,FALSE))</f>
        <v/>
      </c>
      <c r="D414" s="3" t="str">
        <f>IF(B414="","",VLOOKUP(B414,Customers!$A$5:$J$504,4,FALSE))</f>
        <v/>
      </c>
      <c r="E414" s="4"/>
      <c r="F414" s="28"/>
      <c r="G414" s="4"/>
      <c r="H414" s="32" t="str">
        <f>IF(A414="","",SUMIFS(Sales!$K$5:$K$504,Sales!$I$5:$I$504,A414,Sales!$L$5:$L$504,"Approved"))</f>
        <v/>
      </c>
      <c r="I414" s="32" t="str">
        <f>IF(A414="","",SUMIFS(Payouts!$G$5:$G$504,Payouts!$B$5:$B$504,A414,Payouts!$H$5:$H$504,"Paid"))</f>
        <v/>
      </c>
      <c r="J414" s="32" t="str">
        <f t="shared" si="6"/>
        <v/>
      </c>
      <c r="K414" s="4"/>
      <c r="L414" s="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4"/>
      <c r="B415" s="4"/>
      <c r="C415" s="3" t="str">
        <f>IF(B415="","",VLOOKUP(B415,Customers!$A$5:$J$504,3,FALSE))</f>
        <v/>
      </c>
      <c r="D415" s="3" t="str">
        <f>IF(B415="","",VLOOKUP(B415,Customers!$A$5:$J$504,4,FALSE))</f>
        <v/>
      </c>
      <c r="E415" s="4"/>
      <c r="F415" s="28"/>
      <c r="G415" s="4"/>
      <c r="H415" s="32" t="str">
        <f>IF(A415="","",SUMIFS(Sales!$K$5:$K$504,Sales!$I$5:$I$504,A415,Sales!$L$5:$L$504,"Approved"))</f>
        <v/>
      </c>
      <c r="I415" s="32" t="str">
        <f>IF(A415="","",SUMIFS(Payouts!$G$5:$G$504,Payouts!$B$5:$B$504,A415,Payouts!$H$5:$H$504,"Paid"))</f>
        <v/>
      </c>
      <c r="J415" s="32" t="str">
        <f t="shared" si="6"/>
        <v/>
      </c>
      <c r="K415" s="4"/>
      <c r="L415" s="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4"/>
      <c r="B416" s="4"/>
      <c r="C416" s="3" t="str">
        <f>IF(B416="","",VLOOKUP(B416,Customers!$A$5:$J$504,3,FALSE))</f>
        <v/>
      </c>
      <c r="D416" s="3" t="str">
        <f>IF(B416="","",VLOOKUP(B416,Customers!$A$5:$J$504,4,FALSE))</f>
        <v/>
      </c>
      <c r="E416" s="4"/>
      <c r="F416" s="28"/>
      <c r="G416" s="4"/>
      <c r="H416" s="32" t="str">
        <f>IF(A416="","",SUMIFS(Sales!$K$5:$K$504,Sales!$I$5:$I$504,A416,Sales!$L$5:$L$504,"Approved"))</f>
        <v/>
      </c>
      <c r="I416" s="32" t="str">
        <f>IF(A416="","",SUMIFS(Payouts!$G$5:$G$504,Payouts!$B$5:$B$504,A416,Payouts!$H$5:$H$504,"Paid"))</f>
        <v/>
      </c>
      <c r="J416" s="32" t="str">
        <f t="shared" si="6"/>
        <v/>
      </c>
      <c r="K416" s="4"/>
      <c r="L416" s="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4"/>
      <c r="B417" s="4"/>
      <c r="C417" s="3" t="str">
        <f>IF(B417="","",VLOOKUP(B417,Customers!$A$5:$J$504,3,FALSE))</f>
        <v/>
      </c>
      <c r="D417" s="3" t="str">
        <f>IF(B417="","",VLOOKUP(B417,Customers!$A$5:$J$504,4,FALSE))</f>
        <v/>
      </c>
      <c r="E417" s="4"/>
      <c r="F417" s="28"/>
      <c r="G417" s="4"/>
      <c r="H417" s="32" t="str">
        <f>IF(A417="","",SUMIFS(Sales!$K$5:$K$504,Sales!$I$5:$I$504,A417,Sales!$L$5:$L$504,"Approved"))</f>
        <v/>
      </c>
      <c r="I417" s="32" t="str">
        <f>IF(A417="","",SUMIFS(Payouts!$G$5:$G$504,Payouts!$B$5:$B$504,A417,Payouts!$H$5:$H$504,"Paid"))</f>
        <v/>
      </c>
      <c r="J417" s="32" t="str">
        <f t="shared" si="6"/>
        <v/>
      </c>
      <c r="K417" s="4"/>
      <c r="L417" s="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4"/>
      <c r="B418" s="4"/>
      <c r="C418" s="3" t="str">
        <f>IF(B418="","",VLOOKUP(B418,Customers!$A$5:$J$504,3,FALSE))</f>
        <v/>
      </c>
      <c r="D418" s="3" t="str">
        <f>IF(B418="","",VLOOKUP(B418,Customers!$A$5:$J$504,4,FALSE))</f>
        <v/>
      </c>
      <c r="E418" s="4"/>
      <c r="F418" s="28"/>
      <c r="G418" s="4"/>
      <c r="H418" s="32" t="str">
        <f>IF(A418="","",SUMIFS(Sales!$K$5:$K$504,Sales!$I$5:$I$504,A418,Sales!$L$5:$L$504,"Approved"))</f>
        <v/>
      </c>
      <c r="I418" s="32" t="str">
        <f>IF(A418="","",SUMIFS(Payouts!$G$5:$G$504,Payouts!$B$5:$B$504,A418,Payouts!$H$5:$H$504,"Paid"))</f>
        <v/>
      </c>
      <c r="J418" s="32" t="str">
        <f t="shared" si="6"/>
        <v/>
      </c>
      <c r="K418" s="4"/>
      <c r="L418" s="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4"/>
      <c r="B419" s="4"/>
      <c r="C419" s="3" t="str">
        <f>IF(B419="","",VLOOKUP(B419,Customers!$A$5:$J$504,3,FALSE))</f>
        <v/>
      </c>
      <c r="D419" s="3" t="str">
        <f>IF(B419="","",VLOOKUP(B419,Customers!$A$5:$J$504,4,FALSE))</f>
        <v/>
      </c>
      <c r="E419" s="4"/>
      <c r="F419" s="28"/>
      <c r="G419" s="4"/>
      <c r="H419" s="32" t="str">
        <f>IF(A419="","",SUMIFS(Sales!$K$5:$K$504,Sales!$I$5:$I$504,A419,Sales!$L$5:$L$504,"Approved"))</f>
        <v/>
      </c>
      <c r="I419" s="32" t="str">
        <f>IF(A419="","",SUMIFS(Payouts!$G$5:$G$504,Payouts!$B$5:$B$504,A419,Payouts!$H$5:$H$504,"Paid"))</f>
        <v/>
      </c>
      <c r="J419" s="32" t="str">
        <f t="shared" si="6"/>
        <v/>
      </c>
      <c r="K419" s="4"/>
      <c r="L419" s="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4"/>
      <c r="B420" s="4"/>
      <c r="C420" s="3" t="str">
        <f>IF(B420="","",VLOOKUP(B420,Customers!$A$5:$J$504,3,FALSE))</f>
        <v/>
      </c>
      <c r="D420" s="3" t="str">
        <f>IF(B420="","",VLOOKUP(B420,Customers!$A$5:$J$504,4,FALSE))</f>
        <v/>
      </c>
      <c r="E420" s="4"/>
      <c r="F420" s="28"/>
      <c r="G420" s="4"/>
      <c r="H420" s="32" t="str">
        <f>IF(A420="","",SUMIFS(Sales!$K$5:$K$504,Sales!$I$5:$I$504,A420,Sales!$L$5:$L$504,"Approved"))</f>
        <v/>
      </c>
      <c r="I420" s="32" t="str">
        <f>IF(A420="","",SUMIFS(Payouts!$G$5:$G$504,Payouts!$B$5:$B$504,A420,Payouts!$H$5:$H$504,"Paid"))</f>
        <v/>
      </c>
      <c r="J420" s="32" t="str">
        <f t="shared" si="6"/>
        <v/>
      </c>
      <c r="K420" s="4"/>
      <c r="L420" s="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4"/>
      <c r="B421" s="4"/>
      <c r="C421" s="3" t="str">
        <f>IF(B421="","",VLOOKUP(B421,Customers!$A$5:$J$504,3,FALSE))</f>
        <v/>
      </c>
      <c r="D421" s="3" t="str">
        <f>IF(B421="","",VLOOKUP(B421,Customers!$A$5:$J$504,4,FALSE))</f>
        <v/>
      </c>
      <c r="E421" s="4"/>
      <c r="F421" s="28"/>
      <c r="G421" s="4"/>
      <c r="H421" s="32" t="str">
        <f>IF(A421="","",SUMIFS(Sales!$K$5:$K$504,Sales!$I$5:$I$504,A421,Sales!$L$5:$L$504,"Approved"))</f>
        <v/>
      </c>
      <c r="I421" s="32" t="str">
        <f>IF(A421="","",SUMIFS(Payouts!$G$5:$G$504,Payouts!$B$5:$B$504,A421,Payouts!$H$5:$H$504,"Paid"))</f>
        <v/>
      </c>
      <c r="J421" s="32" t="str">
        <f t="shared" si="6"/>
        <v/>
      </c>
      <c r="K421" s="4"/>
      <c r="L421" s="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4"/>
      <c r="B422" s="4"/>
      <c r="C422" s="3" t="str">
        <f>IF(B422="","",VLOOKUP(B422,Customers!$A$5:$J$504,3,FALSE))</f>
        <v/>
      </c>
      <c r="D422" s="3" t="str">
        <f>IF(B422="","",VLOOKUP(B422,Customers!$A$5:$J$504,4,FALSE))</f>
        <v/>
      </c>
      <c r="E422" s="4"/>
      <c r="F422" s="28"/>
      <c r="G422" s="4"/>
      <c r="H422" s="32" t="str">
        <f>IF(A422="","",SUMIFS(Sales!$K$5:$K$504,Sales!$I$5:$I$504,A422,Sales!$L$5:$L$504,"Approved"))</f>
        <v/>
      </c>
      <c r="I422" s="32" t="str">
        <f>IF(A422="","",SUMIFS(Payouts!$G$5:$G$504,Payouts!$B$5:$B$504,A422,Payouts!$H$5:$H$504,"Paid"))</f>
        <v/>
      </c>
      <c r="J422" s="32" t="str">
        <f t="shared" si="6"/>
        <v/>
      </c>
      <c r="K422" s="4"/>
      <c r="L422" s="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4"/>
      <c r="B423" s="4"/>
      <c r="C423" s="3" t="str">
        <f>IF(B423="","",VLOOKUP(B423,Customers!$A$5:$J$504,3,FALSE))</f>
        <v/>
      </c>
      <c r="D423" s="3" t="str">
        <f>IF(B423="","",VLOOKUP(B423,Customers!$A$5:$J$504,4,FALSE))</f>
        <v/>
      </c>
      <c r="E423" s="4"/>
      <c r="F423" s="28"/>
      <c r="G423" s="4"/>
      <c r="H423" s="32" t="str">
        <f>IF(A423="","",SUMIFS(Sales!$K$5:$K$504,Sales!$I$5:$I$504,A423,Sales!$L$5:$L$504,"Approved"))</f>
        <v/>
      </c>
      <c r="I423" s="32" t="str">
        <f>IF(A423="","",SUMIFS(Payouts!$G$5:$G$504,Payouts!$B$5:$B$504,A423,Payouts!$H$5:$H$504,"Paid"))</f>
        <v/>
      </c>
      <c r="J423" s="32" t="str">
        <f t="shared" si="6"/>
        <v/>
      </c>
      <c r="K423" s="4"/>
      <c r="L423" s="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4"/>
      <c r="B424" s="4"/>
      <c r="C424" s="3" t="str">
        <f>IF(B424="","",VLOOKUP(B424,Customers!$A$5:$J$504,3,FALSE))</f>
        <v/>
      </c>
      <c r="D424" s="3" t="str">
        <f>IF(B424="","",VLOOKUP(B424,Customers!$A$5:$J$504,4,FALSE))</f>
        <v/>
      </c>
      <c r="E424" s="4"/>
      <c r="F424" s="28"/>
      <c r="G424" s="4"/>
      <c r="H424" s="32" t="str">
        <f>IF(A424="","",SUMIFS(Sales!$K$5:$K$504,Sales!$I$5:$I$504,A424,Sales!$L$5:$L$504,"Approved"))</f>
        <v/>
      </c>
      <c r="I424" s="32" t="str">
        <f>IF(A424="","",SUMIFS(Payouts!$G$5:$G$504,Payouts!$B$5:$B$504,A424,Payouts!$H$5:$H$504,"Paid"))</f>
        <v/>
      </c>
      <c r="J424" s="32" t="str">
        <f t="shared" si="6"/>
        <v/>
      </c>
      <c r="K424" s="4"/>
      <c r="L424" s="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4"/>
      <c r="B425" s="4"/>
      <c r="C425" s="3" t="str">
        <f>IF(B425="","",VLOOKUP(B425,Customers!$A$5:$J$504,3,FALSE))</f>
        <v/>
      </c>
      <c r="D425" s="3" t="str">
        <f>IF(B425="","",VLOOKUP(B425,Customers!$A$5:$J$504,4,FALSE))</f>
        <v/>
      </c>
      <c r="E425" s="4"/>
      <c r="F425" s="28"/>
      <c r="G425" s="4"/>
      <c r="H425" s="32" t="str">
        <f>IF(A425="","",SUMIFS(Sales!$K$5:$K$504,Sales!$I$5:$I$504,A425,Sales!$L$5:$L$504,"Approved"))</f>
        <v/>
      </c>
      <c r="I425" s="32" t="str">
        <f>IF(A425="","",SUMIFS(Payouts!$G$5:$G$504,Payouts!$B$5:$B$504,A425,Payouts!$H$5:$H$504,"Paid"))</f>
        <v/>
      </c>
      <c r="J425" s="32" t="str">
        <f t="shared" si="6"/>
        <v/>
      </c>
      <c r="K425" s="4"/>
      <c r="L425" s="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4"/>
      <c r="B426" s="4"/>
      <c r="C426" s="3" t="str">
        <f>IF(B426="","",VLOOKUP(B426,Customers!$A$5:$J$504,3,FALSE))</f>
        <v/>
      </c>
      <c r="D426" s="3" t="str">
        <f>IF(B426="","",VLOOKUP(B426,Customers!$A$5:$J$504,4,FALSE))</f>
        <v/>
      </c>
      <c r="E426" s="4"/>
      <c r="F426" s="28"/>
      <c r="G426" s="4"/>
      <c r="H426" s="32" t="str">
        <f>IF(A426="","",SUMIFS(Sales!$K$5:$K$504,Sales!$I$5:$I$504,A426,Sales!$L$5:$L$504,"Approved"))</f>
        <v/>
      </c>
      <c r="I426" s="32" t="str">
        <f>IF(A426="","",SUMIFS(Payouts!$G$5:$G$504,Payouts!$B$5:$B$504,A426,Payouts!$H$5:$H$504,"Paid"))</f>
        <v/>
      </c>
      <c r="J426" s="32" t="str">
        <f t="shared" si="6"/>
        <v/>
      </c>
      <c r="K426" s="4"/>
      <c r="L426" s="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4"/>
      <c r="B427" s="4"/>
      <c r="C427" s="3" t="str">
        <f>IF(B427="","",VLOOKUP(B427,Customers!$A$5:$J$504,3,FALSE))</f>
        <v/>
      </c>
      <c r="D427" s="3" t="str">
        <f>IF(B427="","",VLOOKUP(B427,Customers!$A$5:$J$504,4,FALSE))</f>
        <v/>
      </c>
      <c r="E427" s="4"/>
      <c r="F427" s="28"/>
      <c r="G427" s="4"/>
      <c r="H427" s="32" t="str">
        <f>IF(A427="","",SUMIFS(Sales!$K$5:$K$504,Sales!$I$5:$I$504,A427,Sales!$L$5:$L$504,"Approved"))</f>
        <v/>
      </c>
      <c r="I427" s="32" t="str">
        <f>IF(A427="","",SUMIFS(Payouts!$G$5:$G$504,Payouts!$B$5:$B$504,A427,Payouts!$H$5:$H$504,"Paid"))</f>
        <v/>
      </c>
      <c r="J427" s="32" t="str">
        <f t="shared" si="6"/>
        <v/>
      </c>
      <c r="K427" s="4"/>
      <c r="L427" s="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4"/>
      <c r="B428" s="4"/>
      <c r="C428" s="3" t="str">
        <f>IF(B428="","",VLOOKUP(B428,Customers!$A$5:$J$504,3,FALSE))</f>
        <v/>
      </c>
      <c r="D428" s="3" t="str">
        <f>IF(B428="","",VLOOKUP(B428,Customers!$A$5:$J$504,4,FALSE))</f>
        <v/>
      </c>
      <c r="E428" s="4"/>
      <c r="F428" s="28"/>
      <c r="G428" s="4"/>
      <c r="H428" s="32" t="str">
        <f>IF(A428="","",SUMIFS(Sales!$K$5:$K$504,Sales!$I$5:$I$504,A428,Sales!$L$5:$L$504,"Approved"))</f>
        <v/>
      </c>
      <c r="I428" s="32" t="str">
        <f>IF(A428="","",SUMIFS(Payouts!$G$5:$G$504,Payouts!$B$5:$B$504,A428,Payouts!$H$5:$H$504,"Paid"))</f>
        <v/>
      </c>
      <c r="J428" s="32" t="str">
        <f t="shared" si="6"/>
        <v/>
      </c>
      <c r="K428" s="4"/>
      <c r="L428" s="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4"/>
      <c r="B429" s="4"/>
      <c r="C429" s="3" t="str">
        <f>IF(B429="","",VLOOKUP(B429,Customers!$A$5:$J$504,3,FALSE))</f>
        <v/>
      </c>
      <c r="D429" s="3" t="str">
        <f>IF(B429="","",VLOOKUP(B429,Customers!$A$5:$J$504,4,FALSE))</f>
        <v/>
      </c>
      <c r="E429" s="4"/>
      <c r="F429" s="28"/>
      <c r="G429" s="4"/>
      <c r="H429" s="32" t="str">
        <f>IF(A429="","",SUMIFS(Sales!$K$5:$K$504,Sales!$I$5:$I$504,A429,Sales!$L$5:$L$504,"Approved"))</f>
        <v/>
      </c>
      <c r="I429" s="32" t="str">
        <f>IF(A429="","",SUMIFS(Payouts!$G$5:$G$504,Payouts!$B$5:$B$504,A429,Payouts!$H$5:$H$504,"Paid"))</f>
        <v/>
      </c>
      <c r="J429" s="32" t="str">
        <f t="shared" si="6"/>
        <v/>
      </c>
      <c r="K429" s="4"/>
      <c r="L429" s="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4"/>
      <c r="B430" s="4"/>
      <c r="C430" s="3" t="str">
        <f>IF(B430="","",VLOOKUP(B430,Customers!$A$5:$J$504,3,FALSE))</f>
        <v/>
      </c>
      <c r="D430" s="3" t="str">
        <f>IF(B430="","",VLOOKUP(B430,Customers!$A$5:$J$504,4,FALSE))</f>
        <v/>
      </c>
      <c r="E430" s="4"/>
      <c r="F430" s="28"/>
      <c r="G430" s="4"/>
      <c r="H430" s="32" t="str">
        <f>IF(A430="","",SUMIFS(Sales!$K$5:$K$504,Sales!$I$5:$I$504,A430,Sales!$L$5:$L$504,"Approved"))</f>
        <v/>
      </c>
      <c r="I430" s="32" t="str">
        <f>IF(A430="","",SUMIFS(Payouts!$G$5:$G$504,Payouts!$B$5:$B$504,A430,Payouts!$H$5:$H$504,"Paid"))</f>
        <v/>
      </c>
      <c r="J430" s="32" t="str">
        <f t="shared" si="6"/>
        <v/>
      </c>
      <c r="K430" s="4"/>
      <c r="L430" s="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4"/>
      <c r="B431" s="4"/>
      <c r="C431" s="3" t="str">
        <f>IF(B431="","",VLOOKUP(B431,Customers!$A$5:$J$504,3,FALSE))</f>
        <v/>
      </c>
      <c r="D431" s="3" t="str">
        <f>IF(B431="","",VLOOKUP(B431,Customers!$A$5:$J$504,4,FALSE))</f>
        <v/>
      </c>
      <c r="E431" s="4"/>
      <c r="F431" s="28"/>
      <c r="G431" s="4"/>
      <c r="H431" s="32" t="str">
        <f>IF(A431="","",SUMIFS(Sales!$K$5:$K$504,Sales!$I$5:$I$504,A431,Sales!$L$5:$L$504,"Approved"))</f>
        <v/>
      </c>
      <c r="I431" s="32" t="str">
        <f>IF(A431="","",SUMIFS(Payouts!$G$5:$G$504,Payouts!$B$5:$B$504,A431,Payouts!$H$5:$H$504,"Paid"))</f>
        <v/>
      </c>
      <c r="J431" s="32" t="str">
        <f t="shared" si="6"/>
        <v/>
      </c>
      <c r="K431" s="4"/>
      <c r="L431" s="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4"/>
      <c r="B432" s="4"/>
      <c r="C432" s="3" t="str">
        <f>IF(B432="","",VLOOKUP(B432,Customers!$A$5:$J$504,3,FALSE))</f>
        <v/>
      </c>
      <c r="D432" s="3" t="str">
        <f>IF(B432="","",VLOOKUP(B432,Customers!$A$5:$J$504,4,FALSE))</f>
        <v/>
      </c>
      <c r="E432" s="4"/>
      <c r="F432" s="28"/>
      <c r="G432" s="4"/>
      <c r="H432" s="32" t="str">
        <f>IF(A432="","",SUMIFS(Sales!$K$5:$K$504,Sales!$I$5:$I$504,A432,Sales!$L$5:$L$504,"Approved"))</f>
        <v/>
      </c>
      <c r="I432" s="32" t="str">
        <f>IF(A432="","",SUMIFS(Payouts!$G$5:$G$504,Payouts!$B$5:$B$504,A432,Payouts!$H$5:$H$504,"Paid"))</f>
        <v/>
      </c>
      <c r="J432" s="32" t="str">
        <f t="shared" si="6"/>
        <v/>
      </c>
      <c r="K432" s="4"/>
      <c r="L432" s="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4"/>
      <c r="B433" s="4"/>
      <c r="C433" s="3" t="str">
        <f>IF(B433="","",VLOOKUP(B433,Customers!$A$5:$J$504,3,FALSE))</f>
        <v/>
      </c>
      <c r="D433" s="3" t="str">
        <f>IF(B433="","",VLOOKUP(B433,Customers!$A$5:$J$504,4,FALSE))</f>
        <v/>
      </c>
      <c r="E433" s="4"/>
      <c r="F433" s="28"/>
      <c r="G433" s="4"/>
      <c r="H433" s="32" t="str">
        <f>IF(A433="","",SUMIFS(Sales!$K$5:$K$504,Sales!$I$5:$I$504,A433,Sales!$L$5:$L$504,"Approved"))</f>
        <v/>
      </c>
      <c r="I433" s="32" t="str">
        <f>IF(A433="","",SUMIFS(Payouts!$G$5:$G$504,Payouts!$B$5:$B$504,A433,Payouts!$H$5:$H$504,"Paid"))</f>
        <v/>
      </c>
      <c r="J433" s="32" t="str">
        <f t="shared" si="6"/>
        <v/>
      </c>
      <c r="K433" s="4"/>
      <c r="L433" s="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4"/>
      <c r="B434" s="4"/>
      <c r="C434" s="3" t="str">
        <f>IF(B434="","",VLOOKUP(B434,Customers!$A$5:$J$504,3,FALSE))</f>
        <v/>
      </c>
      <c r="D434" s="3" t="str">
        <f>IF(B434="","",VLOOKUP(B434,Customers!$A$5:$J$504,4,FALSE))</f>
        <v/>
      </c>
      <c r="E434" s="4"/>
      <c r="F434" s="28"/>
      <c r="G434" s="4"/>
      <c r="H434" s="32" t="str">
        <f>IF(A434="","",SUMIFS(Sales!$K$5:$K$504,Sales!$I$5:$I$504,A434,Sales!$L$5:$L$504,"Approved"))</f>
        <v/>
      </c>
      <c r="I434" s="32" t="str">
        <f>IF(A434="","",SUMIFS(Payouts!$G$5:$G$504,Payouts!$B$5:$B$504,A434,Payouts!$H$5:$H$504,"Paid"))</f>
        <v/>
      </c>
      <c r="J434" s="32" t="str">
        <f t="shared" si="6"/>
        <v/>
      </c>
      <c r="K434" s="4"/>
      <c r="L434" s="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4"/>
      <c r="B435" s="4"/>
      <c r="C435" s="3" t="str">
        <f>IF(B435="","",VLOOKUP(B435,Customers!$A$5:$J$504,3,FALSE))</f>
        <v/>
      </c>
      <c r="D435" s="3" t="str">
        <f>IF(B435="","",VLOOKUP(B435,Customers!$A$5:$J$504,4,FALSE))</f>
        <v/>
      </c>
      <c r="E435" s="4"/>
      <c r="F435" s="28"/>
      <c r="G435" s="4"/>
      <c r="H435" s="32" t="str">
        <f>IF(A435="","",SUMIFS(Sales!$K$5:$K$504,Sales!$I$5:$I$504,A435,Sales!$L$5:$L$504,"Approved"))</f>
        <v/>
      </c>
      <c r="I435" s="32" t="str">
        <f>IF(A435="","",SUMIFS(Payouts!$G$5:$G$504,Payouts!$B$5:$B$504,A435,Payouts!$H$5:$H$504,"Paid"))</f>
        <v/>
      </c>
      <c r="J435" s="32" t="str">
        <f t="shared" si="6"/>
        <v/>
      </c>
      <c r="K435" s="4"/>
      <c r="L435" s="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4"/>
      <c r="B436" s="4"/>
      <c r="C436" s="3" t="str">
        <f>IF(B436="","",VLOOKUP(B436,Customers!$A$5:$J$504,3,FALSE))</f>
        <v/>
      </c>
      <c r="D436" s="3" t="str">
        <f>IF(B436="","",VLOOKUP(B436,Customers!$A$5:$J$504,4,FALSE))</f>
        <v/>
      </c>
      <c r="E436" s="4"/>
      <c r="F436" s="28"/>
      <c r="G436" s="4"/>
      <c r="H436" s="32" t="str">
        <f>IF(A436="","",SUMIFS(Sales!$K$5:$K$504,Sales!$I$5:$I$504,A436,Sales!$L$5:$L$504,"Approved"))</f>
        <v/>
      </c>
      <c r="I436" s="32" t="str">
        <f>IF(A436="","",SUMIFS(Payouts!$G$5:$G$504,Payouts!$B$5:$B$504,A436,Payouts!$H$5:$H$504,"Paid"))</f>
        <v/>
      </c>
      <c r="J436" s="32" t="str">
        <f t="shared" si="6"/>
        <v/>
      </c>
      <c r="K436" s="4"/>
      <c r="L436" s="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4"/>
      <c r="B437" s="4"/>
      <c r="C437" s="3" t="str">
        <f>IF(B437="","",VLOOKUP(B437,Customers!$A$5:$J$504,3,FALSE))</f>
        <v/>
      </c>
      <c r="D437" s="3" t="str">
        <f>IF(B437="","",VLOOKUP(B437,Customers!$A$5:$J$504,4,FALSE))</f>
        <v/>
      </c>
      <c r="E437" s="4"/>
      <c r="F437" s="28"/>
      <c r="G437" s="4"/>
      <c r="H437" s="32" t="str">
        <f>IF(A437="","",SUMIFS(Sales!$K$5:$K$504,Sales!$I$5:$I$504,A437,Sales!$L$5:$L$504,"Approved"))</f>
        <v/>
      </c>
      <c r="I437" s="32" t="str">
        <f>IF(A437="","",SUMIFS(Payouts!$G$5:$G$504,Payouts!$B$5:$B$504,A437,Payouts!$H$5:$H$504,"Paid"))</f>
        <v/>
      </c>
      <c r="J437" s="32" t="str">
        <f t="shared" si="6"/>
        <v/>
      </c>
      <c r="K437" s="4"/>
      <c r="L437" s="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4"/>
      <c r="B438" s="4"/>
      <c r="C438" s="3" t="str">
        <f>IF(B438="","",VLOOKUP(B438,Customers!$A$5:$J$504,3,FALSE))</f>
        <v/>
      </c>
      <c r="D438" s="3" t="str">
        <f>IF(B438="","",VLOOKUP(B438,Customers!$A$5:$J$504,4,FALSE))</f>
        <v/>
      </c>
      <c r="E438" s="4"/>
      <c r="F438" s="28"/>
      <c r="G438" s="4"/>
      <c r="H438" s="32" t="str">
        <f>IF(A438="","",SUMIFS(Sales!$K$5:$K$504,Sales!$I$5:$I$504,A438,Sales!$L$5:$L$504,"Approved"))</f>
        <v/>
      </c>
      <c r="I438" s="32" t="str">
        <f>IF(A438="","",SUMIFS(Payouts!$G$5:$G$504,Payouts!$B$5:$B$504,A438,Payouts!$H$5:$H$504,"Paid"))</f>
        <v/>
      </c>
      <c r="J438" s="32" t="str">
        <f t="shared" si="6"/>
        <v/>
      </c>
      <c r="K438" s="4"/>
      <c r="L438" s="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4"/>
      <c r="B439" s="4"/>
      <c r="C439" s="3" t="str">
        <f>IF(B439="","",VLOOKUP(B439,Customers!$A$5:$J$504,3,FALSE))</f>
        <v/>
      </c>
      <c r="D439" s="3" t="str">
        <f>IF(B439="","",VLOOKUP(B439,Customers!$A$5:$J$504,4,FALSE))</f>
        <v/>
      </c>
      <c r="E439" s="4"/>
      <c r="F439" s="28"/>
      <c r="G439" s="4"/>
      <c r="H439" s="32" t="str">
        <f>IF(A439="","",SUMIFS(Sales!$K$5:$K$504,Sales!$I$5:$I$504,A439,Sales!$L$5:$L$504,"Approved"))</f>
        <v/>
      </c>
      <c r="I439" s="32" t="str">
        <f>IF(A439="","",SUMIFS(Payouts!$G$5:$G$504,Payouts!$B$5:$B$504,A439,Payouts!$H$5:$H$504,"Paid"))</f>
        <v/>
      </c>
      <c r="J439" s="32" t="str">
        <f t="shared" si="6"/>
        <v/>
      </c>
      <c r="K439" s="4"/>
      <c r="L439" s="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4"/>
      <c r="B440" s="4"/>
      <c r="C440" s="3" t="str">
        <f>IF(B440="","",VLOOKUP(B440,Customers!$A$5:$J$504,3,FALSE))</f>
        <v/>
      </c>
      <c r="D440" s="3" t="str">
        <f>IF(B440="","",VLOOKUP(B440,Customers!$A$5:$J$504,4,FALSE))</f>
        <v/>
      </c>
      <c r="E440" s="4"/>
      <c r="F440" s="28"/>
      <c r="G440" s="4"/>
      <c r="H440" s="32" t="str">
        <f>IF(A440="","",SUMIFS(Sales!$K$5:$K$504,Sales!$I$5:$I$504,A440,Sales!$L$5:$L$504,"Approved"))</f>
        <v/>
      </c>
      <c r="I440" s="32" t="str">
        <f>IF(A440="","",SUMIFS(Payouts!$G$5:$G$504,Payouts!$B$5:$B$504,A440,Payouts!$H$5:$H$504,"Paid"))</f>
        <v/>
      </c>
      <c r="J440" s="32" t="str">
        <f t="shared" si="6"/>
        <v/>
      </c>
      <c r="K440" s="4"/>
      <c r="L440" s="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4"/>
      <c r="B441" s="4"/>
      <c r="C441" s="3" t="str">
        <f>IF(B441="","",VLOOKUP(B441,Customers!$A$5:$J$504,3,FALSE))</f>
        <v/>
      </c>
      <c r="D441" s="3" t="str">
        <f>IF(B441="","",VLOOKUP(B441,Customers!$A$5:$J$504,4,FALSE))</f>
        <v/>
      </c>
      <c r="E441" s="4"/>
      <c r="F441" s="28"/>
      <c r="G441" s="4"/>
      <c r="H441" s="32" t="str">
        <f>IF(A441="","",SUMIFS(Sales!$K$5:$K$504,Sales!$I$5:$I$504,A441,Sales!$L$5:$L$504,"Approved"))</f>
        <v/>
      </c>
      <c r="I441" s="32" t="str">
        <f>IF(A441="","",SUMIFS(Payouts!$G$5:$G$504,Payouts!$B$5:$B$504,A441,Payouts!$H$5:$H$504,"Paid"))</f>
        <v/>
      </c>
      <c r="J441" s="32" t="str">
        <f t="shared" si="6"/>
        <v/>
      </c>
      <c r="K441" s="4"/>
      <c r="L441" s="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4"/>
      <c r="B442" s="4"/>
      <c r="C442" s="3" t="str">
        <f>IF(B442="","",VLOOKUP(B442,Customers!$A$5:$J$504,3,FALSE))</f>
        <v/>
      </c>
      <c r="D442" s="3" t="str">
        <f>IF(B442="","",VLOOKUP(B442,Customers!$A$5:$J$504,4,FALSE))</f>
        <v/>
      </c>
      <c r="E442" s="4"/>
      <c r="F442" s="28"/>
      <c r="G442" s="4"/>
      <c r="H442" s="32" t="str">
        <f>IF(A442="","",SUMIFS(Sales!$K$5:$K$504,Sales!$I$5:$I$504,A442,Sales!$L$5:$L$504,"Approved"))</f>
        <v/>
      </c>
      <c r="I442" s="32" t="str">
        <f>IF(A442="","",SUMIFS(Payouts!$G$5:$G$504,Payouts!$B$5:$B$504,A442,Payouts!$H$5:$H$504,"Paid"))</f>
        <v/>
      </c>
      <c r="J442" s="32" t="str">
        <f t="shared" si="6"/>
        <v/>
      </c>
      <c r="K442" s="4"/>
      <c r="L442" s="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4"/>
      <c r="B443" s="4"/>
      <c r="C443" s="3" t="str">
        <f>IF(B443="","",VLOOKUP(B443,Customers!$A$5:$J$504,3,FALSE))</f>
        <v/>
      </c>
      <c r="D443" s="3" t="str">
        <f>IF(B443="","",VLOOKUP(B443,Customers!$A$5:$J$504,4,FALSE))</f>
        <v/>
      </c>
      <c r="E443" s="4"/>
      <c r="F443" s="28"/>
      <c r="G443" s="4"/>
      <c r="H443" s="32" t="str">
        <f>IF(A443="","",SUMIFS(Sales!$K$5:$K$504,Sales!$I$5:$I$504,A443,Sales!$L$5:$L$504,"Approved"))</f>
        <v/>
      </c>
      <c r="I443" s="32" t="str">
        <f>IF(A443="","",SUMIFS(Payouts!$G$5:$G$504,Payouts!$B$5:$B$504,A443,Payouts!$H$5:$H$504,"Paid"))</f>
        <v/>
      </c>
      <c r="J443" s="32" t="str">
        <f t="shared" si="6"/>
        <v/>
      </c>
      <c r="K443" s="4"/>
      <c r="L443" s="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4"/>
      <c r="B444" s="4"/>
      <c r="C444" s="3" t="str">
        <f>IF(B444="","",VLOOKUP(B444,Customers!$A$5:$J$504,3,FALSE))</f>
        <v/>
      </c>
      <c r="D444" s="3" t="str">
        <f>IF(B444="","",VLOOKUP(B444,Customers!$A$5:$J$504,4,FALSE))</f>
        <v/>
      </c>
      <c r="E444" s="4"/>
      <c r="F444" s="28"/>
      <c r="G444" s="4"/>
      <c r="H444" s="32" t="str">
        <f>IF(A444="","",SUMIFS(Sales!$K$5:$K$504,Sales!$I$5:$I$504,A444,Sales!$L$5:$L$504,"Approved"))</f>
        <v/>
      </c>
      <c r="I444" s="32" t="str">
        <f>IF(A444="","",SUMIFS(Payouts!$G$5:$G$504,Payouts!$B$5:$B$504,A444,Payouts!$H$5:$H$504,"Paid"))</f>
        <v/>
      </c>
      <c r="J444" s="32" t="str">
        <f t="shared" si="6"/>
        <v/>
      </c>
      <c r="K444" s="4"/>
      <c r="L444" s="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4"/>
      <c r="B445" s="4"/>
      <c r="C445" s="3" t="str">
        <f>IF(B445="","",VLOOKUP(B445,Customers!$A$5:$J$504,3,FALSE))</f>
        <v/>
      </c>
      <c r="D445" s="3" t="str">
        <f>IF(B445="","",VLOOKUP(B445,Customers!$A$5:$J$504,4,FALSE))</f>
        <v/>
      </c>
      <c r="E445" s="4"/>
      <c r="F445" s="28"/>
      <c r="G445" s="4"/>
      <c r="H445" s="32" t="str">
        <f>IF(A445="","",SUMIFS(Sales!$K$5:$K$504,Sales!$I$5:$I$504,A445,Sales!$L$5:$L$504,"Approved"))</f>
        <v/>
      </c>
      <c r="I445" s="32" t="str">
        <f>IF(A445="","",SUMIFS(Payouts!$G$5:$G$504,Payouts!$B$5:$B$504,A445,Payouts!$H$5:$H$504,"Paid"))</f>
        <v/>
      </c>
      <c r="J445" s="32" t="str">
        <f t="shared" si="6"/>
        <v/>
      </c>
      <c r="K445" s="4"/>
      <c r="L445" s="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4"/>
      <c r="B446" s="4"/>
      <c r="C446" s="3" t="str">
        <f>IF(B446="","",VLOOKUP(B446,Customers!$A$5:$J$504,3,FALSE))</f>
        <v/>
      </c>
      <c r="D446" s="3" t="str">
        <f>IF(B446="","",VLOOKUP(B446,Customers!$A$5:$J$504,4,FALSE))</f>
        <v/>
      </c>
      <c r="E446" s="4"/>
      <c r="F446" s="28"/>
      <c r="G446" s="4"/>
      <c r="H446" s="32" t="str">
        <f>IF(A446="","",SUMIFS(Sales!$K$5:$K$504,Sales!$I$5:$I$504,A446,Sales!$L$5:$L$504,"Approved"))</f>
        <v/>
      </c>
      <c r="I446" s="32" t="str">
        <f>IF(A446="","",SUMIFS(Payouts!$G$5:$G$504,Payouts!$B$5:$B$504,A446,Payouts!$H$5:$H$504,"Paid"))</f>
        <v/>
      </c>
      <c r="J446" s="32" t="str">
        <f t="shared" si="6"/>
        <v/>
      </c>
      <c r="K446" s="4"/>
      <c r="L446" s="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4"/>
      <c r="B447" s="4"/>
      <c r="C447" s="3" t="str">
        <f>IF(B447="","",VLOOKUP(B447,Customers!$A$5:$J$504,3,FALSE))</f>
        <v/>
      </c>
      <c r="D447" s="3" t="str">
        <f>IF(B447="","",VLOOKUP(B447,Customers!$A$5:$J$504,4,FALSE))</f>
        <v/>
      </c>
      <c r="E447" s="4"/>
      <c r="F447" s="28"/>
      <c r="G447" s="4"/>
      <c r="H447" s="32" t="str">
        <f>IF(A447="","",SUMIFS(Sales!$K$5:$K$504,Sales!$I$5:$I$504,A447,Sales!$L$5:$L$504,"Approved"))</f>
        <v/>
      </c>
      <c r="I447" s="32" t="str">
        <f>IF(A447="","",SUMIFS(Payouts!$G$5:$G$504,Payouts!$B$5:$B$504,A447,Payouts!$H$5:$H$504,"Paid"))</f>
        <v/>
      </c>
      <c r="J447" s="32" t="str">
        <f t="shared" si="6"/>
        <v/>
      </c>
      <c r="K447" s="4"/>
      <c r="L447" s="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4"/>
      <c r="B448" s="4"/>
      <c r="C448" s="3" t="str">
        <f>IF(B448="","",VLOOKUP(B448,Customers!$A$5:$J$504,3,FALSE))</f>
        <v/>
      </c>
      <c r="D448" s="3" t="str">
        <f>IF(B448="","",VLOOKUP(B448,Customers!$A$5:$J$504,4,FALSE))</f>
        <v/>
      </c>
      <c r="E448" s="4"/>
      <c r="F448" s="28"/>
      <c r="G448" s="4"/>
      <c r="H448" s="32" t="str">
        <f>IF(A448="","",SUMIFS(Sales!$K$5:$K$504,Sales!$I$5:$I$504,A448,Sales!$L$5:$L$504,"Approved"))</f>
        <v/>
      </c>
      <c r="I448" s="32" t="str">
        <f>IF(A448="","",SUMIFS(Payouts!$G$5:$G$504,Payouts!$B$5:$B$504,A448,Payouts!$H$5:$H$504,"Paid"))</f>
        <v/>
      </c>
      <c r="J448" s="32" t="str">
        <f t="shared" si="6"/>
        <v/>
      </c>
      <c r="K448" s="4"/>
      <c r="L448" s="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4"/>
      <c r="B449" s="4"/>
      <c r="C449" s="3" t="str">
        <f>IF(B449="","",VLOOKUP(B449,Customers!$A$5:$J$504,3,FALSE))</f>
        <v/>
      </c>
      <c r="D449" s="3" t="str">
        <f>IF(B449="","",VLOOKUP(B449,Customers!$A$5:$J$504,4,FALSE))</f>
        <v/>
      </c>
      <c r="E449" s="4"/>
      <c r="F449" s="28"/>
      <c r="G449" s="4"/>
      <c r="H449" s="32" t="str">
        <f>IF(A449="","",SUMIFS(Sales!$K$5:$K$504,Sales!$I$5:$I$504,A449,Sales!$L$5:$L$504,"Approved"))</f>
        <v/>
      </c>
      <c r="I449" s="32" t="str">
        <f>IF(A449="","",SUMIFS(Payouts!$G$5:$G$504,Payouts!$B$5:$B$504,A449,Payouts!$H$5:$H$504,"Paid"))</f>
        <v/>
      </c>
      <c r="J449" s="32" t="str">
        <f t="shared" si="6"/>
        <v/>
      </c>
      <c r="K449" s="4"/>
      <c r="L449" s="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4"/>
      <c r="B450" s="4"/>
      <c r="C450" s="3" t="str">
        <f>IF(B450="","",VLOOKUP(B450,Customers!$A$5:$J$504,3,FALSE))</f>
        <v/>
      </c>
      <c r="D450" s="3" t="str">
        <f>IF(B450="","",VLOOKUP(B450,Customers!$A$5:$J$504,4,FALSE))</f>
        <v/>
      </c>
      <c r="E450" s="4"/>
      <c r="F450" s="28"/>
      <c r="G450" s="4"/>
      <c r="H450" s="32" t="str">
        <f>IF(A450="","",SUMIFS(Sales!$K$5:$K$504,Sales!$I$5:$I$504,A450,Sales!$L$5:$L$504,"Approved"))</f>
        <v/>
      </c>
      <c r="I450" s="32" t="str">
        <f>IF(A450="","",SUMIFS(Payouts!$G$5:$G$504,Payouts!$B$5:$B$504,A450,Payouts!$H$5:$H$504,"Paid"))</f>
        <v/>
      </c>
      <c r="J450" s="32" t="str">
        <f t="shared" si="6"/>
        <v/>
      </c>
      <c r="K450" s="4"/>
      <c r="L450" s="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4"/>
      <c r="B451" s="4"/>
      <c r="C451" s="3" t="str">
        <f>IF(B451="","",VLOOKUP(B451,Customers!$A$5:$J$504,3,FALSE))</f>
        <v/>
      </c>
      <c r="D451" s="3" t="str">
        <f>IF(B451="","",VLOOKUP(B451,Customers!$A$5:$J$504,4,FALSE))</f>
        <v/>
      </c>
      <c r="E451" s="4"/>
      <c r="F451" s="28"/>
      <c r="G451" s="4"/>
      <c r="H451" s="32" t="str">
        <f>IF(A451="","",SUMIFS(Sales!$K$5:$K$504,Sales!$I$5:$I$504,A451,Sales!$L$5:$L$504,"Approved"))</f>
        <v/>
      </c>
      <c r="I451" s="32" t="str">
        <f>IF(A451="","",SUMIFS(Payouts!$G$5:$G$504,Payouts!$B$5:$B$504,A451,Payouts!$H$5:$H$504,"Paid"))</f>
        <v/>
      </c>
      <c r="J451" s="32" t="str">
        <f t="shared" si="6"/>
        <v/>
      </c>
      <c r="K451" s="4"/>
      <c r="L451" s="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4"/>
      <c r="B452" s="4"/>
      <c r="C452" s="3" t="str">
        <f>IF(B452="","",VLOOKUP(B452,Customers!$A$5:$J$504,3,FALSE))</f>
        <v/>
      </c>
      <c r="D452" s="3" t="str">
        <f>IF(B452="","",VLOOKUP(B452,Customers!$A$5:$J$504,4,FALSE))</f>
        <v/>
      </c>
      <c r="E452" s="4"/>
      <c r="F452" s="28"/>
      <c r="G452" s="4"/>
      <c r="H452" s="32" t="str">
        <f>IF(A452="","",SUMIFS(Sales!$K$5:$K$504,Sales!$I$5:$I$504,A452,Sales!$L$5:$L$504,"Approved"))</f>
        <v/>
      </c>
      <c r="I452" s="32" t="str">
        <f>IF(A452="","",SUMIFS(Payouts!$G$5:$G$504,Payouts!$B$5:$B$504,A452,Payouts!$H$5:$H$504,"Paid"))</f>
        <v/>
      </c>
      <c r="J452" s="32" t="str">
        <f t="shared" si="6"/>
        <v/>
      </c>
      <c r="K452" s="4"/>
      <c r="L452" s="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4"/>
      <c r="B453" s="4"/>
      <c r="C453" s="3" t="str">
        <f>IF(B453="","",VLOOKUP(B453,Customers!$A$5:$J$504,3,FALSE))</f>
        <v/>
      </c>
      <c r="D453" s="3" t="str">
        <f>IF(B453="","",VLOOKUP(B453,Customers!$A$5:$J$504,4,FALSE))</f>
        <v/>
      </c>
      <c r="E453" s="4"/>
      <c r="F453" s="28"/>
      <c r="G453" s="4"/>
      <c r="H453" s="32" t="str">
        <f>IF(A453="","",SUMIFS(Sales!$K$5:$K$504,Sales!$I$5:$I$504,A453,Sales!$L$5:$L$504,"Approved"))</f>
        <v/>
      </c>
      <c r="I453" s="32" t="str">
        <f>IF(A453="","",SUMIFS(Payouts!$G$5:$G$504,Payouts!$B$5:$B$504,A453,Payouts!$H$5:$H$504,"Paid"))</f>
        <v/>
      </c>
      <c r="J453" s="32" t="str">
        <f t="shared" ref="J453:J504" si="7">IF(A453="","",H453-I453)</f>
        <v/>
      </c>
      <c r="K453" s="4"/>
      <c r="L453" s="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4"/>
      <c r="B454" s="4"/>
      <c r="C454" s="3" t="str">
        <f>IF(B454="","",VLOOKUP(B454,Customers!$A$5:$J$504,3,FALSE))</f>
        <v/>
      </c>
      <c r="D454" s="3" t="str">
        <f>IF(B454="","",VLOOKUP(B454,Customers!$A$5:$J$504,4,FALSE))</f>
        <v/>
      </c>
      <c r="E454" s="4"/>
      <c r="F454" s="28"/>
      <c r="G454" s="4"/>
      <c r="H454" s="32" t="str">
        <f>IF(A454="","",SUMIFS(Sales!$K$5:$K$504,Sales!$I$5:$I$504,A454,Sales!$L$5:$L$504,"Approved"))</f>
        <v/>
      </c>
      <c r="I454" s="32" t="str">
        <f>IF(A454="","",SUMIFS(Payouts!$G$5:$G$504,Payouts!$B$5:$B$504,A454,Payouts!$H$5:$H$504,"Paid"))</f>
        <v/>
      </c>
      <c r="J454" s="32" t="str">
        <f t="shared" si="7"/>
        <v/>
      </c>
      <c r="K454" s="4"/>
      <c r="L454" s="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4"/>
      <c r="B455" s="4"/>
      <c r="C455" s="3" t="str">
        <f>IF(B455="","",VLOOKUP(B455,Customers!$A$5:$J$504,3,FALSE))</f>
        <v/>
      </c>
      <c r="D455" s="3" t="str">
        <f>IF(B455="","",VLOOKUP(B455,Customers!$A$5:$J$504,4,FALSE))</f>
        <v/>
      </c>
      <c r="E455" s="4"/>
      <c r="F455" s="28"/>
      <c r="G455" s="4"/>
      <c r="H455" s="32" t="str">
        <f>IF(A455="","",SUMIFS(Sales!$K$5:$K$504,Sales!$I$5:$I$504,A455,Sales!$L$5:$L$504,"Approved"))</f>
        <v/>
      </c>
      <c r="I455" s="32" t="str">
        <f>IF(A455="","",SUMIFS(Payouts!$G$5:$G$504,Payouts!$B$5:$B$504,A455,Payouts!$H$5:$H$504,"Paid"))</f>
        <v/>
      </c>
      <c r="J455" s="32" t="str">
        <f t="shared" si="7"/>
        <v/>
      </c>
      <c r="K455" s="4"/>
      <c r="L455" s="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4"/>
      <c r="B456" s="4"/>
      <c r="C456" s="3" t="str">
        <f>IF(B456="","",VLOOKUP(B456,Customers!$A$5:$J$504,3,FALSE))</f>
        <v/>
      </c>
      <c r="D456" s="3" t="str">
        <f>IF(B456="","",VLOOKUP(B456,Customers!$A$5:$J$504,4,FALSE))</f>
        <v/>
      </c>
      <c r="E456" s="4"/>
      <c r="F456" s="28"/>
      <c r="G456" s="4"/>
      <c r="H456" s="32" t="str">
        <f>IF(A456="","",SUMIFS(Sales!$K$5:$K$504,Sales!$I$5:$I$504,A456,Sales!$L$5:$L$504,"Approved"))</f>
        <v/>
      </c>
      <c r="I456" s="32" t="str">
        <f>IF(A456="","",SUMIFS(Payouts!$G$5:$G$504,Payouts!$B$5:$B$504,A456,Payouts!$H$5:$H$504,"Paid"))</f>
        <v/>
      </c>
      <c r="J456" s="32" t="str">
        <f t="shared" si="7"/>
        <v/>
      </c>
      <c r="K456" s="4"/>
      <c r="L456" s="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4"/>
      <c r="B457" s="4"/>
      <c r="C457" s="3" t="str">
        <f>IF(B457="","",VLOOKUP(B457,Customers!$A$5:$J$504,3,FALSE))</f>
        <v/>
      </c>
      <c r="D457" s="3" t="str">
        <f>IF(B457="","",VLOOKUP(B457,Customers!$A$5:$J$504,4,FALSE))</f>
        <v/>
      </c>
      <c r="E457" s="4"/>
      <c r="F457" s="28"/>
      <c r="G457" s="4"/>
      <c r="H457" s="32" t="str">
        <f>IF(A457="","",SUMIFS(Sales!$K$5:$K$504,Sales!$I$5:$I$504,A457,Sales!$L$5:$L$504,"Approved"))</f>
        <v/>
      </c>
      <c r="I457" s="32" t="str">
        <f>IF(A457="","",SUMIFS(Payouts!$G$5:$G$504,Payouts!$B$5:$B$504,A457,Payouts!$H$5:$H$504,"Paid"))</f>
        <v/>
      </c>
      <c r="J457" s="32" t="str">
        <f t="shared" si="7"/>
        <v/>
      </c>
      <c r="K457" s="4"/>
      <c r="L457" s="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4"/>
      <c r="B458" s="4"/>
      <c r="C458" s="3" t="str">
        <f>IF(B458="","",VLOOKUP(B458,Customers!$A$5:$J$504,3,FALSE))</f>
        <v/>
      </c>
      <c r="D458" s="3" t="str">
        <f>IF(B458="","",VLOOKUP(B458,Customers!$A$5:$J$504,4,FALSE))</f>
        <v/>
      </c>
      <c r="E458" s="4"/>
      <c r="F458" s="28"/>
      <c r="G458" s="4"/>
      <c r="H458" s="32" t="str">
        <f>IF(A458="","",SUMIFS(Sales!$K$5:$K$504,Sales!$I$5:$I$504,A458,Sales!$L$5:$L$504,"Approved"))</f>
        <v/>
      </c>
      <c r="I458" s="32" t="str">
        <f>IF(A458="","",SUMIFS(Payouts!$G$5:$G$504,Payouts!$B$5:$B$504,A458,Payouts!$H$5:$H$504,"Paid"))</f>
        <v/>
      </c>
      <c r="J458" s="32" t="str">
        <f t="shared" si="7"/>
        <v/>
      </c>
      <c r="K458" s="4"/>
      <c r="L458" s="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4"/>
      <c r="B459" s="4"/>
      <c r="C459" s="3" t="str">
        <f>IF(B459="","",VLOOKUP(B459,Customers!$A$5:$J$504,3,FALSE))</f>
        <v/>
      </c>
      <c r="D459" s="3" t="str">
        <f>IF(B459="","",VLOOKUP(B459,Customers!$A$5:$J$504,4,FALSE))</f>
        <v/>
      </c>
      <c r="E459" s="4"/>
      <c r="F459" s="28"/>
      <c r="G459" s="4"/>
      <c r="H459" s="32" t="str">
        <f>IF(A459="","",SUMIFS(Sales!$K$5:$K$504,Sales!$I$5:$I$504,A459,Sales!$L$5:$L$504,"Approved"))</f>
        <v/>
      </c>
      <c r="I459" s="32" t="str">
        <f>IF(A459="","",SUMIFS(Payouts!$G$5:$G$504,Payouts!$B$5:$B$504,A459,Payouts!$H$5:$H$504,"Paid"))</f>
        <v/>
      </c>
      <c r="J459" s="32" t="str">
        <f t="shared" si="7"/>
        <v/>
      </c>
      <c r="K459" s="4"/>
      <c r="L459" s="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4"/>
      <c r="B460" s="4"/>
      <c r="C460" s="3" t="str">
        <f>IF(B460="","",VLOOKUP(B460,Customers!$A$5:$J$504,3,FALSE))</f>
        <v/>
      </c>
      <c r="D460" s="3" t="str">
        <f>IF(B460="","",VLOOKUP(B460,Customers!$A$5:$J$504,4,FALSE))</f>
        <v/>
      </c>
      <c r="E460" s="4"/>
      <c r="F460" s="28"/>
      <c r="G460" s="4"/>
      <c r="H460" s="32" t="str">
        <f>IF(A460="","",SUMIFS(Sales!$K$5:$K$504,Sales!$I$5:$I$504,A460,Sales!$L$5:$L$504,"Approved"))</f>
        <v/>
      </c>
      <c r="I460" s="32" t="str">
        <f>IF(A460="","",SUMIFS(Payouts!$G$5:$G$504,Payouts!$B$5:$B$504,A460,Payouts!$H$5:$H$504,"Paid"))</f>
        <v/>
      </c>
      <c r="J460" s="32" t="str">
        <f t="shared" si="7"/>
        <v/>
      </c>
      <c r="K460" s="4"/>
      <c r="L460" s="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4"/>
      <c r="B461" s="4"/>
      <c r="C461" s="3" t="str">
        <f>IF(B461="","",VLOOKUP(B461,Customers!$A$5:$J$504,3,FALSE))</f>
        <v/>
      </c>
      <c r="D461" s="3" t="str">
        <f>IF(B461="","",VLOOKUP(B461,Customers!$A$5:$J$504,4,FALSE))</f>
        <v/>
      </c>
      <c r="E461" s="4"/>
      <c r="F461" s="28"/>
      <c r="G461" s="4"/>
      <c r="H461" s="32" t="str">
        <f>IF(A461="","",SUMIFS(Sales!$K$5:$K$504,Sales!$I$5:$I$504,A461,Sales!$L$5:$L$504,"Approved"))</f>
        <v/>
      </c>
      <c r="I461" s="32" t="str">
        <f>IF(A461="","",SUMIFS(Payouts!$G$5:$G$504,Payouts!$B$5:$B$504,A461,Payouts!$H$5:$H$504,"Paid"))</f>
        <v/>
      </c>
      <c r="J461" s="32" t="str">
        <f t="shared" si="7"/>
        <v/>
      </c>
      <c r="K461" s="4"/>
      <c r="L461" s="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4"/>
      <c r="B462" s="4"/>
      <c r="C462" s="3" t="str">
        <f>IF(B462="","",VLOOKUP(B462,Customers!$A$5:$J$504,3,FALSE))</f>
        <v/>
      </c>
      <c r="D462" s="3" t="str">
        <f>IF(B462="","",VLOOKUP(B462,Customers!$A$5:$J$504,4,FALSE))</f>
        <v/>
      </c>
      <c r="E462" s="4"/>
      <c r="F462" s="28"/>
      <c r="G462" s="4"/>
      <c r="H462" s="32" t="str">
        <f>IF(A462="","",SUMIFS(Sales!$K$5:$K$504,Sales!$I$5:$I$504,A462,Sales!$L$5:$L$504,"Approved"))</f>
        <v/>
      </c>
      <c r="I462" s="32" t="str">
        <f>IF(A462="","",SUMIFS(Payouts!$G$5:$G$504,Payouts!$B$5:$B$504,A462,Payouts!$H$5:$H$504,"Paid"))</f>
        <v/>
      </c>
      <c r="J462" s="32" t="str">
        <f t="shared" si="7"/>
        <v/>
      </c>
      <c r="K462" s="4"/>
      <c r="L462" s="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4"/>
      <c r="B463" s="4"/>
      <c r="C463" s="3" t="str">
        <f>IF(B463="","",VLOOKUP(B463,Customers!$A$5:$J$504,3,FALSE))</f>
        <v/>
      </c>
      <c r="D463" s="3" t="str">
        <f>IF(B463="","",VLOOKUP(B463,Customers!$A$5:$J$504,4,FALSE))</f>
        <v/>
      </c>
      <c r="E463" s="4"/>
      <c r="F463" s="28"/>
      <c r="G463" s="4"/>
      <c r="H463" s="32" t="str">
        <f>IF(A463="","",SUMIFS(Sales!$K$5:$K$504,Sales!$I$5:$I$504,A463,Sales!$L$5:$L$504,"Approved"))</f>
        <v/>
      </c>
      <c r="I463" s="32" t="str">
        <f>IF(A463="","",SUMIFS(Payouts!$G$5:$G$504,Payouts!$B$5:$B$504,A463,Payouts!$H$5:$H$504,"Paid"))</f>
        <v/>
      </c>
      <c r="J463" s="32" t="str">
        <f t="shared" si="7"/>
        <v/>
      </c>
      <c r="K463" s="4"/>
      <c r="L463" s="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4"/>
      <c r="B464" s="4"/>
      <c r="C464" s="3" t="str">
        <f>IF(B464="","",VLOOKUP(B464,Customers!$A$5:$J$504,3,FALSE))</f>
        <v/>
      </c>
      <c r="D464" s="3" t="str">
        <f>IF(B464="","",VLOOKUP(B464,Customers!$A$5:$J$504,4,FALSE))</f>
        <v/>
      </c>
      <c r="E464" s="4"/>
      <c r="F464" s="28"/>
      <c r="G464" s="4"/>
      <c r="H464" s="32" t="str">
        <f>IF(A464="","",SUMIFS(Sales!$K$5:$K$504,Sales!$I$5:$I$504,A464,Sales!$L$5:$L$504,"Approved"))</f>
        <v/>
      </c>
      <c r="I464" s="32" t="str">
        <f>IF(A464="","",SUMIFS(Payouts!$G$5:$G$504,Payouts!$B$5:$B$504,A464,Payouts!$H$5:$H$504,"Paid"))</f>
        <v/>
      </c>
      <c r="J464" s="32" t="str">
        <f t="shared" si="7"/>
        <v/>
      </c>
      <c r="K464" s="4"/>
      <c r="L464" s="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4"/>
      <c r="B465" s="4"/>
      <c r="C465" s="3" t="str">
        <f>IF(B465="","",VLOOKUP(B465,Customers!$A$5:$J$504,3,FALSE))</f>
        <v/>
      </c>
      <c r="D465" s="3" t="str">
        <f>IF(B465="","",VLOOKUP(B465,Customers!$A$5:$J$504,4,FALSE))</f>
        <v/>
      </c>
      <c r="E465" s="4"/>
      <c r="F465" s="28"/>
      <c r="G465" s="4"/>
      <c r="H465" s="32" t="str">
        <f>IF(A465="","",SUMIFS(Sales!$K$5:$K$504,Sales!$I$5:$I$504,A465,Sales!$L$5:$L$504,"Approved"))</f>
        <v/>
      </c>
      <c r="I465" s="32" t="str">
        <f>IF(A465="","",SUMIFS(Payouts!$G$5:$G$504,Payouts!$B$5:$B$504,A465,Payouts!$H$5:$H$504,"Paid"))</f>
        <v/>
      </c>
      <c r="J465" s="32" t="str">
        <f t="shared" si="7"/>
        <v/>
      </c>
      <c r="K465" s="4"/>
      <c r="L465" s="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4"/>
      <c r="B466" s="4"/>
      <c r="C466" s="3" t="str">
        <f>IF(B466="","",VLOOKUP(B466,Customers!$A$5:$J$504,3,FALSE))</f>
        <v/>
      </c>
      <c r="D466" s="3" t="str">
        <f>IF(B466="","",VLOOKUP(B466,Customers!$A$5:$J$504,4,FALSE))</f>
        <v/>
      </c>
      <c r="E466" s="4"/>
      <c r="F466" s="28"/>
      <c r="G466" s="4"/>
      <c r="H466" s="32" t="str">
        <f>IF(A466="","",SUMIFS(Sales!$K$5:$K$504,Sales!$I$5:$I$504,A466,Sales!$L$5:$L$504,"Approved"))</f>
        <v/>
      </c>
      <c r="I466" s="32" t="str">
        <f>IF(A466="","",SUMIFS(Payouts!$G$5:$G$504,Payouts!$B$5:$B$504,A466,Payouts!$H$5:$H$504,"Paid"))</f>
        <v/>
      </c>
      <c r="J466" s="32" t="str">
        <f t="shared" si="7"/>
        <v/>
      </c>
      <c r="K466" s="4"/>
      <c r="L466" s="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4"/>
      <c r="B467" s="4"/>
      <c r="C467" s="3" t="str">
        <f>IF(B467="","",VLOOKUP(B467,Customers!$A$5:$J$504,3,FALSE))</f>
        <v/>
      </c>
      <c r="D467" s="3" t="str">
        <f>IF(B467="","",VLOOKUP(B467,Customers!$A$5:$J$504,4,FALSE))</f>
        <v/>
      </c>
      <c r="E467" s="4"/>
      <c r="F467" s="28"/>
      <c r="G467" s="4"/>
      <c r="H467" s="32" t="str">
        <f>IF(A467="","",SUMIFS(Sales!$K$5:$K$504,Sales!$I$5:$I$504,A467,Sales!$L$5:$L$504,"Approved"))</f>
        <v/>
      </c>
      <c r="I467" s="32" t="str">
        <f>IF(A467="","",SUMIFS(Payouts!$G$5:$G$504,Payouts!$B$5:$B$504,A467,Payouts!$H$5:$H$504,"Paid"))</f>
        <v/>
      </c>
      <c r="J467" s="32" t="str">
        <f t="shared" si="7"/>
        <v/>
      </c>
      <c r="K467" s="4"/>
      <c r="L467" s="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4"/>
      <c r="B468" s="4"/>
      <c r="C468" s="3" t="str">
        <f>IF(B468="","",VLOOKUP(B468,Customers!$A$5:$J$504,3,FALSE))</f>
        <v/>
      </c>
      <c r="D468" s="3" t="str">
        <f>IF(B468="","",VLOOKUP(B468,Customers!$A$5:$J$504,4,FALSE))</f>
        <v/>
      </c>
      <c r="E468" s="4"/>
      <c r="F468" s="28"/>
      <c r="G468" s="4"/>
      <c r="H468" s="32" t="str">
        <f>IF(A468="","",SUMIFS(Sales!$K$5:$K$504,Sales!$I$5:$I$504,A468,Sales!$L$5:$L$504,"Approved"))</f>
        <v/>
      </c>
      <c r="I468" s="32" t="str">
        <f>IF(A468="","",SUMIFS(Payouts!$G$5:$G$504,Payouts!$B$5:$B$504,A468,Payouts!$H$5:$H$504,"Paid"))</f>
        <v/>
      </c>
      <c r="J468" s="32" t="str">
        <f t="shared" si="7"/>
        <v/>
      </c>
      <c r="K468" s="4"/>
      <c r="L468" s="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4"/>
      <c r="B469" s="4"/>
      <c r="C469" s="3" t="str">
        <f>IF(B469="","",VLOOKUP(B469,Customers!$A$5:$J$504,3,FALSE))</f>
        <v/>
      </c>
      <c r="D469" s="3" t="str">
        <f>IF(B469="","",VLOOKUP(B469,Customers!$A$5:$J$504,4,FALSE))</f>
        <v/>
      </c>
      <c r="E469" s="4"/>
      <c r="F469" s="28"/>
      <c r="G469" s="4"/>
      <c r="H469" s="32" t="str">
        <f>IF(A469="","",SUMIFS(Sales!$K$5:$K$504,Sales!$I$5:$I$504,A469,Sales!$L$5:$L$504,"Approved"))</f>
        <v/>
      </c>
      <c r="I469" s="32" t="str">
        <f>IF(A469="","",SUMIFS(Payouts!$G$5:$G$504,Payouts!$B$5:$B$504,A469,Payouts!$H$5:$H$504,"Paid"))</f>
        <v/>
      </c>
      <c r="J469" s="32" t="str">
        <f t="shared" si="7"/>
        <v/>
      </c>
      <c r="K469" s="4"/>
      <c r="L469" s="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4"/>
      <c r="B470" s="4"/>
      <c r="C470" s="3" t="str">
        <f>IF(B470="","",VLOOKUP(B470,Customers!$A$5:$J$504,3,FALSE))</f>
        <v/>
      </c>
      <c r="D470" s="3" t="str">
        <f>IF(B470="","",VLOOKUP(B470,Customers!$A$5:$J$504,4,FALSE))</f>
        <v/>
      </c>
      <c r="E470" s="4"/>
      <c r="F470" s="28"/>
      <c r="G470" s="4"/>
      <c r="H470" s="32" t="str">
        <f>IF(A470="","",SUMIFS(Sales!$K$5:$K$504,Sales!$I$5:$I$504,A470,Sales!$L$5:$L$504,"Approved"))</f>
        <v/>
      </c>
      <c r="I470" s="32" t="str">
        <f>IF(A470="","",SUMIFS(Payouts!$G$5:$G$504,Payouts!$B$5:$B$504,A470,Payouts!$H$5:$H$504,"Paid"))</f>
        <v/>
      </c>
      <c r="J470" s="32" t="str">
        <f t="shared" si="7"/>
        <v/>
      </c>
      <c r="K470" s="4"/>
      <c r="L470" s="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4"/>
      <c r="B471" s="4"/>
      <c r="C471" s="3" t="str">
        <f>IF(B471="","",VLOOKUP(B471,Customers!$A$5:$J$504,3,FALSE))</f>
        <v/>
      </c>
      <c r="D471" s="3" t="str">
        <f>IF(B471="","",VLOOKUP(B471,Customers!$A$5:$J$504,4,FALSE))</f>
        <v/>
      </c>
      <c r="E471" s="4"/>
      <c r="F471" s="28"/>
      <c r="G471" s="4"/>
      <c r="H471" s="32" t="str">
        <f>IF(A471="","",SUMIFS(Sales!$K$5:$K$504,Sales!$I$5:$I$504,A471,Sales!$L$5:$L$504,"Approved"))</f>
        <v/>
      </c>
      <c r="I471" s="32" t="str">
        <f>IF(A471="","",SUMIFS(Payouts!$G$5:$G$504,Payouts!$B$5:$B$504,A471,Payouts!$H$5:$H$504,"Paid"))</f>
        <v/>
      </c>
      <c r="J471" s="32" t="str">
        <f t="shared" si="7"/>
        <v/>
      </c>
      <c r="K471" s="4"/>
      <c r="L471" s="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4"/>
      <c r="B472" s="4"/>
      <c r="C472" s="3" t="str">
        <f>IF(B472="","",VLOOKUP(B472,Customers!$A$5:$J$504,3,FALSE))</f>
        <v/>
      </c>
      <c r="D472" s="3" t="str">
        <f>IF(B472="","",VLOOKUP(B472,Customers!$A$5:$J$504,4,FALSE))</f>
        <v/>
      </c>
      <c r="E472" s="4"/>
      <c r="F472" s="28"/>
      <c r="G472" s="4"/>
      <c r="H472" s="32" t="str">
        <f>IF(A472="","",SUMIFS(Sales!$K$5:$K$504,Sales!$I$5:$I$504,A472,Sales!$L$5:$L$504,"Approved"))</f>
        <v/>
      </c>
      <c r="I472" s="32" t="str">
        <f>IF(A472="","",SUMIFS(Payouts!$G$5:$G$504,Payouts!$B$5:$B$504,A472,Payouts!$H$5:$H$504,"Paid"))</f>
        <v/>
      </c>
      <c r="J472" s="32" t="str">
        <f t="shared" si="7"/>
        <v/>
      </c>
      <c r="K472" s="4"/>
      <c r="L472" s="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4"/>
      <c r="B473" s="4"/>
      <c r="C473" s="3" t="str">
        <f>IF(B473="","",VLOOKUP(B473,Customers!$A$5:$J$504,3,FALSE))</f>
        <v/>
      </c>
      <c r="D473" s="3" t="str">
        <f>IF(B473="","",VLOOKUP(B473,Customers!$A$5:$J$504,4,FALSE))</f>
        <v/>
      </c>
      <c r="E473" s="4"/>
      <c r="F473" s="28"/>
      <c r="G473" s="4"/>
      <c r="H473" s="32" t="str">
        <f>IF(A473="","",SUMIFS(Sales!$K$5:$K$504,Sales!$I$5:$I$504,A473,Sales!$L$5:$L$504,"Approved"))</f>
        <v/>
      </c>
      <c r="I473" s="32" t="str">
        <f>IF(A473="","",SUMIFS(Payouts!$G$5:$G$504,Payouts!$B$5:$B$504,A473,Payouts!$H$5:$H$504,"Paid"))</f>
        <v/>
      </c>
      <c r="J473" s="32" t="str">
        <f t="shared" si="7"/>
        <v/>
      </c>
      <c r="K473" s="4"/>
      <c r="L473" s="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4"/>
      <c r="B474" s="4"/>
      <c r="C474" s="3" t="str">
        <f>IF(B474="","",VLOOKUP(B474,Customers!$A$5:$J$504,3,FALSE))</f>
        <v/>
      </c>
      <c r="D474" s="3" t="str">
        <f>IF(B474="","",VLOOKUP(B474,Customers!$A$5:$J$504,4,FALSE))</f>
        <v/>
      </c>
      <c r="E474" s="4"/>
      <c r="F474" s="28"/>
      <c r="G474" s="4"/>
      <c r="H474" s="32" t="str">
        <f>IF(A474="","",SUMIFS(Sales!$K$5:$K$504,Sales!$I$5:$I$504,A474,Sales!$L$5:$L$504,"Approved"))</f>
        <v/>
      </c>
      <c r="I474" s="32" t="str">
        <f>IF(A474="","",SUMIFS(Payouts!$G$5:$G$504,Payouts!$B$5:$B$504,A474,Payouts!$H$5:$H$504,"Paid"))</f>
        <v/>
      </c>
      <c r="J474" s="32" t="str">
        <f t="shared" si="7"/>
        <v/>
      </c>
      <c r="K474" s="4"/>
      <c r="L474" s="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4"/>
      <c r="B475" s="4"/>
      <c r="C475" s="3" t="str">
        <f>IF(B475="","",VLOOKUP(B475,Customers!$A$5:$J$504,3,FALSE))</f>
        <v/>
      </c>
      <c r="D475" s="3" t="str">
        <f>IF(B475="","",VLOOKUP(B475,Customers!$A$5:$J$504,4,FALSE))</f>
        <v/>
      </c>
      <c r="E475" s="4"/>
      <c r="F475" s="28"/>
      <c r="G475" s="4"/>
      <c r="H475" s="32" t="str">
        <f>IF(A475="","",SUMIFS(Sales!$K$5:$K$504,Sales!$I$5:$I$504,A475,Sales!$L$5:$L$504,"Approved"))</f>
        <v/>
      </c>
      <c r="I475" s="32" t="str">
        <f>IF(A475="","",SUMIFS(Payouts!$G$5:$G$504,Payouts!$B$5:$B$504,A475,Payouts!$H$5:$H$504,"Paid"))</f>
        <v/>
      </c>
      <c r="J475" s="32" t="str">
        <f t="shared" si="7"/>
        <v/>
      </c>
      <c r="K475" s="4"/>
      <c r="L475" s="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4"/>
      <c r="B476" s="4"/>
      <c r="C476" s="3" t="str">
        <f>IF(B476="","",VLOOKUP(B476,Customers!$A$5:$J$504,3,FALSE))</f>
        <v/>
      </c>
      <c r="D476" s="3" t="str">
        <f>IF(B476="","",VLOOKUP(B476,Customers!$A$5:$J$504,4,FALSE))</f>
        <v/>
      </c>
      <c r="E476" s="4"/>
      <c r="F476" s="28"/>
      <c r="G476" s="4"/>
      <c r="H476" s="32" t="str">
        <f>IF(A476="","",SUMIFS(Sales!$K$5:$K$504,Sales!$I$5:$I$504,A476,Sales!$L$5:$L$504,"Approved"))</f>
        <v/>
      </c>
      <c r="I476" s="32" t="str">
        <f>IF(A476="","",SUMIFS(Payouts!$G$5:$G$504,Payouts!$B$5:$B$504,A476,Payouts!$H$5:$H$504,"Paid"))</f>
        <v/>
      </c>
      <c r="J476" s="32" t="str">
        <f t="shared" si="7"/>
        <v/>
      </c>
      <c r="K476" s="4"/>
      <c r="L476" s="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4"/>
      <c r="B477" s="4"/>
      <c r="C477" s="3" t="str">
        <f>IF(B477="","",VLOOKUP(B477,Customers!$A$5:$J$504,3,FALSE))</f>
        <v/>
      </c>
      <c r="D477" s="3" t="str">
        <f>IF(B477="","",VLOOKUP(B477,Customers!$A$5:$J$504,4,FALSE))</f>
        <v/>
      </c>
      <c r="E477" s="4"/>
      <c r="F477" s="28"/>
      <c r="G477" s="4"/>
      <c r="H477" s="32" t="str">
        <f>IF(A477="","",SUMIFS(Sales!$K$5:$K$504,Sales!$I$5:$I$504,A477,Sales!$L$5:$L$504,"Approved"))</f>
        <v/>
      </c>
      <c r="I477" s="32" t="str">
        <f>IF(A477="","",SUMIFS(Payouts!$G$5:$G$504,Payouts!$B$5:$B$504,A477,Payouts!$H$5:$H$504,"Paid"))</f>
        <v/>
      </c>
      <c r="J477" s="32" t="str">
        <f t="shared" si="7"/>
        <v/>
      </c>
      <c r="K477" s="4"/>
      <c r="L477" s="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4"/>
      <c r="B478" s="4"/>
      <c r="C478" s="3" t="str">
        <f>IF(B478="","",VLOOKUP(B478,Customers!$A$5:$J$504,3,FALSE))</f>
        <v/>
      </c>
      <c r="D478" s="3" t="str">
        <f>IF(B478="","",VLOOKUP(B478,Customers!$A$5:$J$504,4,FALSE))</f>
        <v/>
      </c>
      <c r="E478" s="4"/>
      <c r="F478" s="28"/>
      <c r="G478" s="4"/>
      <c r="H478" s="32" t="str">
        <f>IF(A478="","",SUMIFS(Sales!$K$5:$K$504,Sales!$I$5:$I$504,A478,Sales!$L$5:$L$504,"Approved"))</f>
        <v/>
      </c>
      <c r="I478" s="32" t="str">
        <f>IF(A478="","",SUMIFS(Payouts!$G$5:$G$504,Payouts!$B$5:$B$504,A478,Payouts!$H$5:$H$504,"Paid"))</f>
        <v/>
      </c>
      <c r="J478" s="32" t="str">
        <f t="shared" si="7"/>
        <v/>
      </c>
      <c r="K478" s="4"/>
      <c r="L478" s="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4"/>
      <c r="B479" s="4"/>
      <c r="C479" s="3" t="str">
        <f>IF(B479="","",VLOOKUP(B479,Customers!$A$5:$J$504,3,FALSE))</f>
        <v/>
      </c>
      <c r="D479" s="3" t="str">
        <f>IF(B479="","",VLOOKUP(B479,Customers!$A$5:$J$504,4,FALSE))</f>
        <v/>
      </c>
      <c r="E479" s="4"/>
      <c r="F479" s="28"/>
      <c r="G479" s="4"/>
      <c r="H479" s="32" t="str">
        <f>IF(A479="","",SUMIFS(Sales!$K$5:$K$504,Sales!$I$5:$I$504,A479,Sales!$L$5:$L$504,"Approved"))</f>
        <v/>
      </c>
      <c r="I479" s="32" t="str">
        <f>IF(A479="","",SUMIFS(Payouts!$G$5:$G$504,Payouts!$B$5:$B$504,A479,Payouts!$H$5:$H$504,"Paid"))</f>
        <v/>
      </c>
      <c r="J479" s="32" t="str">
        <f t="shared" si="7"/>
        <v/>
      </c>
      <c r="K479" s="4"/>
      <c r="L479" s="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4"/>
      <c r="B480" s="4"/>
      <c r="C480" s="3" t="str">
        <f>IF(B480="","",VLOOKUP(B480,Customers!$A$5:$J$504,3,FALSE))</f>
        <v/>
      </c>
      <c r="D480" s="3" t="str">
        <f>IF(B480="","",VLOOKUP(B480,Customers!$A$5:$J$504,4,FALSE))</f>
        <v/>
      </c>
      <c r="E480" s="4"/>
      <c r="F480" s="28"/>
      <c r="G480" s="4"/>
      <c r="H480" s="32" t="str">
        <f>IF(A480="","",SUMIFS(Sales!$K$5:$K$504,Sales!$I$5:$I$504,A480,Sales!$L$5:$L$504,"Approved"))</f>
        <v/>
      </c>
      <c r="I480" s="32" t="str">
        <f>IF(A480="","",SUMIFS(Payouts!$G$5:$G$504,Payouts!$B$5:$B$504,A480,Payouts!$H$5:$H$504,"Paid"))</f>
        <v/>
      </c>
      <c r="J480" s="32" t="str">
        <f t="shared" si="7"/>
        <v/>
      </c>
      <c r="K480" s="4"/>
      <c r="L480" s="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4"/>
      <c r="B481" s="4"/>
      <c r="C481" s="3" t="str">
        <f>IF(B481="","",VLOOKUP(B481,Customers!$A$5:$J$504,3,FALSE))</f>
        <v/>
      </c>
      <c r="D481" s="3" t="str">
        <f>IF(B481="","",VLOOKUP(B481,Customers!$A$5:$J$504,4,FALSE))</f>
        <v/>
      </c>
      <c r="E481" s="4"/>
      <c r="F481" s="28"/>
      <c r="G481" s="4"/>
      <c r="H481" s="32" t="str">
        <f>IF(A481="","",SUMIFS(Sales!$K$5:$K$504,Sales!$I$5:$I$504,A481,Sales!$L$5:$L$504,"Approved"))</f>
        <v/>
      </c>
      <c r="I481" s="32" t="str">
        <f>IF(A481="","",SUMIFS(Payouts!$G$5:$G$504,Payouts!$B$5:$B$504,A481,Payouts!$H$5:$H$504,"Paid"))</f>
        <v/>
      </c>
      <c r="J481" s="32" t="str">
        <f t="shared" si="7"/>
        <v/>
      </c>
      <c r="K481" s="4"/>
      <c r="L481" s="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4"/>
      <c r="B482" s="4"/>
      <c r="C482" s="3" t="str">
        <f>IF(B482="","",VLOOKUP(B482,Customers!$A$5:$J$504,3,FALSE))</f>
        <v/>
      </c>
      <c r="D482" s="3" t="str">
        <f>IF(B482="","",VLOOKUP(B482,Customers!$A$5:$J$504,4,FALSE))</f>
        <v/>
      </c>
      <c r="E482" s="4"/>
      <c r="F482" s="28"/>
      <c r="G482" s="4"/>
      <c r="H482" s="32" t="str">
        <f>IF(A482="","",SUMIFS(Sales!$K$5:$K$504,Sales!$I$5:$I$504,A482,Sales!$L$5:$L$504,"Approved"))</f>
        <v/>
      </c>
      <c r="I482" s="32" t="str">
        <f>IF(A482="","",SUMIFS(Payouts!$G$5:$G$504,Payouts!$B$5:$B$504,A482,Payouts!$H$5:$H$504,"Paid"))</f>
        <v/>
      </c>
      <c r="J482" s="32" t="str">
        <f t="shared" si="7"/>
        <v/>
      </c>
      <c r="K482" s="4"/>
      <c r="L482" s="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4"/>
      <c r="B483" s="4"/>
      <c r="C483" s="3" t="str">
        <f>IF(B483="","",VLOOKUP(B483,Customers!$A$5:$J$504,3,FALSE))</f>
        <v/>
      </c>
      <c r="D483" s="3" t="str">
        <f>IF(B483="","",VLOOKUP(B483,Customers!$A$5:$J$504,4,FALSE))</f>
        <v/>
      </c>
      <c r="E483" s="4"/>
      <c r="F483" s="28"/>
      <c r="G483" s="4"/>
      <c r="H483" s="32" t="str">
        <f>IF(A483="","",SUMIFS(Sales!$K$5:$K$504,Sales!$I$5:$I$504,A483,Sales!$L$5:$L$504,"Approved"))</f>
        <v/>
      </c>
      <c r="I483" s="32" t="str">
        <f>IF(A483="","",SUMIFS(Payouts!$G$5:$G$504,Payouts!$B$5:$B$504,A483,Payouts!$H$5:$H$504,"Paid"))</f>
        <v/>
      </c>
      <c r="J483" s="32" t="str">
        <f t="shared" si="7"/>
        <v/>
      </c>
      <c r="K483" s="4"/>
      <c r="L483" s="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4"/>
      <c r="B484" s="4"/>
      <c r="C484" s="3" t="str">
        <f>IF(B484="","",VLOOKUP(B484,Customers!$A$5:$J$504,3,FALSE))</f>
        <v/>
      </c>
      <c r="D484" s="3" t="str">
        <f>IF(B484="","",VLOOKUP(B484,Customers!$A$5:$J$504,4,FALSE))</f>
        <v/>
      </c>
      <c r="E484" s="4"/>
      <c r="F484" s="28"/>
      <c r="G484" s="4"/>
      <c r="H484" s="32" t="str">
        <f>IF(A484="","",SUMIFS(Sales!$K$5:$K$504,Sales!$I$5:$I$504,A484,Sales!$L$5:$L$504,"Approved"))</f>
        <v/>
      </c>
      <c r="I484" s="32" t="str">
        <f>IF(A484="","",SUMIFS(Payouts!$G$5:$G$504,Payouts!$B$5:$B$504,A484,Payouts!$H$5:$H$504,"Paid"))</f>
        <v/>
      </c>
      <c r="J484" s="32" t="str">
        <f t="shared" si="7"/>
        <v/>
      </c>
      <c r="K484" s="4"/>
      <c r="L484" s="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4"/>
      <c r="B485" s="4"/>
      <c r="C485" s="3" t="str">
        <f>IF(B485="","",VLOOKUP(B485,Customers!$A$5:$J$504,3,FALSE))</f>
        <v/>
      </c>
      <c r="D485" s="3" t="str">
        <f>IF(B485="","",VLOOKUP(B485,Customers!$A$5:$J$504,4,FALSE))</f>
        <v/>
      </c>
      <c r="E485" s="4"/>
      <c r="F485" s="28"/>
      <c r="G485" s="4"/>
      <c r="H485" s="32" t="str">
        <f>IF(A485="","",SUMIFS(Sales!$K$5:$K$504,Sales!$I$5:$I$504,A485,Sales!$L$5:$L$504,"Approved"))</f>
        <v/>
      </c>
      <c r="I485" s="32" t="str">
        <f>IF(A485="","",SUMIFS(Payouts!$G$5:$G$504,Payouts!$B$5:$B$504,A485,Payouts!$H$5:$H$504,"Paid"))</f>
        <v/>
      </c>
      <c r="J485" s="32" t="str">
        <f t="shared" si="7"/>
        <v/>
      </c>
      <c r="K485" s="4"/>
      <c r="L485" s="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4"/>
      <c r="B486" s="4"/>
      <c r="C486" s="3" t="str">
        <f>IF(B486="","",VLOOKUP(B486,Customers!$A$5:$J$504,3,FALSE))</f>
        <v/>
      </c>
      <c r="D486" s="3" t="str">
        <f>IF(B486="","",VLOOKUP(B486,Customers!$A$5:$J$504,4,FALSE))</f>
        <v/>
      </c>
      <c r="E486" s="4"/>
      <c r="F486" s="28"/>
      <c r="G486" s="4"/>
      <c r="H486" s="32" t="str">
        <f>IF(A486="","",SUMIFS(Sales!$K$5:$K$504,Sales!$I$5:$I$504,A486,Sales!$L$5:$L$504,"Approved"))</f>
        <v/>
      </c>
      <c r="I486" s="32" t="str">
        <f>IF(A486="","",SUMIFS(Payouts!$G$5:$G$504,Payouts!$B$5:$B$504,A486,Payouts!$H$5:$H$504,"Paid"))</f>
        <v/>
      </c>
      <c r="J486" s="32" t="str">
        <f t="shared" si="7"/>
        <v/>
      </c>
      <c r="K486" s="4"/>
      <c r="L486" s="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4"/>
      <c r="B487" s="4"/>
      <c r="C487" s="3" t="str">
        <f>IF(B487="","",VLOOKUP(B487,Customers!$A$5:$J$504,3,FALSE))</f>
        <v/>
      </c>
      <c r="D487" s="3" t="str">
        <f>IF(B487="","",VLOOKUP(B487,Customers!$A$5:$J$504,4,FALSE))</f>
        <v/>
      </c>
      <c r="E487" s="4"/>
      <c r="F487" s="28"/>
      <c r="G487" s="4"/>
      <c r="H487" s="32" t="str">
        <f>IF(A487="","",SUMIFS(Sales!$K$5:$K$504,Sales!$I$5:$I$504,A487,Sales!$L$5:$L$504,"Approved"))</f>
        <v/>
      </c>
      <c r="I487" s="32" t="str">
        <f>IF(A487="","",SUMIFS(Payouts!$G$5:$G$504,Payouts!$B$5:$B$504,A487,Payouts!$H$5:$H$504,"Paid"))</f>
        <v/>
      </c>
      <c r="J487" s="32" t="str">
        <f t="shared" si="7"/>
        <v/>
      </c>
      <c r="K487" s="4"/>
      <c r="L487" s="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4"/>
      <c r="B488" s="4"/>
      <c r="C488" s="3" t="str">
        <f>IF(B488="","",VLOOKUP(B488,Customers!$A$5:$J$504,3,FALSE))</f>
        <v/>
      </c>
      <c r="D488" s="3" t="str">
        <f>IF(B488="","",VLOOKUP(B488,Customers!$A$5:$J$504,4,FALSE))</f>
        <v/>
      </c>
      <c r="E488" s="4"/>
      <c r="F488" s="28"/>
      <c r="G488" s="4"/>
      <c r="H488" s="32" t="str">
        <f>IF(A488="","",SUMIFS(Sales!$K$5:$K$504,Sales!$I$5:$I$504,A488,Sales!$L$5:$L$504,"Approved"))</f>
        <v/>
      </c>
      <c r="I488" s="32" t="str">
        <f>IF(A488="","",SUMIFS(Payouts!$G$5:$G$504,Payouts!$B$5:$B$504,A488,Payouts!$H$5:$H$504,"Paid"))</f>
        <v/>
      </c>
      <c r="J488" s="32" t="str">
        <f t="shared" si="7"/>
        <v/>
      </c>
      <c r="K488" s="4"/>
      <c r="L488" s="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4"/>
      <c r="B489" s="4"/>
      <c r="C489" s="3" t="str">
        <f>IF(B489="","",VLOOKUP(B489,Customers!$A$5:$J$504,3,FALSE))</f>
        <v/>
      </c>
      <c r="D489" s="3" t="str">
        <f>IF(B489="","",VLOOKUP(B489,Customers!$A$5:$J$504,4,FALSE))</f>
        <v/>
      </c>
      <c r="E489" s="4"/>
      <c r="F489" s="28"/>
      <c r="G489" s="4"/>
      <c r="H489" s="32" t="str">
        <f>IF(A489="","",SUMIFS(Sales!$K$5:$K$504,Sales!$I$5:$I$504,A489,Sales!$L$5:$L$504,"Approved"))</f>
        <v/>
      </c>
      <c r="I489" s="32" t="str">
        <f>IF(A489="","",SUMIFS(Payouts!$G$5:$G$504,Payouts!$B$5:$B$504,A489,Payouts!$H$5:$H$504,"Paid"))</f>
        <v/>
      </c>
      <c r="J489" s="32" t="str">
        <f t="shared" si="7"/>
        <v/>
      </c>
      <c r="K489" s="4"/>
      <c r="L489" s="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4"/>
      <c r="B490" s="4"/>
      <c r="C490" s="3" t="str">
        <f>IF(B490="","",VLOOKUP(B490,Customers!$A$5:$J$504,3,FALSE))</f>
        <v/>
      </c>
      <c r="D490" s="3" t="str">
        <f>IF(B490="","",VLOOKUP(B490,Customers!$A$5:$J$504,4,FALSE))</f>
        <v/>
      </c>
      <c r="E490" s="4"/>
      <c r="F490" s="28"/>
      <c r="G490" s="4"/>
      <c r="H490" s="32" t="str">
        <f>IF(A490="","",SUMIFS(Sales!$K$5:$K$504,Sales!$I$5:$I$504,A490,Sales!$L$5:$L$504,"Approved"))</f>
        <v/>
      </c>
      <c r="I490" s="32" t="str">
        <f>IF(A490="","",SUMIFS(Payouts!$G$5:$G$504,Payouts!$B$5:$B$504,A490,Payouts!$H$5:$H$504,"Paid"))</f>
        <v/>
      </c>
      <c r="J490" s="32" t="str">
        <f t="shared" si="7"/>
        <v/>
      </c>
      <c r="K490" s="4"/>
      <c r="L490" s="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4"/>
      <c r="B491" s="4"/>
      <c r="C491" s="3" t="str">
        <f>IF(B491="","",VLOOKUP(B491,Customers!$A$5:$J$504,3,FALSE))</f>
        <v/>
      </c>
      <c r="D491" s="3" t="str">
        <f>IF(B491="","",VLOOKUP(B491,Customers!$A$5:$J$504,4,FALSE))</f>
        <v/>
      </c>
      <c r="E491" s="4"/>
      <c r="F491" s="28"/>
      <c r="G491" s="4"/>
      <c r="H491" s="32" t="str">
        <f>IF(A491="","",SUMIFS(Sales!$K$5:$K$504,Sales!$I$5:$I$504,A491,Sales!$L$5:$L$504,"Approved"))</f>
        <v/>
      </c>
      <c r="I491" s="32" t="str">
        <f>IF(A491="","",SUMIFS(Payouts!$G$5:$G$504,Payouts!$B$5:$B$504,A491,Payouts!$H$5:$H$504,"Paid"))</f>
        <v/>
      </c>
      <c r="J491" s="32" t="str">
        <f t="shared" si="7"/>
        <v/>
      </c>
      <c r="K491" s="4"/>
      <c r="L491" s="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4"/>
      <c r="B492" s="4"/>
      <c r="C492" s="3" t="str">
        <f>IF(B492="","",VLOOKUP(B492,Customers!$A$5:$J$504,3,FALSE))</f>
        <v/>
      </c>
      <c r="D492" s="3" t="str">
        <f>IF(B492="","",VLOOKUP(B492,Customers!$A$5:$J$504,4,FALSE))</f>
        <v/>
      </c>
      <c r="E492" s="4"/>
      <c r="F492" s="28"/>
      <c r="G492" s="4"/>
      <c r="H492" s="32" t="str">
        <f>IF(A492="","",SUMIFS(Sales!$K$5:$K$504,Sales!$I$5:$I$504,A492,Sales!$L$5:$L$504,"Approved"))</f>
        <v/>
      </c>
      <c r="I492" s="32" t="str">
        <f>IF(A492="","",SUMIFS(Payouts!$G$5:$G$504,Payouts!$B$5:$B$504,A492,Payouts!$H$5:$H$504,"Paid"))</f>
        <v/>
      </c>
      <c r="J492" s="32" t="str">
        <f t="shared" si="7"/>
        <v/>
      </c>
      <c r="K492" s="4"/>
      <c r="L492" s="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4"/>
      <c r="B493" s="4"/>
      <c r="C493" s="3" t="str">
        <f>IF(B493="","",VLOOKUP(B493,Customers!$A$5:$J$504,3,FALSE))</f>
        <v/>
      </c>
      <c r="D493" s="3" t="str">
        <f>IF(B493="","",VLOOKUP(B493,Customers!$A$5:$J$504,4,FALSE))</f>
        <v/>
      </c>
      <c r="E493" s="4"/>
      <c r="F493" s="28"/>
      <c r="G493" s="4"/>
      <c r="H493" s="32" t="str">
        <f>IF(A493="","",SUMIFS(Sales!$K$5:$K$504,Sales!$I$5:$I$504,A493,Sales!$L$5:$L$504,"Approved"))</f>
        <v/>
      </c>
      <c r="I493" s="32" t="str">
        <f>IF(A493="","",SUMIFS(Payouts!$G$5:$G$504,Payouts!$B$5:$B$504,A493,Payouts!$H$5:$H$504,"Paid"))</f>
        <v/>
      </c>
      <c r="J493" s="32" t="str">
        <f t="shared" si="7"/>
        <v/>
      </c>
      <c r="K493" s="4"/>
      <c r="L493" s="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4"/>
      <c r="B494" s="4"/>
      <c r="C494" s="3" t="str">
        <f>IF(B494="","",VLOOKUP(B494,Customers!$A$5:$J$504,3,FALSE))</f>
        <v/>
      </c>
      <c r="D494" s="3" t="str">
        <f>IF(B494="","",VLOOKUP(B494,Customers!$A$5:$J$504,4,FALSE))</f>
        <v/>
      </c>
      <c r="E494" s="4"/>
      <c r="F494" s="28"/>
      <c r="G494" s="4"/>
      <c r="H494" s="32" t="str">
        <f>IF(A494="","",SUMIFS(Sales!$K$5:$K$504,Sales!$I$5:$I$504,A494,Sales!$L$5:$L$504,"Approved"))</f>
        <v/>
      </c>
      <c r="I494" s="32" t="str">
        <f>IF(A494="","",SUMIFS(Payouts!$G$5:$G$504,Payouts!$B$5:$B$504,A494,Payouts!$H$5:$H$504,"Paid"))</f>
        <v/>
      </c>
      <c r="J494" s="32" t="str">
        <f t="shared" si="7"/>
        <v/>
      </c>
      <c r="K494" s="4"/>
      <c r="L494" s="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4"/>
      <c r="B495" s="4"/>
      <c r="C495" s="3" t="str">
        <f>IF(B495="","",VLOOKUP(B495,Customers!$A$5:$J$504,3,FALSE))</f>
        <v/>
      </c>
      <c r="D495" s="3" t="str">
        <f>IF(B495="","",VLOOKUP(B495,Customers!$A$5:$J$504,4,FALSE))</f>
        <v/>
      </c>
      <c r="E495" s="4"/>
      <c r="F495" s="28"/>
      <c r="G495" s="4"/>
      <c r="H495" s="32" t="str">
        <f>IF(A495="","",SUMIFS(Sales!$K$5:$K$504,Sales!$I$5:$I$504,A495,Sales!$L$5:$L$504,"Approved"))</f>
        <v/>
      </c>
      <c r="I495" s="32" t="str">
        <f>IF(A495="","",SUMIFS(Payouts!$G$5:$G$504,Payouts!$B$5:$B$504,A495,Payouts!$H$5:$H$504,"Paid"))</f>
        <v/>
      </c>
      <c r="J495" s="32" t="str">
        <f t="shared" si="7"/>
        <v/>
      </c>
      <c r="K495" s="4"/>
      <c r="L495" s="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4"/>
      <c r="B496" s="4"/>
      <c r="C496" s="3" t="str">
        <f>IF(B496="","",VLOOKUP(B496,Customers!$A$5:$J$504,3,FALSE))</f>
        <v/>
      </c>
      <c r="D496" s="3" t="str">
        <f>IF(B496="","",VLOOKUP(B496,Customers!$A$5:$J$504,4,FALSE))</f>
        <v/>
      </c>
      <c r="E496" s="4"/>
      <c r="F496" s="28"/>
      <c r="G496" s="4"/>
      <c r="H496" s="32" t="str">
        <f>IF(A496="","",SUMIFS(Sales!$K$5:$K$504,Sales!$I$5:$I$504,A496,Sales!$L$5:$L$504,"Approved"))</f>
        <v/>
      </c>
      <c r="I496" s="32" t="str">
        <f>IF(A496="","",SUMIFS(Payouts!$G$5:$G$504,Payouts!$B$5:$B$504,A496,Payouts!$H$5:$H$504,"Paid"))</f>
        <v/>
      </c>
      <c r="J496" s="32" t="str">
        <f t="shared" si="7"/>
        <v/>
      </c>
      <c r="K496" s="4"/>
      <c r="L496" s="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4"/>
      <c r="B497" s="4"/>
      <c r="C497" s="3" t="str">
        <f>IF(B497="","",VLOOKUP(B497,Customers!$A$5:$J$504,3,FALSE))</f>
        <v/>
      </c>
      <c r="D497" s="3" t="str">
        <f>IF(B497="","",VLOOKUP(B497,Customers!$A$5:$J$504,4,FALSE))</f>
        <v/>
      </c>
      <c r="E497" s="4"/>
      <c r="F497" s="28"/>
      <c r="G497" s="4"/>
      <c r="H497" s="32" t="str">
        <f>IF(A497="","",SUMIFS(Sales!$K$5:$K$504,Sales!$I$5:$I$504,A497,Sales!$L$5:$L$504,"Approved"))</f>
        <v/>
      </c>
      <c r="I497" s="32" t="str">
        <f>IF(A497="","",SUMIFS(Payouts!$G$5:$G$504,Payouts!$B$5:$B$504,A497,Payouts!$H$5:$H$504,"Paid"))</f>
        <v/>
      </c>
      <c r="J497" s="32" t="str">
        <f t="shared" si="7"/>
        <v/>
      </c>
      <c r="K497" s="4"/>
      <c r="L497" s="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4"/>
      <c r="B498" s="4"/>
      <c r="C498" s="3" t="str">
        <f>IF(B498="","",VLOOKUP(B498,Customers!$A$5:$J$504,3,FALSE))</f>
        <v/>
      </c>
      <c r="D498" s="3" t="str">
        <f>IF(B498="","",VLOOKUP(B498,Customers!$A$5:$J$504,4,FALSE))</f>
        <v/>
      </c>
      <c r="E498" s="4"/>
      <c r="F498" s="28"/>
      <c r="G498" s="4"/>
      <c r="H498" s="32" t="str">
        <f>IF(A498="","",SUMIFS(Sales!$K$5:$K$504,Sales!$I$5:$I$504,A498,Sales!$L$5:$L$504,"Approved"))</f>
        <v/>
      </c>
      <c r="I498" s="32" t="str">
        <f>IF(A498="","",SUMIFS(Payouts!$G$5:$G$504,Payouts!$B$5:$B$504,A498,Payouts!$H$5:$H$504,"Paid"))</f>
        <v/>
      </c>
      <c r="J498" s="32" t="str">
        <f t="shared" si="7"/>
        <v/>
      </c>
      <c r="K498" s="4"/>
      <c r="L498" s="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4"/>
      <c r="B499" s="4"/>
      <c r="C499" s="3" t="str">
        <f>IF(B499="","",VLOOKUP(B499,Customers!$A$5:$J$504,3,FALSE))</f>
        <v/>
      </c>
      <c r="D499" s="3" t="str">
        <f>IF(B499="","",VLOOKUP(B499,Customers!$A$5:$J$504,4,FALSE))</f>
        <v/>
      </c>
      <c r="E499" s="4"/>
      <c r="F499" s="28"/>
      <c r="G499" s="4"/>
      <c r="H499" s="32" t="str">
        <f>IF(A499="","",SUMIFS(Sales!$K$5:$K$504,Sales!$I$5:$I$504,A499,Sales!$L$5:$L$504,"Approved"))</f>
        <v/>
      </c>
      <c r="I499" s="32" t="str">
        <f>IF(A499="","",SUMIFS(Payouts!$G$5:$G$504,Payouts!$B$5:$B$504,A499,Payouts!$H$5:$H$504,"Paid"))</f>
        <v/>
      </c>
      <c r="J499" s="32" t="str">
        <f t="shared" si="7"/>
        <v/>
      </c>
      <c r="K499" s="4"/>
      <c r="L499" s="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4"/>
      <c r="B500" s="4"/>
      <c r="C500" s="3" t="str">
        <f>IF(B500="","",VLOOKUP(B500,Customers!$A$5:$J$504,3,FALSE))</f>
        <v/>
      </c>
      <c r="D500" s="3" t="str">
        <f>IF(B500="","",VLOOKUP(B500,Customers!$A$5:$J$504,4,FALSE))</f>
        <v/>
      </c>
      <c r="E500" s="4"/>
      <c r="F500" s="28"/>
      <c r="G500" s="4"/>
      <c r="H500" s="32" t="str">
        <f>IF(A500="","",SUMIFS(Sales!$K$5:$K$504,Sales!$I$5:$I$504,A500,Sales!$L$5:$L$504,"Approved"))</f>
        <v/>
      </c>
      <c r="I500" s="32" t="str">
        <f>IF(A500="","",SUMIFS(Payouts!$G$5:$G$504,Payouts!$B$5:$B$504,A500,Payouts!$H$5:$H$504,"Paid"))</f>
        <v/>
      </c>
      <c r="J500" s="32" t="str">
        <f t="shared" si="7"/>
        <v/>
      </c>
      <c r="K500" s="4"/>
      <c r="L500" s="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4"/>
      <c r="B501" s="4"/>
      <c r="C501" s="3" t="str">
        <f>IF(B501="","",VLOOKUP(B501,Customers!$A$5:$J$504,3,FALSE))</f>
        <v/>
      </c>
      <c r="D501" s="3" t="str">
        <f>IF(B501="","",VLOOKUP(B501,Customers!$A$5:$J$504,4,FALSE))</f>
        <v/>
      </c>
      <c r="E501" s="4"/>
      <c r="F501" s="28"/>
      <c r="G501" s="4"/>
      <c r="H501" s="32" t="str">
        <f>IF(A501="","",SUMIFS(Sales!$K$5:$K$504,Sales!$I$5:$I$504,A501,Sales!$L$5:$L$504,"Approved"))</f>
        <v/>
      </c>
      <c r="I501" s="32" t="str">
        <f>IF(A501="","",SUMIFS(Payouts!$G$5:$G$504,Payouts!$B$5:$B$504,A501,Payouts!$H$5:$H$504,"Paid"))</f>
        <v/>
      </c>
      <c r="J501" s="32" t="str">
        <f t="shared" si="7"/>
        <v/>
      </c>
      <c r="K501" s="4"/>
      <c r="L501" s="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4"/>
      <c r="B502" s="4"/>
      <c r="C502" s="3" t="str">
        <f>IF(B502="","",VLOOKUP(B502,Customers!$A$5:$J$504,3,FALSE))</f>
        <v/>
      </c>
      <c r="D502" s="3" t="str">
        <f>IF(B502="","",VLOOKUP(B502,Customers!$A$5:$J$504,4,FALSE))</f>
        <v/>
      </c>
      <c r="E502" s="4"/>
      <c r="F502" s="28"/>
      <c r="G502" s="4"/>
      <c r="H502" s="32" t="str">
        <f>IF(A502="","",SUMIFS(Sales!$K$5:$K$504,Sales!$I$5:$I$504,A502,Sales!$L$5:$L$504,"Approved"))</f>
        <v/>
      </c>
      <c r="I502" s="32" t="str">
        <f>IF(A502="","",SUMIFS(Payouts!$G$5:$G$504,Payouts!$B$5:$B$504,A502,Payouts!$H$5:$H$504,"Paid"))</f>
        <v/>
      </c>
      <c r="J502" s="32" t="str">
        <f t="shared" si="7"/>
        <v/>
      </c>
      <c r="K502" s="4"/>
      <c r="L502" s="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4"/>
      <c r="B503" s="4"/>
      <c r="C503" s="3" t="str">
        <f>IF(B503="","",VLOOKUP(B503,Customers!$A$5:$J$504,3,FALSE))</f>
        <v/>
      </c>
      <c r="D503" s="3" t="str">
        <f>IF(B503="","",VLOOKUP(B503,Customers!$A$5:$J$504,4,FALSE))</f>
        <v/>
      </c>
      <c r="E503" s="4"/>
      <c r="F503" s="28"/>
      <c r="G503" s="4"/>
      <c r="H503" s="32" t="str">
        <f>IF(A503="","",SUMIFS(Sales!$K$5:$K$504,Sales!$I$5:$I$504,A503,Sales!$L$5:$L$504,"Approved"))</f>
        <v/>
      </c>
      <c r="I503" s="32" t="str">
        <f>IF(A503="","",SUMIFS(Payouts!$G$5:$G$504,Payouts!$B$5:$B$504,A503,Payouts!$H$5:$H$504,"Paid"))</f>
        <v/>
      </c>
      <c r="J503" s="32" t="str">
        <f t="shared" si="7"/>
        <v/>
      </c>
      <c r="K503" s="4"/>
      <c r="L503" s="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3"/>
      <c r="B504" s="13"/>
      <c r="C504" s="10" t="str">
        <f>IF(B504="","",VLOOKUP(B504,Customers!$A$5:$J$504,3,FALSE))</f>
        <v/>
      </c>
      <c r="D504" s="10" t="str">
        <f>IF(B504="","",VLOOKUP(B504,Customers!$A$5:$J$504,4,FALSE))</f>
        <v/>
      </c>
      <c r="E504" s="13"/>
      <c r="F504" s="29"/>
      <c r="G504" s="13"/>
      <c r="H504" s="35" t="str">
        <f>IF(A504="","",SUMIFS(Sales!$K$5:$K$504,Sales!$I$5:$I$504,A504,Sales!$L$5:$L$504,"Approved"))</f>
        <v/>
      </c>
      <c r="I504" s="35" t="str">
        <f>IF(A504="","",SUMIFS(Payouts!$G$5:$G$504,Payouts!$B$5:$B$504,A504,Payouts!$H$5:$H$504,"Paid"))</f>
        <v/>
      </c>
      <c r="J504" s="35" t="str">
        <f t="shared" si="7"/>
        <v/>
      </c>
      <c r="K504" s="13"/>
      <c r="L504" s="13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2">
    <mergeCell ref="A1:L1"/>
    <mergeCell ref="A2:L2"/>
  </mergeCells>
  <hyperlinks>
    <hyperlink ref="E5" r:id="rId1" display="https://skilllance.courses/?ref=SKILLLANCE01" xr:uid="{08271290-9D19-484A-8493-2358DED59B7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Lists!$F$5:$F$7</xm:f>
          </x14:formula1>
          <xm:sqref>G5:G504</xm:sqref>
        </x14:dataValidation>
        <x14:dataValidation type="list" xr:uid="{00000000-0002-0000-0500-000001000000}">
          <x14:formula1>
            <xm:f>Lists!$H$5:$H$7</xm:f>
          </x14:formula1>
          <xm:sqref>K5:K504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00"/>
  <sheetViews>
    <sheetView showGridLines="0" workbookViewId="0">
      <pane ySplit="4" topLeftCell="A5" activePane="bottomLeft" state="frozen"/>
      <selection pane="bottomLeft" sqref="A1:K1"/>
    </sheetView>
  </sheetViews>
  <sheetFormatPr defaultRowHeight="14.25"/>
  <cols>
    <col min="1" max="5" width="15" customWidth="1"/>
    <col min="6" max="6" width="20" customWidth="1"/>
    <col min="7" max="7" width="15" customWidth="1"/>
    <col min="8" max="8" width="17" customWidth="1"/>
    <col min="9" max="9" width="24" customWidth="1"/>
    <col min="10" max="10" width="15" customWidth="1"/>
    <col min="11" max="11" width="28" customWidth="1"/>
  </cols>
  <sheetData>
    <row r="1" spans="1:26" ht="24.95" customHeight="1">
      <c r="A1" s="42" t="s">
        <v>100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95" customHeight="1">
      <c r="A2" s="44" t="s">
        <v>101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38" t="s">
        <v>102</v>
      </c>
      <c r="B4" s="38" t="s">
        <v>89</v>
      </c>
      <c r="C4" s="38" t="s">
        <v>103</v>
      </c>
      <c r="D4" s="38" t="s">
        <v>104</v>
      </c>
      <c r="E4" s="38" t="s">
        <v>105</v>
      </c>
      <c r="F4" s="38" t="s">
        <v>95</v>
      </c>
      <c r="G4" s="38" t="s">
        <v>106</v>
      </c>
      <c r="H4" s="38" t="s">
        <v>107</v>
      </c>
      <c r="I4" s="38" t="s">
        <v>108</v>
      </c>
      <c r="J4" s="38" t="s">
        <v>109</v>
      </c>
      <c r="K4" s="38" t="s">
        <v>42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>
      <c r="A5" s="4"/>
      <c r="B5" s="4"/>
      <c r="C5" s="28"/>
      <c r="D5" s="28"/>
      <c r="E5" s="28"/>
      <c r="F5" s="30"/>
      <c r="G5" s="30"/>
      <c r="H5" s="4"/>
      <c r="I5" s="4"/>
      <c r="J5" s="28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/>
      <c r="B6" s="4"/>
      <c r="C6" s="28"/>
      <c r="D6" s="28"/>
      <c r="E6" s="28"/>
      <c r="F6" s="30"/>
      <c r="G6" s="30"/>
      <c r="H6" s="4"/>
      <c r="I6" s="4"/>
      <c r="J6" s="28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/>
      <c r="B7" s="4"/>
      <c r="C7" s="28"/>
      <c r="D7" s="28"/>
      <c r="E7" s="28"/>
      <c r="F7" s="30"/>
      <c r="G7" s="30"/>
      <c r="H7" s="4"/>
      <c r="I7" s="4"/>
      <c r="J7" s="28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/>
      <c r="B8" s="4"/>
      <c r="C8" s="28"/>
      <c r="D8" s="28"/>
      <c r="E8" s="28"/>
      <c r="F8" s="30"/>
      <c r="G8" s="30"/>
      <c r="H8" s="4"/>
      <c r="I8" s="4"/>
      <c r="J8" s="28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4"/>
      <c r="C9" s="28"/>
      <c r="D9" s="28"/>
      <c r="E9" s="28"/>
      <c r="F9" s="30"/>
      <c r="G9" s="30"/>
      <c r="H9" s="4"/>
      <c r="I9" s="4"/>
      <c r="J9" s="28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4"/>
      <c r="C10" s="28"/>
      <c r="D10" s="28"/>
      <c r="E10" s="28"/>
      <c r="F10" s="30"/>
      <c r="G10" s="30"/>
      <c r="H10" s="4"/>
      <c r="I10" s="4"/>
      <c r="J10" s="28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28"/>
      <c r="D11" s="28"/>
      <c r="E11" s="28"/>
      <c r="F11" s="30"/>
      <c r="G11" s="30"/>
      <c r="H11" s="4"/>
      <c r="I11" s="4"/>
      <c r="J11" s="28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28"/>
      <c r="D12" s="28"/>
      <c r="E12" s="28"/>
      <c r="F12" s="30"/>
      <c r="G12" s="30"/>
      <c r="H12" s="4"/>
      <c r="I12" s="4"/>
      <c r="J12" s="28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28"/>
      <c r="D13" s="28"/>
      <c r="E13" s="28"/>
      <c r="F13" s="30"/>
      <c r="G13" s="30"/>
      <c r="H13" s="4"/>
      <c r="I13" s="4"/>
      <c r="J13" s="28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28"/>
      <c r="D14" s="28"/>
      <c r="E14" s="28"/>
      <c r="F14" s="30"/>
      <c r="G14" s="30"/>
      <c r="H14" s="4"/>
      <c r="I14" s="4"/>
      <c r="J14" s="28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28"/>
      <c r="D15" s="28"/>
      <c r="E15" s="28"/>
      <c r="F15" s="30"/>
      <c r="G15" s="30"/>
      <c r="H15" s="4"/>
      <c r="I15" s="4"/>
      <c r="J15" s="28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28"/>
      <c r="D16" s="28"/>
      <c r="E16" s="28"/>
      <c r="F16" s="30"/>
      <c r="G16" s="30"/>
      <c r="H16" s="4"/>
      <c r="I16" s="4"/>
      <c r="J16" s="28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28"/>
      <c r="D17" s="28"/>
      <c r="E17" s="28"/>
      <c r="F17" s="30"/>
      <c r="G17" s="30"/>
      <c r="H17" s="4"/>
      <c r="I17" s="4"/>
      <c r="J17" s="28"/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28"/>
      <c r="D18" s="28"/>
      <c r="E18" s="28"/>
      <c r="F18" s="30"/>
      <c r="G18" s="30"/>
      <c r="H18" s="4"/>
      <c r="I18" s="4"/>
      <c r="J18" s="28"/>
      <c r="K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28"/>
      <c r="D19" s="28"/>
      <c r="E19" s="28"/>
      <c r="F19" s="30"/>
      <c r="G19" s="30"/>
      <c r="H19" s="4"/>
      <c r="I19" s="4"/>
      <c r="J19" s="28"/>
      <c r="K19" s="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28"/>
      <c r="D20" s="28"/>
      <c r="E20" s="28"/>
      <c r="F20" s="30"/>
      <c r="G20" s="30"/>
      <c r="H20" s="4"/>
      <c r="I20" s="4"/>
      <c r="J20" s="28"/>
      <c r="K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28"/>
      <c r="D21" s="28"/>
      <c r="E21" s="28"/>
      <c r="F21" s="30"/>
      <c r="G21" s="30"/>
      <c r="H21" s="4"/>
      <c r="I21" s="4"/>
      <c r="J21" s="28"/>
      <c r="K21" s="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28"/>
      <c r="D22" s="28"/>
      <c r="E22" s="28"/>
      <c r="F22" s="30"/>
      <c r="G22" s="30"/>
      <c r="H22" s="4"/>
      <c r="I22" s="4"/>
      <c r="J22" s="28"/>
      <c r="K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28"/>
      <c r="D23" s="28"/>
      <c r="E23" s="28"/>
      <c r="F23" s="30"/>
      <c r="G23" s="30"/>
      <c r="H23" s="4"/>
      <c r="I23" s="4"/>
      <c r="J23" s="28"/>
      <c r="K23" s="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28"/>
      <c r="D24" s="28"/>
      <c r="E24" s="28"/>
      <c r="F24" s="30"/>
      <c r="G24" s="30"/>
      <c r="H24" s="4"/>
      <c r="I24" s="4"/>
      <c r="J24" s="28"/>
      <c r="K24" s="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28"/>
      <c r="D25" s="28"/>
      <c r="E25" s="28"/>
      <c r="F25" s="30"/>
      <c r="G25" s="30"/>
      <c r="H25" s="4"/>
      <c r="I25" s="4"/>
      <c r="J25" s="28"/>
      <c r="K25" s="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28"/>
      <c r="D26" s="28"/>
      <c r="E26" s="28"/>
      <c r="F26" s="30"/>
      <c r="G26" s="30"/>
      <c r="H26" s="4"/>
      <c r="I26" s="4"/>
      <c r="J26" s="28"/>
      <c r="K26" s="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4"/>
      <c r="B27" s="4"/>
      <c r="C27" s="28"/>
      <c r="D27" s="28"/>
      <c r="E27" s="28"/>
      <c r="F27" s="30"/>
      <c r="G27" s="30"/>
      <c r="H27" s="4"/>
      <c r="I27" s="4"/>
      <c r="J27" s="28"/>
      <c r="K27" s="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"/>
      <c r="B28" s="4"/>
      <c r="C28" s="28"/>
      <c r="D28" s="28"/>
      <c r="E28" s="28"/>
      <c r="F28" s="30"/>
      <c r="G28" s="30"/>
      <c r="H28" s="4"/>
      <c r="I28" s="4"/>
      <c r="J28" s="28"/>
      <c r="K28" s="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"/>
      <c r="B29" s="4"/>
      <c r="C29" s="28"/>
      <c r="D29" s="28"/>
      <c r="E29" s="28"/>
      <c r="F29" s="30"/>
      <c r="G29" s="30"/>
      <c r="H29" s="4"/>
      <c r="I29" s="4"/>
      <c r="J29" s="28"/>
      <c r="K29" s="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"/>
      <c r="B30" s="4"/>
      <c r="C30" s="28"/>
      <c r="D30" s="28"/>
      <c r="E30" s="28"/>
      <c r="F30" s="30"/>
      <c r="G30" s="30"/>
      <c r="H30" s="4"/>
      <c r="I30" s="4"/>
      <c r="J30" s="28"/>
      <c r="K30" s="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4"/>
      <c r="B31" s="4"/>
      <c r="C31" s="28"/>
      <c r="D31" s="28"/>
      <c r="E31" s="28"/>
      <c r="F31" s="30"/>
      <c r="G31" s="30"/>
      <c r="H31" s="4"/>
      <c r="I31" s="4"/>
      <c r="J31" s="28"/>
      <c r="K31" s="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4"/>
      <c r="B32" s="4"/>
      <c r="C32" s="28"/>
      <c r="D32" s="28"/>
      <c r="E32" s="28"/>
      <c r="F32" s="30"/>
      <c r="G32" s="30"/>
      <c r="H32" s="4"/>
      <c r="I32" s="4"/>
      <c r="J32" s="28"/>
      <c r="K32" s="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"/>
      <c r="B33" s="4"/>
      <c r="C33" s="28"/>
      <c r="D33" s="28"/>
      <c r="E33" s="28"/>
      <c r="F33" s="30"/>
      <c r="G33" s="30"/>
      <c r="H33" s="4"/>
      <c r="I33" s="4"/>
      <c r="J33" s="28"/>
      <c r="K33" s="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"/>
      <c r="B34" s="4"/>
      <c r="C34" s="28"/>
      <c r="D34" s="28"/>
      <c r="E34" s="28"/>
      <c r="F34" s="30"/>
      <c r="G34" s="30"/>
      <c r="H34" s="4"/>
      <c r="I34" s="4"/>
      <c r="J34" s="28"/>
      <c r="K34" s="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4"/>
      <c r="B35" s="4"/>
      <c r="C35" s="28"/>
      <c r="D35" s="28"/>
      <c r="E35" s="28"/>
      <c r="F35" s="30"/>
      <c r="G35" s="30"/>
      <c r="H35" s="4"/>
      <c r="I35" s="4"/>
      <c r="J35" s="28"/>
      <c r="K35" s="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"/>
      <c r="B36" s="4"/>
      <c r="C36" s="28"/>
      <c r="D36" s="28"/>
      <c r="E36" s="28"/>
      <c r="F36" s="30"/>
      <c r="G36" s="30"/>
      <c r="H36" s="4"/>
      <c r="I36" s="4"/>
      <c r="J36" s="28"/>
      <c r="K36" s="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4"/>
      <c r="B37" s="4"/>
      <c r="C37" s="28"/>
      <c r="D37" s="28"/>
      <c r="E37" s="28"/>
      <c r="F37" s="30"/>
      <c r="G37" s="30"/>
      <c r="H37" s="4"/>
      <c r="I37" s="4"/>
      <c r="J37" s="28"/>
      <c r="K37" s="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"/>
      <c r="B38" s="4"/>
      <c r="C38" s="28"/>
      <c r="D38" s="28"/>
      <c r="E38" s="28"/>
      <c r="F38" s="30"/>
      <c r="G38" s="30"/>
      <c r="H38" s="4"/>
      <c r="I38" s="4"/>
      <c r="J38" s="28"/>
      <c r="K38" s="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4"/>
      <c r="B39" s="4"/>
      <c r="C39" s="28"/>
      <c r="D39" s="28"/>
      <c r="E39" s="28"/>
      <c r="F39" s="30"/>
      <c r="G39" s="30"/>
      <c r="H39" s="4"/>
      <c r="I39" s="4"/>
      <c r="J39" s="28"/>
      <c r="K39" s="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4"/>
      <c r="B40" s="4"/>
      <c r="C40" s="28"/>
      <c r="D40" s="28"/>
      <c r="E40" s="28"/>
      <c r="F40" s="30"/>
      <c r="G40" s="30"/>
      <c r="H40" s="4"/>
      <c r="I40" s="4"/>
      <c r="J40" s="28"/>
      <c r="K40" s="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"/>
      <c r="B41" s="4"/>
      <c r="C41" s="28"/>
      <c r="D41" s="28"/>
      <c r="E41" s="28"/>
      <c r="F41" s="30"/>
      <c r="G41" s="30"/>
      <c r="H41" s="4"/>
      <c r="I41" s="4"/>
      <c r="J41" s="28"/>
      <c r="K41" s="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4"/>
      <c r="B42" s="4"/>
      <c r="C42" s="28"/>
      <c r="D42" s="28"/>
      <c r="E42" s="28"/>
      <c r="F42" s="30"/>
      <c r="G42" s="30"/>
      <c r="H42" s="4"/>
      <c r="I42" s="4"/>
      <c r="J42" s="28"/>
      <c r="K42" s="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"/>
      <c r="B43" s="4"/>
      <c r="C43" s="28"/>
      <c r="D43" s="28"/>
      <c r="E43" s="28"/>
      <c r="F43" s="30"/>
      <c r="G43" s="30"/>
      <c r="H43" s="4"/>
      <c r="I43" s="4"/>
      <c r="J43" s="28"/>
      <c r="K43" s="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4"/>
      <c r="B44" s="4"/>
      <c r="C44" s="28"/>
      <c r="D44" s="28"/>
      <c r="E44" s="28"/>
      <c r="F44" s="30"/>
      <c r="G44" s="30"/>
      <c r="H44" s="4"/>
      <c r="I44" s="4"/>
      <c r="J44" s="28"/>
      <c r="K44" s="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"/>
      <c r="B45" s="4"/>
      <c r="C45" s="28"/>
      <c r="D45" s="28"/>
      <c r="E45" s="28"/>
      <c r="F45" s="30"/>
      <c r="G45" s="30"/>
      <c r="H45" s="4"/>
      <c r="I45" s="4"/>
      <c r="J45" s="28"/>
      <c r="K45" s="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4"/>
      <c r="B46" s="4"/>
      <c r="C46" s="28"/>
      <c r="D46" s="28"/>
      <c r="E46" s="28"/>
      <c r="F46" s="30"/>
      <c r="G46" s="30"/>
      <c r="H46" s="4"/>
      <c r="I46" s="4"/>
      <c r="J46" s="28"/>
      <c r="K46" s="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4"/>
      <c r="B47" s="4"/>
      <c r="C47" s="28"/>
      <c r="D47" s="28"/>
      <c r="E47" s="28"/>
      <c r="F47" s="30"/>
      <c r="G47" s="30"/>
      <c r="H47" s="4"/>
      <c r="I47" s="4"/>
      <c r="J47" s="28"/>
      <c r="K47" s="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4"/>
      <c r="B48" s="4"/>
      <c r="C48" s="28"/>
      <c r="D48" s="28"/>
      <c r="E48" s="28"/>
      <c r="F48" s="30"/>
      <c r="G48" s="30"/>
      <c r="H48" s="4"/>
      <c r="I48" s="4"/>
      <c r="J48" s="28"/>
      <c r="K48" s="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4"/>
      <c r="B49" s="4"/>
      <c r="C49" s="28"/>
      <c r="D49" s="28"/>
      <c r="E49" s="28"/>
      <c r="F49" s="30"/>
      <c r="G49" s="30"/>
      <c r="H49" s="4"/>
      <c r="I49" s="4"/>
      <c r="J49" s="28"/>
      <c r="K49" s="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4"/>
      <c r="B50" s="4"/>
      <c r="C50" s="28"/>
      <c r="D50" s="28"/>
      <c r="E50" s="28"/>
      <c r="F50" s="30"/>
      <c r="G50" s="30"/>
      <c r="H50" s="4"/>
      <c r="I50" s="4"/>
      <c r="J50" s="28"/>
      <c r="K50" s="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4"/>
      <c r="B51" s="4"/>
      <c r="C51" s="28"/>
      <c r="D51" s="28"/>
      <c r="E51" s="28"/>
      <c r="F51" s="30"/>
      <c r="G51" s="30"/>
      <c r="H51" s="4"/>
      <c r="I51" s="4"/>
      <c r="J51" s="28"/>
      <c r="K51" s="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4"/>
      <c r="B52" s="4"/>
      <c r="C52" s="28"/>
      <c r="D52" s="28"/>
      <c r="E52" s="28"/>
      <c r="F52" s="30"/>
      <c r="G52" s="30"/>
      <c r="H52" s="4"/>
      <c r="I52" s="4"/>
      <c r="J52" s="28"/>
      <c r="K52" s="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4"/>
      <c r="B53" s="4"/>
      <c r="C53" s="28"/>
      <c r="D53" s="28"/>
      <c r="E53" s="28"/>
      <c r="F53" s="30"/>
      <c r="G53" s="30"/>
      <c r="H53" s="4"/>
      <c r="I53" s="4"/>
      <c r="J53" s="28"/>
      <c r="K53" s="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4"/>
      <c r="B54" s="4"/>
      <c r="C54" s="28"/>
      <c r="D54" s="28"/>
      <c r="E54" s="28"/>
      <c r="F54" s="30"/>
      <c r="G54" s="30"/>
      <c r="H54" s="4"/>
      <c r="I54" s="4"/>
      <c r="J54" s="28"/>
      <c r="K54" s="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4"/>
      <c r="B55" s="4"/>
      <c r="C55" s="28"/>
      <c r="D55" s="28"/>
      <c r="E55" s="28"/>
      <c r="F55" s="30"/>
      <c r="G55" s="30"/>
      <c r="H55" s="4"/>
      <c r="I55" s="4"/>
      <c r="J55" s="28"/>
      <c r="K55" s="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4"/>
      <c r="B56" s="4"/>
      <c r="C56" s="28"/>
      <c r="D56" s="28"/>
      <c r="E56" s="28"/>
      <c r="F56" s="30"/>
      <c r="G56" s="30"/>
      <c r="H56" s="4"/>
      <c r="I56" s="4"/>
      <c r="J56" s="28"/>
      <c r="K56" s="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4"/>
      <c r="B57" s="4"/>
      <c r="C57" s="28"/>
      <c r="D57" s="28"/>
      <c r="E57" s="28"/>
      <c r="F57" s="30"/>
      <c r="G57" s="30"/>
      <c r="H57" s="4"/>
      <c r="I57" s="4"/>
      <c r="J57" s="28"/>
      <c r="K57" s="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4"/>
      <c r="B58" s="4"/>
      <c r="C58" s="28"/>
      <c r="D58" s="28"/>
      <c r="E58" s="28"/>
      <c r="F58" s="30"/>
      <c r="G58" s="30"/>
      <c r="H58" s="4"/>
      <c r="I58" s="4"/>
      <c r="J58" s="28"/>
      <c r="K58" s="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4"/>
      <c r="B59" s="4"/>
      <c r="C59" s="28"/>
      <c r="D59" s="28"/>
      <c r="E59" s="28"/>
      <c r="F59" s="30"/>
      <c r="G59" s="30"/>
      <c r="H59" s="4"/>
      <c r="I59" s="4"/>
      <c r="J59" s="28"/>
      <c r="K59" s="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4"/>
      <c r="B60" s="4"/>
      <c r="C60" s="28"/>
      <c r="D60" s="28"/>
      <c r="E60" s="28"/>
      <c r="F60" s="30"/>
      <c r="G60" s="30"/>
      <c r="H60" s="4"/>
      <c r="I60" s="4"/>
      <c r="J60" s="28"/>
      <c r="K60" s="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4"/>
      <c r="B61" s="4"/>
      <c r="C61" s="28"/>
      <c r="D61" s="28"/>
      <c r="E61" s="28"/>
      <c r="F61" s="30"/>
      <c r="G61" s="30"/>
      <c r="H61" s="4"/>
      <c r="I61" s="4"/>
      <c r="J61" s="28"/>
      <c r="K61" s="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4"/>
      <c r="B62" s="4"/>
      <c r="C62" s="28"/>
      <c r="D62" s="28"/>
      <c r="E62" s="28"/>
      <c r="F62" s="30"/>
      <c r="G62" s="30"/>
      <c r="H62" s="4"/>
      <c r="I62" s="4"/>
      <c r="J62" s="28"/>
      <c r="K62" s="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4"/>
      <c r="B63" s="4"/>
      <c r="C63" s="28"/>
      <c r="D63" s="28"/>
      <c r="E63" s="28"/>
      <c r="F63" s="30"/>
      <c r="G63" s="30"/>
      <c r="H63" s="4"/>
      <c r="I63" s="4"/>
      <c r="J63" s="28"/>
      <c r="K63" s="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4"/>
      <c r="B64" s="4"/>
      <c r="C64" s="28"/>
      <c r="D64" s="28"/>
      <c r="E64" s="28"/>
      <c r="F64" s="30"/>
      <c r="G64" s="30"/>
      <c r="H64" s="4"/>
      <c r="I64" s="4"/>
      <c r="J64" s="28"/>
      <c r="K64" s="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4"/>
      <c r="B65" s="4"/>
      <c r="C65" s="28"/>
      <c r="D65" s="28"/>
      <c r="E65" s="28"/>
      <c r="F65" s="30"/>
      <c r="G65" s="30"/>
      <c r="H65" s="4"/>
      <c r="I65" s="4"/>
      <c r="J65" s="28"/>
      <c r="K65" s="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4"/>
      <c r="B66" s="4"/>
      <c r="C66" s="28"/>
      <c r="D66" s="28"/>
      <c r="E66" s="28"/>
      <c r="F66" s="30"/>
      <c r="G66" s="30"/>
      <c r="H66" s="4"/>
      <c r="I66" s="4"/>
      <c r="J66" s="28"/>
      <c r="K66" s="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4"/>
      <c r="B67" s="4"/>
      <c r="C67" s="28"/>
      <c r="D67" s="28"/>
      <c r="E67" s="28"/>
      <c r="F67" s="30"/>
      <c r="G67" s="30"/>
      <c r="H67" s="4"/>
      <c r="I67" s="4"/>
      <c r="J67" s="28"/>
      <c r="K67" s="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4"/>
      <c r="B68" s="4"/>
      <c r="C68" s="28"/>
      <c r="D68" s="28"/>
      <c r="E68" s="28"/>
      <c r="F68" s="30"/>
      <c r="G68" s="30"/>
      <c r="H68" s="4"/>
      <c r="I68" s="4"/>
      <c r="J68" s="28"/>
      <c r="K68" s="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4"/>
      <c r="B69" s="4"/>
      <c r="C69" s="28"/>
      <c r="D69" s="28"/>
      <c r="E69" s="28"/>
      <c r="F69" s="30"/>
      <c r="G69" s="30"/>
      <c r="H69" s="4"/>
      <c r="I69" s="4"/>
      <c r="J69" s="28"/>
      <c r="K69" s="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4"/>
      <c r="B70" s="4"/>
      <c r="C70" s="28"/>
      <c r="D70" s="28"/>
      <c r="E70" s="28"/>
      <c r="F70" s="30"/>
      <c r="G70" s="30"/>
      <c r="H70" s="4"/>
      <c r="I70" s="4"/>
      <c r="J70" s="28"/>
      <c r="K70" s="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4"/>
      <c r="B71" s="4"/>
      <c r="C71" s="28"/>
      <c r="D71" s="28"/>
      <c r="E71" s="28"/>
      <c r="F71" s="30"/>
      <c r="G71" s="30"/>
      <c r="H71" s="4"/>
      <c r="I71" s="4"/>
      <c r="J71" s="28"/>
      <c r="K71" s="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4"/>
      <c r="B72" s="4"/>
      <c r="C72" s="28"/>
      <c r="D72" s="28"/>
      <c r="E72" s="28"/>
      <c r="F72" s="30"/>
      <c r="G72" s="30"/>
      <c r="H72" s="4"/>
      <c r="I72" s="4"/>
      <c r="J72" s="28"/>
      <c r="K72" s="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4"/>
      <c r="B73" s="4"/>
      <c r="C73" s="28"/>
      <c r="D73" s="28"/>
      <c r="E73" s="28"/>
      <c r="F73" s="30"/>
      <c r="G73" s="30"/>
      <c r="H73" s="4"/>
      <c r="I73" s="4"/>
      <c r="J73" s="28"/>
      <c r="K73" s="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4"/>
      <c r="B74" s="4"/>
      <c r="C74" s="28"/>
      <c r="D74" s="28"/>
      <c r="E74" s="28"/>
      <c r="F74" s="30"/>
      <c r="G74" s="30"/>
      <c r="H74" s="4"/>
      <c r="I74" s="4"/>
      <c r="J74" s="28"/>
      <c r="K74" s="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4"/>
      <c r="B75" s="4"/>
      <c r="C75" s="28"/>
      <c r="D75" s="28"/>
      <c r="E75" s="28"/>
      <c r="F75" s="30"/>
      <c r="G75" s="30"/>
      <c r="H75" s="4"/>
      <c r="I75" s="4"/>
      <c r="J75" s="28"/>
      <c r="K75" s="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4"/>
      <c r="B76" s="4"/>
      <c r="C76" s="28"/>
      <c r="D76" s="28"/>
      <c r="E76" s="28"/>
      <c r="F76" s="30"/>
      <c r="G76" s="30"/>
      <c r="H76" s="4"/>
      <c r="I76" s="4"/>
      <c r="J76" s="28"/>
      <c r="K76" s="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4"/>
      <c r="B77" s="4"/>
      <c r="C77" s="28"/>
      <c r="D77" s="28"/>
      <c r="E77" s="28"/>
      <c r="F77" s="30"/>
      <c r="G77" s="30"/>
      <c r="H77" s="4"/>
      <c r="I77" s="4"/>
      <c r="J77" s="28"/>
      <c r="K77" s="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4"/>
      <c r="B78" s="4"/>
      <c r="C78" s="28"/>
      <c r="D78" s="28"/>
      <c r="E78" s="28"/>
      <c r="F78" s="30"/>
      <c r="G78" s="30"/>
      <c r="H78" s="4"/>
      <c r="I78" s="4"/>
      <c r="J78" s="28"/>
      <c r="K78" s="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4"/>
      <c r="B79" s="4"/>
      <c r="C79" s="28"/>
      <c r="D79" s="28"/>
      <c r="E79" s="28"/>
      <c r="F79" s="30"/>
      <c r="G79" s="30"/>
      <c r="H79" s="4"/>
      <c r="I79" s="4"/>
      <c r="J79" s="28"/>
      <c r="K79" s="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4"/>
      <c r="B80" s="4"/>
      <c r="C80" s="28"/>
      <c r="D80" s="28"/>
      <c r="E80" s="28"/>
      <c r="F80" s="30"/>
      <c r="G80" s="30"/>
      <c r="H80" s="4"/>
      <c r="I80" s="4"/>
      <c r="J80" s="28"/>
      <c r="K80" s="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4"/>
      <c r="B81" s="4"/>
      <c r="C81" s="28"/>
      <c r="D81" s="28"/>
      <c r="E81" s="28"/>
      <c r="F81" s="30"/>
      <c r="G81" s="30"/>
      <c r="H81" s="4"/>
      <c r="I81" s="4"/>
      <c r="J81" s="28"/>
      <c r="K81" s="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4"/>
      <c r="B82" s="4"/>
      <c r="C82" s="28"/>
      <c r="D82" s="28"/>
      <c r="E82" s="28"/>
      <c r="F82" s="30"/>
      <c r="G82" s="30"/>
      <c r="H82" s="4"/>
      <c r="I82" s="4"/>
      <c r="J82" s="28"/>
      <c r="K82" s="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4"/>
      <c r="B83" s="4"/>
      <c r="C83" s="28"/>
      <c r="D83" s="28"/>
      <c r="E83" s="28"/>
      <c r="F83" s="30"/>
      <c r="G83" s="30"/>
      <c r="H83" s="4"/>
      <c r="I83" s="4"/>
      <c r="J83" s="28"/>
      <c r="K83" s="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4"/>
      <c r="B84" s="4"/>
      <c r="C84" s="28"/>
      <c r="D84" s="28"/>
      <c r="E84" s="28"/>
      <c r="F84" s="30"/>
      <c r="G84" s="30"/>
      <c r="H84" s="4"/>
      <c r="I84" s="4"/>
      <c r="J84" s="28"/>
      <c r="K84" s="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4"/>
      <c r="B85" s="4"/>
      <c r="C85" s="28"/>
      <c r="D85" s="28"/>
      <c r="E85" s="28"/>
      <c r="F85" s="30"/>
      <c r="G85" s="30"/>
      <c r="H85" s="4"/>
      <c r="I85" s="4"/>
      <c r="J85" s="28"/>
      <c r="K85" s="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4"/>
      <c r="B86" s="4"/>
      <c r="C86" s="28"/>
      <c r="D86" s="28"/>
      <c r="E86" s="28"/>
      <c r="F86" s="30"/>
      <c r="G86" s="30"/>
      <c r="H86" s="4"/>
      <c r="I86" s="4"/>
      <c r="J86" s="28"/>
      <c r="K86" s="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4"/>
      <c r="B87" s="4"/>
      <c r="C87" s="28"/>
      <c r="D87" s="28"/>
      <c r="E87" s="28"/>
      <c r="F87" s="30"/>
      <c r="G87" s="30"/>
      <c r="H87" s="4"/>
      <c r="I87" s="4"/>
      <c r="J87" s="28"/>
      <c r="K87" s="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4"/>
      <c r="B88" s="4"/>
      <c r="C88" s="28"/>
      <c r="D88" s="28"/>
      <c r="E88" s="28"/>
      <c r="F88" s="30"/>
      <c r="G88" s="30"/>
      <c r="H88" s="4"/>
      <c r="I88" s="4"/>
      <c r="J88" s="28"/>
      <c r="K88" s="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4"/>
      <c r="B89" s="4"/>
      <c r="C89" s="28"/>
      <c r="D89" s="28"/>
      <c r="E89" s="28"/>
      <c r="F89" s="30"/>
      <c r="G89" s="30"/>
      <c r="H89" s="4"/>
      <c r="I89" s="4"/>
      <c r="J89" s="28"/>
      <c r="K89" s="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4"/>
      <c r="B90" s="4"/>
      <c r="C90" s="28"/>
      <c r="D90" s="28"/>
      <c r="E90" s="28"/>
      <c r="F90" s="30"/>
      <c r="G90" s="30"/>
      <c r="H90" s="4"/>
      <c r="I90" s="4"/>
      <c r="J90" s="28"/>
      <c r="K90" s="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4"/>
      <c r="B91" s="4"/>
      <c r="C91" s="28"/>
      <c r="D91" s="28"/>
      <c r="E91" s="28"/>
      <c r="F91" s="30"/>
      <c r="G91" s="30"/>
      <c r="H91" s="4"/>
      <c r="I91" s="4"/>
      <c r="J91" s="28"/>
      <c r="K91" s="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4"/>
      <c r="B92" s="4"/>
      <c r="C92" s="28"/>
      <c r="D92" s="28"/>
      <c r="E92" s="28"/>
      <c r="F92" s="30"/>
      <c r="G92" s="30"/>
      <c r="H92" s="4"/>
      <c r="I92" s="4"/>
      <c r="J92" s="28"/>
      <c r="K92" s="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4"/>
      <c r="B93" s="4"/>
      <c r="C93" s="28"/>
      <c r="D93" s="28"/>
      <c r="E93" s="28"/>
      <c r="F93" s="30"/>
      <c r="G93" s="30"/>
      <c r="H93" s="4"/>
      <c r="I93" s="4"/>
      <c r="J93" s="28"/>
      <c r="K93" s="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4"/>
      <c r="B94" s="4"/>
      <c r="C94" s="28"/>
      <c r="D94" s="28"/>
      <c r="E94" s="28"/>
      <c r="F94" s="30"/>
      <c r="G94" s="30"/>
      <c r="H94" s="4"/>
      <c r="I94" s="4"/>
      <c r="J94" s="28"/>
      <c r="K94" s="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4"/>
      <c r="B95" s="4"/>
      <c r="C95" s="28"/>
      <c r="D95" s="28"/>
      <c r="E95" s="28"/>
      <c r="F95" s="30"/>
      <c r="G95" s="30"/>
      <c r="H95" s="4"/>
      <c r="I95" s="4"/>
      <c r="J95" s="28"/>
      <c r="K95" s="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4"/>
      <c r="B96" s="4"/>
      <c r="C96" s="28"/>
      <c r="D96" s="28"/>
      <c r="E96" s="28"/>
      <c r="F96" s="30"/>
      <c r="G96" s="30"/>
      <c r="H96" s="4"/>
      <c r="I96" s="4"/>
      <c r="J96" s="28"/>
      <c r="K96" s="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4"/>
      <c r="B97" s="4"/>
      <c r="C97" s="28"/>
      <c r="D97" s="28"/>
      <c r="E97" s="28"/>
      <c r="F97" s="30"/>
      <c r="G97" s="30"/>
      <c r="H97" s="4"/>
      <c r="I97" s="4"/>
      <c r="J97" s="28"/>
      <c r="K97" s="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4"/>
      <c r="B98" s="4"/>
      <c r="C98" s="28"/>
      <c r="D98" s="28"/>
      <c r="E98" s="28"/>
      <c r="F98" s="30"/>
      <c r="G98" s="30"/>
      <c r="H98" s="4"/>
      <c r="I98" s="4"/>
      <c r="J98" s="28"/>
      <c r="K98" s="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4"/>
      <c r="B99" s="4"/>
      <c r="C99" s="28"/>
      <c r="D99" s="28"/>
      <c r="E99" s="28"/>
      <c r="F99" s="30"/>
      <c r="G99" s="30"/>
      <c r="H99" s="4"/>
      <c r="I99" s="4"/>
      <c r="J99" s="28"/>
      <c r="K99" s="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4"/>
      <c r="B100" s="4"/>
      <c r="C100" s="28"/>
      <c r="D100" s="28"/>
      <c r="E100" s="28"/>
      <c r="F100" s="30"/>
      <c r="G100" s="30"/>
      <c r="H100" s="4"/>
      <c r="I100" s="4"/>
      <c r="J100" s="28"/>
      <c r="K100" s="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4"/>
      <c r="B101" s="4"/>
      <c r="C101" s="28"/>
      <c r="D101" s="28"/>
      <c r="E101" s="28"/>
      <c r="F101" s="30"/>
      <c r="G101" s="30"/>
      <c r="H101" s="4"/>
      <c r="I101" s="4"/>
      <c r="J101" s="28"/>
      <c r="K101" s="4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4"/>
      <c r="B102" s="4"/>
      <c r="C102" s="28"/>
      <c r="D102" s="28"/>
      <c r="E102" s="28"/>
      <c r="F102" s="30"/>
      <c r="G102" s="30"/>
      <c r="H102" s="4"/>
      <c r="I102" s="4"/>
      <c r="J102" s="28"/>
      <c r="K102" s="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4"/>
      <c r="B103" s="4"/>
      <c r="C103" s="28"/>
      <c r="D103" s="28"/>
      <c r="E103" s="28"/>
      <c r="F103" s="30"/>
      <c r="G103" s="30"/>
      <c r="H103" s="4"/>
      <c r="I103" s="4"/>
      <c r="J103" s="28"/>
      <c r="K103" s="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4"/>
      <c r="B104" s="4"/>
      <c r="C104" s="28"/>
      <c r="D104" s="28"/>
      <c r="E104" s="28"/>
      <c r="F104" s="30"/>
      <c r="G104" s="30"/>
      <c r="H104" s="4"/>
      <c r="I104" s="4"/>
      <c r="J104" s="28"/>
      <c r="K104" s="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4"/>
      <c r="B105" s="4"/>
      <c r="C105" s="28"/>
      <c r="D105" s="28"/>
      <c r="E105" s="28"/>
      <c r="F105" s="30"/>
      <c r="G105" s="30"/>
      <c r="H105" s="4"/>
      <c r="I105" s="4"/>
      <c r="J105" s="28"/>
      <c r="K105" s="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4"/>
      <c r="B106" s="4"/>
      <c r="C106" s="28"/>
      <c r="D106" s="28"/>
      <c r="E106" s="28"/>
      <c r="F106" s="30"/>
      <c r="G106" s="30"/>
      <c r="H106" s="4"/>
      <c r="I106" s="4"/>
      <c r="J106" s="28"/>
      <c r="K106" s="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4"/>
      <c r="B107" s="4"/>
      <c r="C107" s="28"/>
      <c r="D107" s="28"/>
      <c r="E107" s="28"/>
      <c r="F107" s="30"/>
      <c r="G107" s="30"/>
      <c r="H107" s="4"/>
      <c r="I107" s="4"/>
      <c r="J107" s="28"/>
      <c r="K107" s="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4"/>
      <c r="B108" s="4"/>
      <c r="C108" s="28"/>
      <c r="D108" s="28"/>
      <c r="E108" s="28"/>
      <c r="F108" s="30"/>
      <c r="G108" s="30"/>
      <c r="H108" s="4"/>
      <c r="I108" s="4"/>
      <c r="J108" s="28"/>
      <c r="K108" s="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4"/>
      <c r="B109" s="4"/>
      <c r="C109" s="28"/>
      <c r="D109" s="28"/>
      <c r="E109" s="28"/>
      <c r="F109" s="30"/>
      <c r="G109" s="30"/>
      <c r="H109" s="4"/>
      <c r="I109" s="4"/>
      <c r="J109" s="28"/>
      <c r="K109" s="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4"/>
      <c r="B110" s="4"/>
      <c r="C110" s="28"/>
      <c r="D110" s="28"/>
      <c r="E110" s="28"/>
      <c r="F110" s="30"/>
      <c r="G110" s="30"/>
      <c r="H110" s="4"/>
      <c r="I110" s="4"/>
      <c r="J110" s="28"/>
      <c r="K110" s="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4"/>
      <c r="B111" s="4"/>
      <c r="C111" s="28"/>
      <c r="D111" s="28"/>
      <c r="E111" s="28"/>
      <c r="F111" s="30"/>
      <c r="G111" s="30"/>
      <c r="H111" s="4"/>
      <c r="I111" s="4"/>
      <c r="J111" s="28"/>
      <c r="K111" s="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4"/>
      <c r="B112" s="4"/>
      <c r="C112" s="28"/>
      <c r="D112" s="28"/>
      <c r="E112" s="28"/>
      <c r="F112" s="30"/>
      <c r="G112" s="30"/>
      <c r="H112" s="4"/>
      <c r="I112" s="4"/>
      <c r="J112" s="28"/>
      <c r="K112" s="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4"/>
      <c r="B113" s="4"/>
      <c r="C113" s="28"/>
      <c r="D113" s="28"/>
      <c r="E113" s="28"/>
      <c r="F113" s="30"/>
      <c r="G113" s="30"/>
      <c r="H113" s="4"/>
      <c r="I113" s="4"/>
      <c r="J113" s="28"/>
      <c r="K113" s="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4"/>
      <c r="B114" s="4"/>
      <c r="C114" s="28"/>
      <c r="D114" s="28"/>
      <c r="E114" s="28"/>
      <c r="F114" s="30"/>
      <c r="G114" s="30"/>
      <c r="H114" s="4"/>
      <c r="I114" s="4"/>
      <c r="J114" s="28"/>
      <c r="K114" s="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4"/>
      <c r="B115" s="4"/>
      <c r="C115" s="28"/>
      <c r="D115" s="28"/>
      <c r="E115" s="28"/>
      <c r="F115" s="30"/>
      <c r="G115" s="30"/>
      <c r="H115" s="4"/>
      <c r="I115" s="4"/>
      <c r="J115" s="28"/>
      <c r="K115" s="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4"/>
      <c r="B116" s="4"/>
      <c r="C116" s="28"/>
      <c r="D116" s="28"/>
      <c r="E116" s="28"/>
      <c r="F116" s="30"/>
      <c r="G116" s="30"/>
      <c r="H116" s="4"/>
      <c r="I116" s="4"/>
      <c r="J116" s="28"/>
      <c r="K116" s="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4"/>
      <c r="B117" s="4"/>
      <c r="C117" s="28"/>
      <c r="D117" s="28"/>
      <c r="E117" s="28"/>
      <c r="F117" s="30"/>
      <c r="G117" s="30"/>
      <c r="H117" s="4"/>
      <c r="I117" s="4"/>
      <c r="J117" s="28"/>
      <c r="K117" s="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4"/>
      <c r="B118" s="4"/>
      <c r="C118" s="28"/>
      <c r="D118" s="28"/>
      <c r="E118" s="28"/>
      <c r="F118" s="30"/>
      <c r="G118" s="30"/>
      <c r="H118" s="4"/>
      <c r="I118" s="4"/>
      <c r="J118" s="28"/>
      <c r="K118" s="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4"/>
      <c r="B119" s="4"/>
      <c r="C119" s="28"/>
      <c r="D119" s="28"/>
      <c r="E119" s="28"/>
      <c r="F119" s="30"/>
      <c r="G119" s="30"/>
      <c r="H119" s="4"/>
      <c r="I119" s="4"/>
      <c r="J119" s="28"/>
      <c r="K119" s="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4"/>
      <c r="B120" s="4"/>
      <c r="C120" s="28"/>
      <c r="D120" s="28"/>
      <c r="E120" s="28"/>
      <c r="F120" s="30"/>
      <c r="G120" s="30"/>
      <c r="H120" s="4"/>
      <c r="I120" s="4"/>
      <c r="J120" s="28"/>
      <c r="K120" s="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4"/>
      <c r="B121" s="4"/>
      <c r="C121" s="28"/>
      <c r="D121" s="28"/>
      <c r="E121" s="28"/>
      <c r="F121" s="30"/>
      <c r="G121" s="30"/>
      <c r="H121" s="4"/>
      <c r="I121" s="4"/>
      <c r="J121" s="28"/>
      <c r="K121" s="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4"/>
      <c r="B122" s="4"/>
      <c r="C122" s="28"/>
      <c r="D122" s="28"/>
      <c r="E122" s="28"/>
      <c r="F122" s="30"/>
      <c r="G122" s="30"/>
      <c r="H122" s="4"/>
      <c r="I122" s="4"/>
      <c r="J122" s="28"/>
      <c r="K122" s="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4"/>
      <c r="B123" s="4"/>
      <c r="C123" s="28"/>
      <c r="D123" s="28"/>
      <c r="E123" s="28"/>
      <c r="F123" s="30"/>
      <c r="G123" s="30"/>
      <c r="H123" s="4"/>
      <c r="I123" s="4"/>
      <c r="J123" s="28"/>
      <c r="K123" s="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4"/>
      <c r="B124" s="4"/>
      <c r="C124" s="28"/>
      <c r="D124" s="28"/>
      <c r="E124" s="28"/>
      <c r="F124" s="30"/>
      <c r="G124" s="30"/>
      <c r="H124" s="4"/>
      <c r="I124" s="4"/>
      <c r="J124" s="28"/>
      <c r="K124" s="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4"/>
      <c r="B125" s="4"/>
      <c r="C125" s="28"/>
      <c r="D125" s="28"/>
      <c r="E125" s="28"/>
      <c r="F125" s="30"/>
      <c r="G125" s="30"/>
      <c r="H125" s="4"/>
      <c r="I125" s="4"/>
      <c r="J125" s="28"/>
      <c r="K125" s="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4"/>
      <c r="B126" s="4"/>
      <c r="C126" s="28"/>
      <c r="D126" s="28"/>
      <c r="E126" s="28"/>
      <c r="F126" s="30"/>
      <c r="G126" s="30"/>
      <c r="H126" s="4"/>
      <c r="I126" s="4"/>
      <c r="J126" s="28"/>
      <c r="K126" s="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4"/>
      <c r="B127" s="4"/>
      <c r="C127" s="28"/>
      <c r="D127" s="28"/>
      <c r="E127" s="28"/>
      <c r="F127" s="30"/>
      <c r="G127" s="30"/>
      <c r="H127" s="4"/>
      <c r="I127" s="4"/>
      <c r="J127" s="28"/>
      <c r="K127" s="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4"/>
      <c r="B128" s="4"/>
      <c r="C128" s="28"/>
      <c r="D128" s="28"/>
      <c r="E128" s="28"/>
      <c r="F128" s="30"/>
      <c r="G128" s="30"/>
      <c r="H128" s="4"/>
      <c r="I128" s="4"/>
      <c r="J128" s="28"/>
      <c r="K128" s="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4"/>
      <c r="B129" s="4"/>
      <c r="C129" s="28"/>
      <c r="D129" s="28"/>
      <c r="E129" s="28"/>
      <c r="F129" s="30"/>
      <c r="G129" s="30"/>
      <c r="H129" s="4"/>
      <c r="I129" s="4"/>
      <c r="J129" s="28"/>
      <c r="K129" s="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4"/>
      <c r="B130" s="4"/>
      <c r="C130" s="28"/>
      <c r="D130" s="28"/>
      <c r="E130" s="28"/>
      <c r="F130" s="30"/>
      <c r="G130" s="30"/>
      <c r="H130" s="4"/>
      <c r="I130" s="4"/>
      <c r="J130" s="28"/>
      <c r="K130" s="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4"/>
      <c r="B131" s="4"/>
      <c r="C131" s="28"/>
      <c r="D131" s="28"/>
      <c r="E131" s="28"/>
      <c r="F131" s="30"/>
      <c r="G131" s="30"/>
      <c r="H131" s="4"/>
      <c r="I131" s="4"/>
      <c r="J131" s="28"/>
      <c r="K131" s="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4"/>
      <c r="B132" s="4"/>
      <c r="C132" s="28"/>
      <c r="D132" s="28"/>
      <c r="E132" s="28"/>
      <c r="F132" s="30"/>
      <c r="G132" s="30"/>
      <c r="H132" s="4"/>
      <c r="I132" s="4"/>
      <c r="J132" s="28"/>
      <c r="K132" s="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4"/>
      <c r="B133" s="4"/>
      <c r="C133" s="28"/>
      <c r="D133" s="28"/>
      <c r="E133" s="28"/>
      <c r="F133" s="30"/>
      <c r="G133" s="30"/>
      <c r="H133" s="4"/>
      <c r="I133" s="4"/>
      <c r="J133" s="28"/>
      <c r="K133" s="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4"/>
      <c r="B134" s="4"/>
      <c r="C134" s="28"/>
      <c r="D134" s="28"/>
      <c r="E134" s="28"/>
      <c r="F134" s="30"/>
      <c r="G134" s="30"/>
      <c r="H134" s="4"/>
      <c r="I134" s="4"/>
      <c r="J134" s="28"/>
      <c r="K134" s="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4"/>
      <c r="B135" s="4"/>
      <c r="C135" s="28"/>
      <c r="D135" s="28"/>
      <c r="E135" s="28"/>
      <c r="F135" s="30"/>
      <c r="G135" s="30"/>
      <c r="H135" s="4"/>
      <c r="I135" s="4"/>
      <c r="J135" s="28"/>
      <c r="K135" s="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4"/>
      <c r="B136" s="4"/>
      <c r="C136" s="28"/>
      <c r="D136" s="28"/>
      <c r="E136" s="28"/>
      <c r="F136" s="30"/>
      <c r="G136" s="30"/>
      <c r="H136" s="4"/>
      <c r="I136" s="4"/>
      <c r="J136" s="28"/>
      <c r="K136" s="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4"/>
      <c r="B137" s="4"/>
      <c r="C137" s="28"/>
      <c r="D137" s="28"/>
      <c r="E137" s="28"/>
      <c r="F137" s="30"/>
      <c r="G137" s="30"/>
      <c r="H137" s="4"/>
      <c r="I137" s="4"/>
      <c r="J137" s="28"/>
      <c r="K137" s="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4"/>
      <c r="B138" s="4"/>
      <c r="C138" s="28"/>
      <c r="D138" s="28"/>
      <c r="E138" s="28"/>
      <c r="F138" s="30"/>
      <c r="G138" s="30"/>
      <c r="H138" s="4"/>
      <c r="I138" s="4"/>
      <c r="J138" s="28"/>
      <c r="K138" s="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4"/>
      <c r="B139" s="4"/>
      <c r="C139" s="28"/>
      <c r="D139" s="28"/>
      <c r="E139" s="28"/>
      <c r="F139" s="30"/>
      <c r="G139" s="30"/>
      <c r="H139" s="4"/>
      <c r="I139" s="4"/>
      <c r="J139" s="28"/>
      <c r="K139" s="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4"/>
      <c r="B140" s="4"/>
      <c r="C140" s="28"/>
      <c r="D140" s="28"/>
      <c r="E140" s="28"/>
      <c r="F140" s="30"/>
      <c r="G140" s="30"/>
      <c r="H140" s="4"/>
      <c r="I140" s="4"/>
      <c r="J140" s="28"/>
      <c r="K140" s="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4"/>
      <c r="B141" s="4"/>
      <c r="C141" s="28"/>
      <c r="D141" s="28"/>
      <c r="E141" s="28"/>
      <c r="F141" s="30"/>
      <c r="G141" s="30"/>
      <c r="H141" s="4"/>
      <c r="I141" s="4"/>
      <c r="J141" s="28"/>
      <c r="K141" s="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4"/>
      <c r="B142" s="4"/>
      <c r="C142" s="28"/>
      <c r="D142" s="28"/>
      <c r="E142" s="28"/>
      <c r="F142" s="30"/>
      <c r="G142" s="30"/>
      <c r="H142" s="4"/>
      <c r="I142" s="4"/>
      <c r="J142" s="28"/>
      <c r="K142" s="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4"/>
      <c r="B143" s="4"/>
      <c r="C143" s="28"/>
      <c r="D143" s="28"/>
      <c r="E143" s="28"/>
      <c r="F143" s="30"/>
      <c r="G143" s="30"/>
      <c r="H143" s="4"/>
      <c r="I143" s="4"/>
      <c r="J143" s="28"/>
      <c r="K143" s="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4"/>
      <c r="B144" s="4"/>
      <c r="C144" s="28"/>
      <c r="D144" s="28"/>
      <c r="E144" s="28"/>
      <c r="F144" s="30"/>
      <c r="G144" s="30"/>
      <c r="H144" s="4"/>
      <c r="I144" s="4"/>
      <c r="J144" s="28"/>
      <c r="K144" s="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4"/>
      <c r="B145" s="4"/>
      <c r="C145" s="28"/>
      <c r="D145" s="28"/>
      <c r="E145" s="28"/>
      <c r="F145" s="30"/>
      <c r="G145" s="30"/>
      <c r="H145" s="4"/>
      <c r="I145" s="4"/>
      <c r="J145" s="28"/>
      <c r="K145" s="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4"/>
      <c r="B146" s="4"/>
      <c r="C146" s="28"/>
      <c r="D146" s="28"/>
      <c r="E146" s="28"/>
      <c r="F146" s="30"/>
      <c r="G146" s="30"/>
      <c r="H146" s="4"/>
      <c r="I146" s="4"/>
      <c r="J146" s="28"/>
      <c r="K146" s="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4"/>
      <c r="B147" s="4"/>
      <c r="C147" s="28"/>
      <c r="D147" s="28"/>
      <c r="E147" s="28"/>
      <c r="F147" s="30"/>
      <c r="G147" s="30"/>
      <c r="H147" s="4"/>
      <c r="I147" s="4"/>
      <c r="J147" s="28"/>
      <c r="K147" s="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4"/>
      <c r="B148" s="4"/>
      <c r="C148" s="28"/>
      <c r="D148" s="28"/>
      <c r="E148" s="28"/>
      <c r="F148" s="30"/>
      <c r="G148" s="30"/>
      <c r="H148" s="4"/>
      <c r="I148" s="4"/>
      <c r="J148" s="28"/>
      <c r="K148" s="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4"/>
      <c r="B149" s="4"/>
      <c r="C149" s="28"/>
      <c r="D149" s="28"/>
      <c r="E149" s="28"/>
      <c r="F149" s="30"/>
      <c r="G149" s="30"/>
      <c r="H149" s="4"/>
      <c r="I149" s="4"/>
      <c r="J149" s="28"/>
      <c r="K149" s="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4"/>
      <c r="B150" s="4"/>
      <c r="C150" s="28"/>
      <c r="D150" s="28"/>
      <c r="E150" s="28"/>
      <c r="F150" s="30"/>
      <c r="G150" s="30"/>
      <c r="H150" s="4"/>
      <c r="I150" s="4"/>
      <c r="J150" s="28"/>
      <c r="K150" s="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4"/>
      <c r="B151" s="4"/>
      <c r="C151" s="28"/>
      <c r="D151" s="28"/>
      <c r="E151" s="28"/>
      <c r="F151" s="30"/>
      <c r="G151" s="30"/>
      <c r="H151" s="4"/>
      <c r="I151" s="4"/>
      <c r="J151" s="28"/>
      <c r="K151" s="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4"/>
      <c r="B152" s="4"/>
      <c r="C152" s="28"/>
      <c r="D152" s="28"/>
      <c r="E152" s="28"/>
      <c r="F152" s="30"/>
      <c r="G152" s="30"/>
      <c r="H152" s="4"/>
      <c r="I152" s="4"/>
      <c r="J152" s="28"/>
      <c r="K152" s="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4"/>
      <c r="B153" s="4"/>
      <c r="C153" s="28"/>
      <c r="D153" s="28"/>
      <c r="E153" s="28"/>
      <c r="F153" s="30"/>
      <c r="G153" s="30"/>
      <c r="H153" s="4"/>
      <c r="I153" s="4"/>
      <c r="J153" s="28"/>
      <c r="K153" s="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4"/>
      <c r="B154" s="4"/>
      <c r="C154" s="28"/>
      <c r="D154" s="28"/>
      <c r="E154" s="28"/>
      <c r="F154" s="30"/>
      <c r="G154" s="30"/>
      <c r="H154" s="4"/>
      <c r="I154" s="4"/>
      <c r="J154" s="28"/>
      <c r="K154" s="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4"/>
      <c r="B155" s="4"/>
      <c r="C155" s="28"/>
      <c r="D155" s="28"/>
      <c r="E155" s="28"/>
      <c r="F155" s="30"/>
      <c r="G155" s="30"/>
      <c r="H155" s="4"/>
      <c r="I155" s="4"/>
      <c r="J155" s="28"/>
      <c r="K155" s="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4"/>
      <c r="B156" s="4"/>
      <c r="C156" s="28"/>
      <c r="D156" s="28"/>
      <c r="E156" s="28"/>
      <c r="F156" s="30"/>
      <c r="G156" s="30"/>
      <c r="H156" s="4"/>
      <c r="I156" s="4"/>
      <c r="J156" s="28"/>
      <c r="K156" s="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4"/>
      <c r="B157" s="4"/>
      <c r="C157" s="28"/>
      <c r="D157" s="28"/>
      <c r="E157" s="28"/>
      <c r="F157" s="30"/>
      <c r="G157" s="30"/>
      <c r="H157" s="4"/>
      <c r="I157" s="4"/>
      <c r="J157" s="28"/>
      <c r="K157" s="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4"/>
      <c r="B158" s="4"/>
      <c r="C158" s="28"/>
      <c r="D158" s="28"/>
      <c r="E158" s="28"/>
      <c r="F158" s="30"/>
      <c r="G158" s="30"/>
      <c r="H158" s="4"/>
      <c r="I158" s="4"/>
      <c r="J158" s="28"/>
      <c r="K158" s="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4"/>
      <c r="B159" s="4"/>
      <c r="C159" s="28"/>
      <c r="D159" s="28"/>
      <c r="E159" s="28"/>
      <c r="F159" s="30"/>
      <c r="G159" s="30"/>
      <c r="H159" s="4"/>
      <c r="I159" s="4"/>
      <c r="J159" s="28"/>
      <c r="K159" s="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4"/>
      <c r="B160" s="4"/>
      <c r="C160" s="28"/>
      <c r="D160" s="28"/>
      <c r="E160" s="28"/>
      <c r="F160" s="30"/>
      <c r="G160" s="30"/>
      <c r="H160" s="4"/>
      <c r="I160" s="4"/>
      <c r="J160" s="28"/>
      <c r="K160" s="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4"/>
      <c r="B161" s="4"/>
      <c r="C161" s="28"/>
      <c r="D161" s="28"/>
      <c r="E161" s="28"/>
      <c r="F161" s="30"/>
      <c r="G161" s="30"/>
      <c r="H161" s="4"/>
      <c r="I161" s="4"/>
      <c r="J161" s="28"/>
      <c r="K161" s="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4"/>
      <c r="B162" s="4"/>
      <c r="C162" s="28"/>
      <c r="D162" s="28"/>
      <c r="E162" s="28"/>
      <c r="F162" s="30"/>
      <c r="G162" s="30"/>
      <c r="H162" s="4"/>
      <c r="I162" s="4"/>
      <c r="J162" s="28"/>
      <c r="K162" s="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4"/>
      <c r="B163" s="4"/>
      <c r="C163" s="28"/>
      <c r="D163" s="28"/>
      <c r="E163" s="28"/>
      <c r="F163" s="30"/>
      <c r="G163" s="30"/>
      <c r="H163" s="4"/>
      <c r="I163" s="4"/>
      <c r="J163" s="28"/>
      <c r="K163" s="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4"/>
      <c r="B164" s="4"/>
      <c r="C164" s="28"/>
      <c r="D164" s="28"/>
      <c r="E164" s="28"/>
      <c r="F164" s="30"/>
      <c r="G164" s="30"/>
      <c r="H164" s="4"/>
      <c r="I164" s="4"/>
      <c r="J164" s="28"/>
      <c r="K164" s="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4"/>
      <c r="B165" s="4"/>
      <c r="C165" s="28"/>
      <c r="D165" s="28"/>
      <c r="E165" s="28"/>
      <c r="F165" s="30"/>
      <c r="G165" s="30"/>
      <c r="H165" s="4"/>
      <c r="I165" s="4"/>
      <c r="J165" s="28"/>
      <c r="K165" s="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4"/>
      <c r="B166" s="4"/>
      <c r="C166" s="28"/>
      <c r="D166" s="28"/>
      <c r="E166" s="28"/>
      <c r="F166" s="30"/>
      <c r="G166" s="30"/>
      <c r="H166" s="4"/>
      <c r="I166" s="4"/>
      <c r="J166" s="28"/>
      <c r="K166" s="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4"/>
      <c r="B167" s="4"/>
      <c r="C167" s="28"/>
      <c r="D167" s="28"/>
      <c r="E167" s="28"/>
      <c r="F167" s="30"/>
      <c r="G167" s="30"/>
      <c r="H167" s="4"/>
      <c r="I167" s="4"/>
      <c r="J167" s="28"/>
      <c r="K167" s="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4"/>
      <c r="B168" s="4"/>
      <c r="C168" s="28"/>
      <c r="D168" s="28"/>
      <c r="E168" s="28"/>
      <c r="F168" s="30"/>
      <c r="G168" s="30"/>
      <c r="H168" s="4"/>
      <c r="I168" s="4"/>
      <c r="J168" s="28"/>
      <c r="K168" s="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4"/>
      <c r="B169" s="4"/>
      <c r="C169" s="28"/>
      <c r="D169" s="28"/>
      <c r="E169" s="28"/>
      <c r="F169" s="30"/>
      <c r="G169" s="30"/>
      <c r="H169" s="4"/>
      <c r="I169" s="4"/>
      <c r="J169" s="28"/>
      <c r="K169" s="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4"/>
      <c r="B170" s="4"/>
      <c r="C170" s="28"/>
      <c r="D170" s="28"/>
      <c r="E170" s="28"/>
      <c r="F170" s="30"/>
      <c r="G170" s="30"/>
      <c r="H170" s="4"/>
      <c r="I170" s="4"/>
      <c r="J170" s="28"/>
      <c r="K170" s="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4"/>
      <c r="B171" s="4"/>
      <c r="C171" s="28"/>
      <c r="D171" s="28"/>
      <c r="E171" s="28"/>
      <c r="F171" s="30"/>
      <c r="G171" s="30"/>
      <c r="H171" s="4"/>
      <c r="I171" s="4"/>
      <c r="J171" s="28"/>
      <c r="K171" s="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4"/>
      <c r="B172" s="4"/>
      <c r="C172" s="28"/>
      <c r="D172" s="28"/>
      <c r="E172" s="28"/>
      <c r="F172" s="30"/>
      <c r="G172" s="30"/>
      <c r="H172" s="4"/>
      <c r="I172" s="4"/>
      <c r="J172" s="28"/>
      <c r="K172" s="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4"/>
      <c r="B173" s="4"/>
      <c r="C173" s="28"/>
      <c r="D173" s="28"/>
      <c r="E173" s="28"/>
      <c r="F173" s="30"/>
      <c r="G173" s="30"/>
      <c r="H173" s="4"/>
      <c r="I173" s="4"/>
      <c r="J173" s="28"/>
      <c r="K173" s="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4"/>
      <c r="B174" s="4"/>
      <c r="C174" s="28"/>
      <c r="D174" s="28"/>
      <c r="E174" s="28"/>
      <c r="F174" s="30"/>
      <c r="G174" s="30"/>
      <c r="H174" s="4"/>
      <c r="I174" s="4"/>
      <c r="J174" s="28"/>
      <c r="K174" s="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4"/>
      <c r="B175" s="4"/>
      <c r="C175" s="28"/>
      <c r="D175" s="28"/>
      <c r="E175" s="28"/>
      <c r="F175" s="30"/>
      <c r="G175" s="30"/>
      <c r="H175" s="4"/>
      <c r="I175" s="4"/>
      <c r="J175" s="28"/>
      <c r="K175" s="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4"/>
      <c r="B176" s="4"/>
      <c r="C176" s="28"/>
      <c r="D176" s="28"/>
      <c r="E176" s="28"/>
      <c r="F176" s="30"/>
      <c r="G176" s="30"/>
      <c r="H176" s="4"/>
      <c r="I176" s="4"/>
      <c r="J176" s="28"/>
      <c r="K176" s="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4"/>
      <c r="B177" s="4"/>
      <c r="C177" s="28"/>
      <c r="D177" s="28"/>
      <c r="E177" s="28"/>
      <c r="F177" s="30"/>
      <c r="G177" s="30"/>
      <c r="H177" s="4"/>
      <c r="I177" s="4"/>
      <c r="J177" s="28"/>
      <c r="K177" s="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4"/>
      <c r="B178" s="4"/>
      <c r="C178" s="28"/>
      <c r="D178" s="28"/>
      <c r="E178" s="28"/>
      <c r="F178" s="30"/>
      <c r="G178" s="30"/>
      <c r="H178" s="4"/>
      <c r="I178" s="4"/>
      <c r="J178" s="28"/>
      <c r="K178" s="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4"/>
      <c r="B179" s="4"/>
      <c r="C179" s="28"/>
      <c r="D179" s="28"/>
      <c r="E179" s="28"/>
      <c r="F179" s="30"/>
      <c r="G179" s="30"/>
      <c r="H179" s="4"/>
      <c r="I179" s="4"/>
      <c r="J179" s="28"/>
      <c r="K179" s="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4"/>
      <c r="B180" s="4"/>
      <c r="C180" s="28"/>
      <c r="D180" s="28"/>
      <c r="E180" s="28"/>
      <c r="F180" s="30"/>
      <c r="G180" s="30"/>
      <c r="H180" s="4"/>
      <c r="I180" s="4"/>
      <c r="J180" s="28"/>
      <c r="K180" s="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4"/>
      <c r="B181" s="4"/>
      <c r="C181" s="28"/>
      <c r="D181" s="28"/>
      <c r="E181" s="28"/>
      <c r="F181" s="30"/>
      <c r="G181" s="30"/>
      <c r="H181" s="4"/>
      <c r="I181" s="4"/>
      <c r="J181" s="28"/>
      <c r="K181" s="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4"/>
      <c r="B182" s="4"/>
      <c r="C182" s="28"/>
      <c r="D182" s="28"/>
      <c r="E182" s="28"/>
      <c r="F182" s="30"/>
      <c r="G182" s="30"/>
      <c r="H182" s="4"/>
      <c r="I182" s="4"/>
      <c r="J182" s="28"/>
      <c r="K182" s="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4"/>
      <c r="B183" s="4"/>
      <c r="C183" s="28"/>
      <c r="D183" s="28"/>
      <c r="E183" s="28"/>
      <c r="F183" s="30"/>
      <c r="G183" s="30"/>
      <c r="H183" s="4"/>
      <c r="I183" s="4"/>
      <c r="J183" s="28"/>
      <c r="K183" s="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4"/>
      <c r="B184" s="4"/>
      <c r="C184" s="28"/>
      <c r="D184" s="28"/>
      <c r="E184" s="28"/>
      <c r="F184" s="30"/>
      <c r="G184" s="30"/>
      <c r="H184" s="4"/>
      <c r="I184" s="4"/>
      <c r="J184" s="28"/>
      <c r="K184" s="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4"/>
      <c r="B185" s="4"/>
      <c r="C185" s="28"/>
      <c r="D185" s="28"/>
      <c r="E185" s="28"/>
      <c r="F185" s="30"/>
      <c r="G185" s="30"/>
      <c r="H185" s="4"/>
      <c r="I185" s="4"/>
      <c r="J185" s="28"/>
      <c r="K185" s="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4"/>
      <c r="B186" s="4"/>
      <c r="C186" s="28"/>
      <c r="D186" s="28"/>
      <c r="E186" s="28"/>
      <c r="F186" s="30"/>
      <c r="G186" s="30"/>
      <c r="H186" s="4"/>
      <c r="I186" s="4"/>
      <c r="J186" s="28"/>
      <c r="K186" s="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4"/>
      <c r="B187" s="4"/>
      <c r="C187" s="28"/>
      <c r="D187" s="28"/>
      <c r="E187" s="28"/>
      <c r="F187" s="30"/>
      <c r="G187" s="30"/>
      <c r="H187" s="4"/>
      <c r="I187" s="4"/>
      <c r="J187" s="28"/>
      <c r="K187" s="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4"/>
      <c r="B188" s="4"/>
      <c r="C188" s="28"/>
      <c r="D188" s="28"/>
      <c r="E188" s="28"/>
      <c r="F188" s="30"/>
      <c r="G188" s="30"/>
      <c r="H188" s="4"/>
      <c r="I188" s="4"/>
      <c r="J188" s="28"/>
      <c r="K188" s="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4"/>
      <c r="B189" s="4"/>
      <c r="C189" s="28"/>
      <c r="D189" s="28"/>
      <c r="E189" s="28"/>
      <c r="F189" s="30"/>
      <c r="G189" s="30"/>
      <c r="H189" s="4"/>
      <c r="I189" s="4"/>
      <c r="J189" s="28"/>
      <c r="K189" s="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4"/>
      <c r="B190" s="4"/>
      <c r="C190" s="28"/>
      <c r="D190" s="28"/>
      <c r="E190" s="28"/>
      <c r="F190" s="30"/>
      <c r="G190" s="30"/>
      <c r="H190" s="4"/>
      <c r="I190" s="4"/>
      <c r="J190" s="28"/>
      <c r="K190" s="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4"/>
      <c r="B191" s="4"/>
      <c r="C191" s="28"/>
      <c r="D191" s="28"/>
      <c r="E191" s="28"/>
      <c r="F191" s="30"/>
      <c r="G191" s="30"/>
      <c r="H191" s="4"/>
      <c r="I191" s="4"/>
      <c r="J191" s="28"/>
      <c r="K191" s="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4"/>
      <c r="B192" s="4"/>
      <c r="C192" s="28"/>
      <c r="D192" s="28"/>
      <c r="E192" s="28"/>
      <c r="F192" s="30"/>
      <c r="G192" s="30"/>
      <c r="H192" s="4"/>
      <c r="I192" s="4"/>
      <c r="J192" s="28"/>
      <c r="K192" s="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4"/>
      <c r="B193" s="4"/>
      <c r="C193" s="28"/>
      <c r="D193" s="28"/>
      <c r="E193" s="28"/>
      <c r="F193" s="30"/>
      <c r="G193" s="30"/>
      <c r="H193" s="4"/>
      <c r="I193" s="4"/>
      <c r="J193" s="28"/>
      <c r="K193" s="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4"/>
      <c r="B194" s="4"/>
      <c r="C194" s="28"/>
      <c r="D194" s="28"/>
      <c r="E194" s="28"/>
      <c r="F194" s="30"/>
      <c r="G194" s="30"/>
      <c r="H194" s="4"/>
      <c r="I194" s="4"/>
      <c r="J194" s="28"/>
      <c r="K194" s="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4"/>
      <c r="B195" s="4"/>
      <c r="C195" s="28"/>
      <c r="D195" s="28"/>
      <c r="E195" s="28"/>
      <c r="F195" s="30"/>
      <c r="G195" s="30"/>
      <c r="H195" s="4"/>
      <c r="I195" s="4"/>
      <c r="J195" s="28"/>
      <c r="K195" s="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4"/>
      <c r="B196" s="4"/>
      <c r="C196" s="28"/>
      <c r="D196" s="28"/>
      <c r="E196" s="28"/>
      <c r="F196" s="30"/>
      <c r="G196" s="30"/>
      <c r="H196" s="4"/>
      <c r="I196" s="4"/>
      <c r="J196" s="28"/>
      <c r="K196" s="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4"/>
      <c r="B197" s="4"/>
      <c r="C197" s="28"/>
      <c r="D197" s="28"/>
      <c r="E197" s="28"/>
      <c r="F197" s="30"/>
      <c r="G197" s="30"/>
      <c r="H197" s="4"/>
      <c r="I197" s="4"/>
      <c r="J197" s="28"/>
      <c r="K197" s="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4"/>
      <c r="B198" s="4"/>
      <c r="C198" s="28"/>
      <c r="D198" s="28"/>
      <c r="E198" s="28"/>
      <c r="F198" s="30"/>
      <c r="G198" s="30"/>
      <c r="H198" s="4"/>
      <c r="I198" s="4"/>
      <c r="J198" s="28"/>
      <c r="K198" s="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4"/>
      <c r="B199" s="4"/>
      <c r="C199" s="28"/>
      <c r="D199" s="28"/>
      <c r="E199" s="28"/>
      <c r="F199" s="30"/>
      <c r="G199" s="30"/>
      <c r="H199" s="4"/>
      <c r="I199" s="4"/>
      <c r="J199" s="28"/>
      <c r="K199" s="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4"/>
      <c r="B200" s="4"/>
      <c r="C200" s="28"/>
      <c r="D200" s="28"/>
      <c r="E200" s="28"/>
      <c r="F200" s="30"/>
      <c r="G200" s="30"/>
      <c r="H200" s="4"/>
      <c r="I200" s="4"/>
      <c r="J200" s="28"/>
      <c r="K200" s="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4"/>
      <c r="B201" s="4"/>
      <c r="C201" s="28"/>
      <c r="D201" s="28"/>
      <c r="E201" s="28"/>
      <c r="F201" s="30"/>
      <c r="G201" s="30"/>
      <c r="H201" s="4"/>
      <c r="I201" s="4"/>
      <c r="J201" s="28"/>
      <c r="K201" s="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4"/>
      <c r="B202" s="4"/>
      <c r="C202" s="28"/>
      <c r="D202" s="28"/>
      <c r="E202" s="28"/>
      <c r="F202" s="30"/>
      <c r="G202" s="30"/>
      <c r="H202" s="4"/>
      <c r="I202" s="4"/>
      <c r="J202" s="28"/>
      <c r="K202" s="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4"/>
      <c r="B203" s="4"/>
      <c r="C203" s="28"/>
      <c r="D203" s="28"/>
      <c r="E203" s="28"/>
      <c r="F203" s="30"/>
      <c r="G203" s="30"/>
      <c r="H203" s="4"/>
      <c r="I203" s="4"/>
      <c r="J203" s="28"/>
      <c r="K203" s="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4"/>
      <c r="B204" s="4"/>
      <c r="C204" s="28"/>
      <c r="D204" s="28"/>
      <c r="E204" s="28"/>
      <c r="F204" s="30"/>
      <c r="G204" s="30"/>
      <c r="H204" s="4"/>
      <c r="I204" s="4"/>
      <c r="J204" s="28"/>
      <c r="K204" s="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4"/>
      <c r="B205" s="4"/>
      <c r="C205" s="28"/>
      <c r="D205" s="28"/>
      <c r="E205" s="28"/>
      <c r="F205" s="30"/>
      <c r="G205" s="30"/>
      <c r="H205" s="4"/>
      <c r="I205" s="4"/>
      <c r="J205" s="28"/>
      <c r="K205" s="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4"/>
      <c r="B206" s="4"/>
      <c r="C206" s="28"/>
      <c r="D206" s="28"/>
      <c r="E206" s="28"/>
      <c r="F206" s="30"/>
      <c r="G206" s="30"/>
      <c r="H206" s="4"/>
      <c r="I206" s="4"/>
      <c r="J206" s="28"/>
      <c r="K206" s="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4"/>
      <c r="B207" s="4"/>
      <c r="C207" s="28"/>
      <c r="D207" s="28"/>
      <c r="E207" s="28"/>
      <c r="F207" s="30"/>
      <c r="G207" s="30"/>
      <c r="H207" s="4"/>
      <c r="I207" s="4"/>
      <c r="J207" s="28"/>
      <c r="K207" s="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4"/>
      <c r="B208" s="4"/>
      <c r="C208" s="28"/>
      <c r="D208" s="28"/>
      <c r="E208" s="28"/>
      <c r="F208" s="30"/>
      <c r="G208" s="30"/>
      <c r="H208" s="4"/>
      <c r="I208" s="4"/>
      <c r="J208" s="28"/>
      <c r="K208" s="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4"/>
      <c r="B209" s="4"/>
      <c r="C209" s="28"/>
      <c r="D209" s="28"/>
      <c r="E209" s="28"/>
      <c r="F209" s="30"/>
      <c r="G209" s="30"/>
      <c r="H209" s="4"/>
      <c r="I209" s="4"/>
      <c r="J209" s="28"/>
      <c r="K209" s="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4"/>
      <c r="B210" s="4"/>
      <c r="C210" s="28"/>
      <c r="D210" s="28"/>
      <c r="E210" s="28"/>
      <c r="F210" s="30"/>
      <c r="G210" s="30"/>
      <c r="H210" s="4"/>
      <c r="I210" s="4"/>
      <c r="J210" s="28"/>
      <c r="K210" s="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4"/>
      <c r="B211" s="4"/>
      <c r="C211" s="28"/>
      <c r="D211" s="28"/>
      <c r="E211" s="28"/>
      <c r="F211" s="30"/>
      <c r="G211" s="30"/>
      <c r="H211" s="4"/>
      <c r="I211" s="4"/>
      <c r="J211" s="28"/>
      <c r="K211" s="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4"/>
      <c r="B212" s="4"/>
      <c r="C212" s="28"/>
      <c r="D212" s="28"/>
      <c r="E212" s="28"/>
      <c r="F212" s="30"/>
      <c r="G212" s="30"/>
      <c r="H212" s="4"/>
      <c r="I212" s="4"/>
      <c r="J212" s="28"/>
      <c r="K212" s="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4"/>
      <c r="B213" s="4"/>
      <c r="C213" s="28"/>
      <c r="D213" s="28"/>
      <c r="E213" s="28"/>
      <c r="F213" s="30"/>
      <c r="G213" s="30"/>
      <c r="H213" s="4"/>
      <c r="I213" s="4"/>
      <c r="J213" s="28"/>
      <c r="K213" s="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4"/>
      <c r="B214" s="4"/>
      <c r="C214" s="28"/>
      <c r="D214" s="28"/>
      <c r="E214" s="28"/>
      <c r="F214" s="30"/>
      <c r="G214" s="30"/>
      <c r="H214" s="4"/>
      <c r="I214" s="4"/>
      <c r="J214" s="28"/>
      <c r="K214" s="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4"/>
      <c r="B215" s="4"/>
      <c r="C215" s="28"/>
      <c r="D215" s="28"/>
      <c r="E215" s="28"/>
      <c r="F215" s="30"/>
      <c r="G215" s="30"/>
      <c r="H215" s="4"/>
      <c r="I215" s="4"/>
      <c r="J215" s="28"/>
      <c r="K215" s="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4"/>
      <c r="B216" s="4"/>
      <c r="C216" s="28"/>
      <c r="D216" s="28"/>
      <c r="E216" s="28"/>
      <c r="F216" s="30"/>
      <c r="G216" s="30"/>
      <c r="H216" s="4"/>
      <c r="I216" s="4"/>
      <c r="J216" s="28"/>
      <c r="K216" s="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4"/>
      <c r="B217" s="4"/>
      <c r="C217" s="28"/>
      <c r="D217" s="28"/>
      <c r="E217" s="28"/>
      <c r="F217" s="30"/>
      <c r="G217" s="30"/>
      <c r="H217" s="4"/>
      <c r="I217" s="4"/>
      <c r="J217" s="28"/>
      <c r="K217" s="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4"/>
      <c r="B218" s="4"/>
      <c r="C218" s="28"/>
      <c r="D218" s="28"/>
      <c r="E218" s="28"/>
      <c r="F218" s="30"/>
      <c r="G218" s="30"/>
      <c r="H218" s="4"/>
      <c r="I218" s="4"/>
      <c r="J218" s="28"/>
      <c r="K218" s="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4"/>
      <c r="B219" s="4"/>
      <c r="C219" s="28"/>
      <c r="D219" s="28"/>
      <c r="E219" s="28"/>
      <c r="F219" s="30"/>
      <c r="G219" s="30"/>
      <c r="H219" s="4"/>
      <c r="I219" s="4"/>
      <c r="J219" s="28"/>
      <c r="K219" s="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4"/>
      <c r="B220" s="4"/>
      <c r="C220" s="28"/>
      <c r="D220" s="28"/>
      <c r="E220" s="28"/>
      <c r="F220" s="30"/>
      <c r="G220" s="30"/>
      <c r="H220" s="4"/>
      <c r="I220" s="4"/>
      <c r="J220" s="28"/>
      <c r="K220" s="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4"/>
      <c r="B221" s="4"/>
      <c r="C221" s="28"/>
      <c r="D221" s="28"/>
      <c r="E221" s="28"/>
      <c r="F221" s="30"/>
      <c r="G221" s="30"/>
      <c r="H221" s="4"/>
      <c r="I221" s="4"/>
      <c r="J221" s="28"/>
      <c r="K221" s="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4"/>
      <c r="B222" s="4"/>
      <c r="C222" s="28"/>
      <c r="D222" s="28"/>
      <c r="E222" s="28"/>
      <c r="F222" s="30"/>
      <c r="G222" s="30"/>
      <c r="H222" s="4"/>
      <c r="I222" s="4"/>
      <c r="J222" s="28"/>
      <c r="K222" s="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4"/>
      <c r="B223" s="4"/>
      <c r="C223" s="28"/>
      <c r="D223" s="28"/>
      <c r="E223" s="28"/>
      <c r="F223" s="30"/>
      <c r="G223" s="30"/>
      <c r="H223" s="4"/>
      <c r="I223" s="4"/>
      <c r="J223" s="28"/>
      <c r="K223" s="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4"/>
      <c r="B224" s="4"/>
      <c r="C224" s="28"/>
      <c r="D224" s="28"/>
      <c r="E224" s="28"/>
      <c r="F224" s="30"/>
      <c r="G224" s="30"/>
      <c r="H224" s="4"/>
      <c r="I224" s="4"/>
      <c r="J224" s="28"/>
      <c r="K224" s="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4"/>
      <c r="B225" s="4"/>
      <c r="C225" s="28"/>
      <c r="D225" s="28"/>
      <c r="E225" s="28"/>
      <c r="F225" s="30"/>
      <c r="G225" s="30"/>
      <c r="H225" s="4"/>
      <c r="I225" s="4"/>
      <c r="J225" s="28"/>
      <c r="K225" s="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4"/>
      <c r="B226" s="4"/>
      <c r="C226" s="28"/>
      <c r="D226" s="28"/>
      <c r="E226" s="28"/>
      <c r="F226" s="30"/>
      <c r="G226" s="30"/>
      <c r="H226" s="4"/>
      <c r="I226" s="4"/>
      <c r="J226" s="28"/>
      <c r="K226" s="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4"/>
      <c r="B227" s="4"/>
      <c r="C227" s="28"/>
      <c r="D227" s="28"/>
      <c r="E227" s="28"/>
      <c r="F227" s="30"/>
      <c r="G227" s="30"/>
      <c r="H227" s="4"/>
      <c r="I227" s="4"/>
      <c r="J227" s="28"/>
      <c r="K227" s="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4"/>
      <c r="B228" s="4"/>
      <c r="C228" s="28"/>
      <c r="D228" s="28"/>
      <c r="E228" s="28"/>
      <c r="F228" s="30"/>
      <c r="G228" s="30"/>
      <c r="H228" s="4"/>
      <c r="I228" s="4"/>
      <c r="J228" s="28"/>
      <c r="K228" s="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4"/>
      <c r="B229" s="4"/>
      <c r="C229" s="28"/>
      <c r="D229" s="28"/>
      <c r="E229" s="28"/>
      <c r="F229" s="30"/>
      <c r="G229" s="30"/>
      <c r="H229" s="4"/>
      <c r="I229" s="4"/>
      <c r="J229" s="28"/>
      <c r="K229" s="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4"/>
      <c r="B230" s="4"/>
      <c r="C230" s="28"/>
      <c r="D230" s="28"/>
      <c r="E230" s="28"/>
      <c r="F230" s="30"/>
      <c r="G230" s="30"/>
      <c r="H230" s="4"/>
      <c r="I230" s="4"/>
      <c r="J230" s="28"/>
      <c r="K230" s="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4"/>
      <c r="B231" s="4"/>
      <c r="C231" s="28"/>
      <c r="D231" s="28"/>
      <c r="E231" s="28"/>
      <c r="F231" s="30"/>
      <c r="G231" s="30"/>
      <c r="H231" s="4"/>
      <c r="I231" s="4"/>
      <c r="J231" s="28"/>
      <c r="K231" s="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4"/>
      <c r="B232" s="4"/>
      <c r="C232" s="28"/>
      <c r="D232" s="28"/>
      <c r="E232" s="28"/>
      <c r="F232" s="30"/>
      <c r="G232" s="30"/>
      <c r="H232" s="4"/>
      <c r="I232" s="4"/>
      <c r="J232" s="28"/>
      <c r="K232" s="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4"/>
      <c r="B233" s="4"/>
      <c r="C233" s="28"/>
      <c r="D233" s="28"/>
      <c r="E233" s="28"/>
      <c r="F233" s="30"/>
      <c r="G233" s="30"/>
      <c r="H233" s="4"/>
      <c r="I233" s="4"/>
      <c r="J233" s="28"/>
      <c r="K233" s="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4"/>
      <c r="B234" s="4"/>
      <c r="C234" s="28"/>
      <c r="D234" s="28"/>
      <c r="E234" s="28"/>
      <c r="F234" s="30"/>
      <c r="G234" s="30"/>
      <c r="H234" s="4"/>
      <c r="I234" s="4"/>
      <c r="J234" s="28"/>
      <c r="K234" s="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4"/>
      <c r="B235" s="4"/>
      <c r="C235" s="28"/>
      <c r="D235" s="28"/>
      <c r="E235" s="28"/>
      <c r="F235" s="30"/>
      <c r="G235" s="30"/>
      <c r="H235" s="4"/>
      <c r="I235" s="4"/>
      <c r="J235" s="28"/>
      <c r="K235" s="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4"/>
      <c r="B236" s="4"/>
      <c r="C236" s="28"/>
      <c r="D236" s="28"/>
      <c r="E236" s="28"/>
      <c r="F236" s="30"/>
      <c r="G236" s="30"/>
      <c r="H236" s="4"/>
      <c r="I236" s="4"/>
      <c r="J236" s="28"/>
      <c r="K236" s="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4"/>
      <c r="B237" s="4"/>
      <c r="C237" s="28"/>
      <c r="D237" s="28"/>
      <c r="E237" s="28"/>
      <c r="F237" s="30"/>
      <c r="G237" s="30"/>
      <c r="H237" s="4"/>
      <c r="I237" s="4"/>
      <c r="J237" s="28"/>
      <c r="K237" s="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4"/>
      <c r="B238" s="4"/>
      <c r="C238" s="28"/>
      <c r="D238" s="28"/>
      <c r="E238" s="28"/>
      <c r="F238" s="30"/>
      <c r="G238" s="30"/>
      <c r="H238" s="4"/>
      <c r="I238" s="4"/>
      <c r="J238" s="28"/>
      <c r="K238" s="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4"/>
      <c r="B239" s="4"/>
      <c r="C239" s="28"/>
      <c r="D239" s="28"/>
      <c r="E239" s="28"/>
      <c r="F239" s="30"/>
      <c r="G239" s="30"/>
      <c r="H239" s="4"/>
      <c r="I239" s="4"/>
      <c r="J239" s="28"/>
      <c r="K239" s="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4"/>
      <c r="B240" s="4"/>
      <c r="C240" s="28"/>
      <c r="D240" s="28"/>
      <c r="E240" s="28"/>
      <c r="F240" s="30"/>
      <c r="G240" s="30"/>
      <c r="H240" s="4"/>
      <c r="I240" s="4"/>
      <c r="J240" s="28"/>
      <c r="K240" s="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4"/>
      <c r="B241" s="4"/>
      <c r="C241" s="28"/>
      <c r="D241" s="28"/>
      <c r="E241" s="28"/>
      <c r="F241" s="30"/>
      <c r="G241" s="30"/>
      <c r="H241" s="4"/>
      <c r="I241" s="4"/>
      <c r="J241" s="28"/>
      <c r="K241" s="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4"/>
      <c r="B242" s="4"/>
      <c r="C242" s="28"/>
      <c r="D242" s="28"/>
      <c r="E242" s="28"/>
      <c r="F242" s="30"/>
      <c r="G242" s="30"/>
      <c r="H242" s="4"/>
      <c r="I242" s="4"/>
      <c r="J242" s="28"/>
      <c r="K242" s="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4"/>
      <c r="B243" s="4"/>
      <c r="C243" s="28"/>
      <c r="D243" s="28"/>
      <c r="E243" s="28"/>
      <c r="F243" s="30"/>
      <c r="G243" s="30"/>
      <c r="H243" s="4"/>
      <c r="I243" s="4"/>
      <c r="J243" s="28"/>
      <c r="K243" s="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4"/>
      <c r="B244" s="4"/>
      <c r="C244" s="28"/>
      <c r="D244" s="28"/>
      <c r="E244" s="28"/>
      <c r="F244" s="30"/>
      <c r="G244" s="30"/>
      <c r="H244" s="4"/>
      <c r="I244" s="4"/>
      <c r="J244" s="28"/>
      <c r="K244" s="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4"/>
      <c r="B245" s="4"/>
      <c r="C245" s="28"/>
      <c r="D245" s="28"/>
      <c r="E245" s="28"/>
      <c r="F245" s="30"/>
      <c r="G245" s="30"/>
      <c r="H245" s="4"/>
      <c r="I245" s="4"/>
      <c r="J245" s="28"/>
      <c r="K245" s="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4"/>
      <c r="B246" s="4"/>
      <c r="C246" s="28"/>
      <c r="D246" s="28"/>
      <c r="E246" s="28"/>
      <c r="F246" s="30"/>
      <c r="G246" s="30"/>
      <c r="H246" s="4"/>
      <c r="I246" s="4"/>
      <c r="J246" s="28"/>
      <c r="K246" s="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4"/>
      <c r="B247" s="4"/>
      <c r="C247" s="28"/>
      <c r="D247" s="28"/>
      <c r="E247" s="28"/>
      <c r="F247" s="30"/>
      <c r="G247" s="30"/>
      <c r="H247" s="4"/>
      <c r="I247" s="4"/>
      <c r="J247" s="28"/>
      <c r="K247" s="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4"/>
      <c r="B248" s="4"/>
      <c r="C248" s="28"/>
      <c r="D248" s="28"/>
      <c r="E248" s="28"/>
      <c r="F248" s="30"/>
      <c r="G248" s="30"/>
      <c r="H248" s="4"/>
      <c r="I248" s="4"/>
      <c r="J248" s="28"/>
      <c r="K248" s="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4"/>
      <c r="B249" s="4"/>
      <c r="C249" s="28"/>
      <c r="D249" s="28"/>
      <c r="E249" s="28"/>
      <c r="F249" s="30"/>
      <c r="G249" s="30"/>
      <c r="H249" s="4"/>
      <c r="I249" s="4"/>
      <c r="J249" s="28"/>
      <c r="K249" s="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4"/>
      <c r="B250" s="4"/>
      <c r="C250" s="28"/>
      <c r="D250" s="28"/>
      <c r="E250" s="28"/>
      <c r="F250" s="30"/>
      <c r="G250" s="30"/>
      <c r="H250" s="4"/>
      <c r="I250" s="4"/>
      <c r="J250" s="28"/>
      <c r="K250" s="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4"/>
      <c r="B251" s="4"/>
      <c r="C251" s="28"/>
      <c r="D251" s="28"/>
      <c r="E251" s="28"/>
      <c r="F251" s="30"/>
      <c r="G251" s="30"/>
      <c r="H251" s="4"/>
      <c r="I251" s="4"/>
      <c r="J251" s="28"/>
      <c r="K251" s="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4"/>
      <c r="B252" s="4"/>
      <c r="C252" s="28"/>
      <c r="D252" s="28"/>
      <c r="E252" s="28"/>
      <c r="F252" s="30"/>
      <c r="G252" s="30"/>
      <c r="H252" s="4"/>
      <c r="I252" s="4"/>
      <c r="J252" s="28"/>
      <c r="K252" s="4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4"/>
      <c r="B253" s="4"/>
      <c r="C253" s="28"/>
      <c r="D253" s="28"/>
      <c r="E253" s="28"/>
      <c r="F253" s="30"/>
      <c r="G253" s="30"/>
      <c r="H253" s="4"/>
      <c r="I253" s="4"/>
      <c r="J253" s="28"/>
      <c r="K253" s="4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4"/>
      <c r="B254" s="4"/>
      <c r="C254" s="28"/>
      <c r="D254" s="28"/>
      <c r="E254" s="28"/>
      <c r="F254" s="30"/>
      <c r="G254" s="30"/>
      <c r="H254" s="4"/>
      <c r="I254" s="4"/>
      <c r="J254" s="28"/>
      <c r="K254" s="4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4"/>
      <c r="B255" s="4"/>
      <c r="C255" s="28"/>
      <c r="D255" s="28"/>
      <c r="E255" s="28"/>
      <c r="F255" s="30"/>
      <c r="G255" s="30"/>
      <c r="H255" s="4"/>
      <c r="I255" s="4"/>
      <c r="J255" s="28"/>
      <c r="K255" s="4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4"/>
      <c r="B256" s="4"/>
      <c r="C256" s="28"/>
      <c r="D256" s="28"/>
      <c r="E256" s="28"/>
      <c r="F256" s="30"/>
      <c r="G256" s="30"/>
      <c r="H256" s="4"/>
      <c r="I256" s="4"/>
      <c r="J256" s="28"/>
      <c r="K256" s="4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4"/>
      <c r="B257" s="4"/>
      <c r="C257" s="28"/>
      <c r="D257" s="28"/>
      <c r="E257" s="28"/>
      <c r="F257" s="30"/>
      <c r="G257" s="30"/>
      <c r="H257" s="4"/>
      <c r="I257" s="4"/>
      <c r="J257" s="28"/>
      <c r="K257" s="4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4"/>
      <c r="B258" s="4"/>
      <c r="C258" s="28"/>
      <c r="D258" s="28"/>
      <c r="E258" s="28"/>
      <c r="F258" s="30"/>
      <c r="G258" s="30"/>
      <c r="H258" s="4"/>
      <c r="I258" s="4"/>
      <c r="J258" s="28"/>
      <c r="K258" s="4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4"/>
      <c r="B259" s="4"/>
      <c r="C259" s="28"/>
      <c r="D259" s="28"/>
      <c r="E259" s="28"/>
      <c r="F259" s="30"/>
      <c r="G259" s="30"/>
      <c r="H259" s="4"/>
      <c r="I259" s="4"/>
      <c r="J259" s="28"/>
      <c r="K259" s="4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4"/>
      <c r="B260" s="4"/>
      <c r="C260" s="28"/>
      <c r="D260" s="28"/>
      <c r="E260" s="28"/>
      <c r="F260" s="30"/>
      <c r="G260" s="30"/>
      <c r="H260" s="4"/>
      <c r="I260" s="4"/>
      <c r="J260" s="28"/>
      <c r="K260" s="4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4"/>
      <c r="B261" s="4"/>
      <c r="C261" s="28"/>
      <c r="D261" s="28"/>
      <c r="E261" s="28"/>
      <c r="F261" s="30"/>
      <c r="G261" s="30"/>
      <c r="H261" s="4"/>
      <c r="I261" s="4"/>
      <c r="J261" s="28"/>
      <c r="K261" s="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4"/>
      <c r="B262" s="4"/>
      <c r="C262" s="28"/>
      <c r="D262" s="28"/>
      <c r="E262" s="28"/>
      <c r="F262" s="30"/>
      <c r="G262" s="30"/>
      <c r="H262" s="4"/>
      <c r="I262" s="4"/>
      <c r="J262" s="28"/>
      <c r="K262" s="4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4"/>
      <c r="B263" s="4"/>
      <c r="C263" s="28"/>
      <c r="D263" s="28"/>
      <c r="E263" s="28"/>
      <c r="F263" s="30"/>
      <c r="G263" s="30"/>
      <c r="H263" s="4"/>
      <c r="I263" s="4"/>
      <c r="J263" s="28"/>
      <c r="K263" s="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4"/>
      <c r="B264" s="4"/>
      <c r="C264" s="28"/>
      <c r="D264" s="28"/>
      <c r="E264" s="28"/>
      <c r="F264" s="30"/>
      <c r="G264" s="30"/>
      <c r="H264" s="4"/>
      <c r="I264" s="4"/>
      <c r="J264" s="28"/>
      <c r="K264" s="4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4"/>
      <c r="B265" s="4"/>
      <c r="C265" s="28"/>
      <c r="D265" s="28"/>
      <c r="E265" s="28"/>
      <c r="F265" s="30"/>
      <c r="G265" s="30"/>
      <c r="H265" s="4"/>
      <c r="I265" s="4"/>
      <c r="J265" s="28"/>
      <c r="K265" s="4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4"/>
      <c r="B266" s="4"/>
      <c r="C266" s="28"/>
      <c r="D266" s="28"/>
      <c r="E266" s="28"/>
      <c r="F266" s="30"/>
      <c r="G266" s="30"/>
      <c r="H266" s="4"/>
      <c r="I266" s="4"/>
      <c r="J266" s="28"/>
      <c r="K266" s="4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4"/>
      <c r="B267" s="4"/>
      <c r="C267" s="28"/>
      <c r="D267" s="28"/>
      <c r="E267" s="28"/>
      <c r="F267" s="30"/>
      <c r="G267" s="30"/>
      <c r="H267" s="4"/>
      <c r="I267" s="4"/>
      <c r="J267" s="28"/>
      <c r="K267" s="4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4"/>
      <c r="B268" s="4"/>
      <c r="C268" s="28"/>
      <c r="D268" s="28"/>
      <c r="E268" s="28"/>
      <c r="F268" s="30"/>
      <c r="G268" s="30"/>
      <c r="H268" s="4"/>
      <c r="I268" s="4"/>
      <c r="J268" s="28"/>
      <c r="K268" s="4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4"/>
      <c r="B269" s="4"/>
      <c r="C269" s="28"/>
      <c r="D269" s="28"/>
      <c r="E269" s="28"/>
      <c r="F269" s="30"/>
      <c r="G269" s="30"/>
      <c r="H269" s="4"/>
      <c r="I269" s="4"/>
      <c r="J269" s="28"/>
      <c r="K269" s="4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4"/>
      <c r="B270" s="4"/>
      <c r="C270" s="28"/>
      <c r="D270" s="28"/>
      <c r="E270" s="28"/>
      <c r="F270" s="30"/>
      <c r="G270" s="30"/>
      <c r="H270" s="4"/>
      <c r="I270" s="4"/>
      <c r="J270" s="28"/>
      <c r="K270" s="4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4"/>
      <c r="B271" s="4"/>
      <c r="C271" s="28"/>
      <c r="D271" s="28"/>
      <c r="E271" s="28"/>
      <c r="F271" s="30"/>
      <c r="G271" s="30"/>
      <c r="H271" s="4"/>
      <c r="I271" s="4"/>
      <c r="J271" s="28"/>
      <c r="K271" s="4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4"/>
      <c r="B272" s="4"/>
      <c r="C272" s="28"/>
      <c r="D272" s="28"/>
      <c r="E272" s="28"/>
      <c r="F272" s="30"/>
      <c r="G272" s="30"/>
      <c r="H272" s="4"/>
      <c r="I272" s="4"/>
      <c r="J272" s="28"/>
      <c r="K272" s="4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4"/>
      <c r="B273" s="4"/>
      <c r="C273" s="28"/>
      <c r="D273" s="28"/>
      <c r="E273" s="28"/>
      <c r="F273" s="30"/>
      <c r="G273" s="30"/>
      <c r="H273" s="4"/>
      <c r="I273" s="4"/>
      <c r="J273" s="28"/>
      <c r="K273" s="4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4"/>
      <c r="B274" s="4"/>
      <c r="C274" s="28"/>
      <c r="D274" s="28"/>
      <c r="E274" s="28"/>
      <c r="F274" s="30"/>
      <c r="G274" s="30"/>
      <c r="H274" s="4"/>
      <c r="I274" s="4"/>
      <c r="J274" s="28"/>
      <c r="K274" s="4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4"/>
      <c r="B275" s="4"/>
      <c r="C275" s="28"/>
      <c r="D275" s="28"/>
      <c r="E275" s="28"/>
      <c r="F275" s="30"/>
      <c r="G275" s="30"/>
      <c r="H275" s="4"/>
      <c r="I275" s="4"/>
      <c r="J275" s="28"/>
      <c r="K275" s="4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4"/>
      <c r="B276" s="4"/>
      <c r="C276" s="28"/>
      <c r="D276" s="28"/>
      <c r="E276" s="28"/>
      <c r="F276" s="30"/>
      <c r="G276" s="30"/>
      <c r="H276" s="4"/>
      <c r="I276" s="4"/>
      <c r="J276" s="28"/>
      <c r="K276" s="4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4"/>
      <c r="B277" s="4"/>
      <c r="C277" s="28"/>
      <c r="D277" s="28"/>
      <c r="E277" s="28"/>
      <c r="F277" s="30"/>
      <c r="G277" s="30"/>
      <c r="H277" s="4"/>
      <c r="I277" s="4"/>
      <c r="J277" s="28"/>
      <c r="K277" s="4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4"/>
      <c r="B278" s="4"/>
      <c r="C278" s="28"/>
      <c r="D278" s="28"/>
      <c r="E278" s="28"/>
      <c r="F278" s="30"/>
      <c r="G278" s="30"/>
      <c r="H278" s="4"/>
      <c r="I278" s="4"/>
      <c r="J278" s="28"/>
      <c r="K278" s="4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4"/>
      <c r="B279" s="4"/>
      <c r="C279" s="28"/>
      <c r="D279" s="28"/>
      <c r="E279" s="28"/>
      <c r="F279" s="30"/>
      <c r="G279" s="30"/>
      <c r="H279" s="4"/>
      <c r="I279" s="4"/>
      <c r="J279" s="28"/>
      <c r="K279" s="4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4"/>
      <c r="B280" s="4"/>
      <c r="C280" s="28"/>
      <c r="D280" s="28"/>
      <c r="E280" s="28"/>
      <c r="F280" s="30"/>
      <c r="G280" s="30"/>
      <c r="H280" s="4"/>
      <c r="I280" s="4"/>
      <c r="J280" s="28"/>
      <c r="K280" s="4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4"/>
      <c r="B281" s="4"/>
      <c r="C281" s="28"/>
      <c r="D281" s="28"/>
      <c r="E281" s="28"/>
      <c r="F281" s="30"/>
      <c r="G281" s="30"/>
      <c r="H281" s="4"/>
      <c r="I281" s="4"/>
      <c r="J281" s="28"/>
      <c r="K281" s="4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4"/>
      <c r="B282" s="4"/>
      <c r="C282" s="28"/>
      <c r="D282" s="28"/>
      <c r="E282" s="28"/>
      <c r="F282" s="30"/>
      <c r="G282" s="30"/>
      <c r="H282" s="4"/>
      <c r="I282" s="4"/>
      <c r="J282" s="28"/>
      <c r="K282" s="4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4"/>
      <c r="B283" s="4"/>
      <c r="C283" s="28"/>
      <c r="D283" s="28"/>
      <c r="E283" s="28"/>
      <c r="F283" s="30"/>
      <c r="G283" s="30"/>
      <c r="H283" s="4"/>
      <c r="I283" s="4"/>
      <c r="J283" s="28"/>
      <c r="K283" s="4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4"/>
      <c r="B284" s="4"/>
      <c r="C284" s="28"/>
      <c r="D284" s="28"/>
      <c r="E284" s="28"/>
      <c r="F284" s="30"/>
      <c r="G284" s="30"/>
      <c r="H284" s="4"/>
      <c r="I284" s="4"/>
      <c r="J284" s="28"/>
      <c r="K284" s="4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4"/>
      <c r="B285" s="4"/>
      <c r="C285" s="28"/>
      <c r="D285" s="28"/>
      <c r="E285" s="28"/>
      <c r="F285" s="30"/>
      <c r="G285" s="30"/>
      <c r="H285" s="4"/>
      <c r="I285" s="4"/>
      <c r="J285" s="28"/>
      <c r="K285" s="4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4"/>
      <c r="B286" s="4"/>
      <c r="C286" s="28"/>
      <c r="D286" s="28"/>
      <c r="E286" s="28"/>
      <c r="F286" s="30"/>
      <c r="G286" s="30"/>
      <c r="H286" s="4"/>
      <c r="I286" s="4"/>
      <c r="J286" s="28"/>
      <c r="K286" s="4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4"/>
      <c r="B287" s="4"/>
      <c r="C287" s="28"/>
      <c r="D287" s="28"/>
      <c r="E287" s="28"/>
      <c r="F287" s="30"/>
      <c r="G287" s="30"/>
      <c r="H287" s="4"/>
      <c r="I287" s="4"/>
      <c r="J287" s="28"/>
      <c r="K287" s="4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4"/>
      <c r="B288" s="4"/>
      <c r="C288" s="28"/>
      <c r="D288" s="28"/>
      <c r="E288" s="28"/>
      <c r="F288" s="30"/>
      <c r="G288" s="30"/>
      <c r="H288" s="4"/>
      <c r="I288" s="4"/>
      <c r="J288" s="28"/>
      <c r="K288" s="4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4"/>
      <c r="B289" s="4"/>
      <c r="C289" s="28"/>
      <c r="D289" s="28"/>
      <c r="E289" s="28"/>
      <c r="F289" s="30"/>
      <c r="G289" s="30"/>
      <c r="H289" s="4"/>
      <c r="I289" s="4"/>
      <c r="J289" s="28"/>
      <c r="K289" s="4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4"/>
      <c r="B290" s="4"/>
      <c r="C290" s="28"/>
      <c r="D290" s="28"/>
      <c r="E290" s="28"/>
      <c r="F290" s="30"/>
      <c r="G290" s="30"/>
      <c r="H290" s="4"/>
      <c r="I290" s="4"/>
      <c r="J290" s="28"/>
      <c r="K290" s="4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4"/>
      <c r="B291" s="4"/>
      <c r="C291" s="28"/>
      <c r="D291" s="28"/>
      <c r="E291" s="28"/>
      <c r="F291" s="30"/>
      <c r="G291" s="30"/>
      <c r="H291" s="4"/>
      <c r="I291" s="4"/>
      <c r="J291" s="28"/>
      <c r="K291" s="4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4"/>
      <c r="B292" s="4"/>
      <c r="C292" s="28"/>
      <c r="D292" s="28"/>
      <c r="E292" s="28"/>
      <c r="F292" s="30"/>
      <c r="G292" s="30"/>
      <c r="H292" s="4"/>
      <c r="I292" s="4"/>
      <c r="J292" s="28"/>
      <c r="K292" s="4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4"/>
      <c r="B293" s="4"/>
      <c r="C293" s="28"/>
      <c r="D293" s="28"/>
      <c r="E293" s="28"/>
      <c r="F293" s="30"/>
      <c r="G293" s="30"/>
      <c r="H293" s="4"/>
      <c r="I293" s="4"/>
      <c r="J293" s="28"/>
      <c r="K293" s="4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4"/>
      <c r="B294" s="4"/>
      <c r="C294" s="28"/>
      <c r="D294" s="28"/>
      <c r="E294" s="28"/>
      <c r="F294" s="30"/>
      <c r="G294" s="30"/>
      <c r="H294" s="4"/>
      <c r="I294" s="4"/>
      <c r="J294" s="28"/>
      <c r="K294" s="4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4"/>
      <c r="B295" s="4"/>
      <c r="C295" s="28"/>
      <c r="D295" s="28"/>
      <c r="E295" s="28"/>
      <c r="F295" s="30"/>
      <c r="G295" s="30"/>
      <c r="H295" s="4"/>
      <c r="I295" s="4"/>
      <c r="J295" s="28"/>
      <c r="K295" s="4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4"/>
      <c r="B296" s="4"/>
      <c r="C296" s="28"/>
      <c r="D296" s="28"/>
      <c r="E296" s="28"/>
      <c r="F296" s="30"/>
      <c r="G296" s="30"/>
      <c r="H296" s="4"/>
      <c r="I296" s="4"/>
      <c r="J296" s="28"/>
      <c r="K296" s="4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4"/>
      <c r="B297" s="4"/>
      <c r="C297" s="28"/>
      <c r="D297" s="28"/>
      <c r="E297" s="28"/>
      <c r="F297" s="30"/>
      <c r="G297" s="30"/>
      <c r="H297" s="4"/>
      <c r="I297" s="4"/>
      <c r="J297" s="28"/>
      <c r="K297" s="4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4"/>
      <c r="B298" s="4"/>
      <c r="C298" s="28"/>
      <c r="D298" s="28"/>
      <c r="E298" s="28"/>
      <c r="F298" s="30"/>
      <c r="G298" s="30"/>
      <c r="H298" s="4"/>
      <c r="I298" s="4"/>
      <c r="J298" s="28"/>
      <c r="K298" s="4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4"/>
      <c r="B299" s="4"/>
      <c r="C299" s="28"/>
      <c r="D299" s="28"/>
      <c r="E299" s="28"/>
      <c r="F299" s="30"/>
      <c r="G299" s="30"/>
      <c r="H299" s="4"/>
      <c r="I299" s="4"/>
      <c r="J299" s="28"/>
      <c r="K299" s="4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4"/>
      <c r="B300" s="4"/>
      <c r="C300" s="28"/>
      <c r="D300" s="28"/>
      <c r="E300" s="28"/>
      <c r="F300" s="30"/>
      <c r="G300" s="30"/>
      <c r="H300" s="4"/>
      <c r="I300" s="4"/>
      <c r="J300" s="28"/>
      <c r="K300" s="4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4"/>
      <c r="B301" s="4"/>
      <c r="C301" s="28"/>
      <c r="D301" s="28"/>
      <c r="E301" s="28"/>
      <c r="F301" s="30"/>
      <c r="G301" s="30"/>
      <c r="H301" s="4"/>
      <c r="I301" s="4"/>
      <c r="J301" s="28"/>
      <c r="K301" s="4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4"/>
      <c r="B302" s="4"/>
      <c r="C302" s="28"/>
      <c r="D302" s="28"/>
      <c r="E302" s="28"/>
      <c r="F302" s="30"/>
      <c r="G302" s="30"/>
      <c r="H302" s="4"/>
      <c r="I302" s="4"/>
      <c r="J302" s="28"/>
      <c r="K302" s="4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4"/>
      <c r="B303" s="4"/>
      <c r="C303" s="28"/>
      <c r="D303" s="28"/>
      <c r="E303" s="28"/>
      <c r="F303" s="30"/>
      <c r="G303" s="30"/>
      <c r="H303" s="4"/>
      <c r="I303" s="4"/>
      <c r="J303" s="28"/>
      <c r="K303" s="4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4"/>
      <c r="B304" s="4"/>
      <c r="C304" s="28"/>
      <c r="D304" s="28"/>
      <c r="E304" s="28"/>
      <c r="F304" s="30"/>
      <c r="G304" s="30"/>
      <c r="H304" s="4"/>
      <c r="I304" s="4"/>
      <c r="J304" s="28"/>
      <c r="K304" s="4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4"/>
      <c r="B305" s="4"/>
      <c r="C305" s="28"/>
      <c r="D305" s="28"/>
      <c r="E305" s="28"/>
      <c r="F305" s="30"/>
      <c r="G305" s="30"/>
      <c r="H305" s="4"/>
      <c r="I305" s="4"/>
      <c r="J305" s="28"/>
      <c r="K305" s="4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4"/>
      <c r="B306" s="4"/>
      <c r="C306" s="28"/>
      <c r="D306" s="28"/>
      <c r="E306" s="28"/>
      <c r="F306" s="30"/>
      <c r="G306" s="30"/>
      <c r="H306" s="4"/>
      <c r="I306" s="4"/>
      <c r="J306" s="28"/>
      <c r="K306" s="4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4"/>
      <c r="B307" s="4"/>
      <c r="C307" s="28"/>
      <c r="D307" s="28"/>
      <c r="E307" s="28"/>
      <c r="F307" s="30"/>
      <c r="G307" s="30"/>
      <c r="H307" s="4"/>
      <c r="I307" s="4"/>
      <c r="J307" s="28"/>
      <c r="K307" s="4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4"/>
      <c r="B308" s="4"/>
      <c r="C308" s="28"/>
      <c r="D308" s="28"/>
      <c r="E308" s="28"/>
      <c r="F308" s="30"/>
      <c r="G308" s="30"/>
      <c r="H308" s="4"/>
      <c r="I308" s="4"/>
      <c r="J308" s="28"/>
      <c r="K308" s="4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4"/>
      <c r="B309" s="4"/>
      <c r="C309" s="28"/>
      <c r="D309" s="28"/>
      <c r="E309" s="28"/>
      <c r="F309" s="30"/>
      <c r="G309" s="30"/>
      <c r="H309" s="4"/>
      <c r="I309" s="4"/>
      <c r="J309" s="28"/>
      <c r="K309" s="4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4"/>
      <c r="B310" s="4"/>
      <c r="C310" s="28"/>
      <c r="D310" s="28"/>
      <c r="E310" s="28"/>
      <c r="F310" s="30"/>
      <c r="G310" s="30"/>
      <c r="H310" s="4"/>
      <c r="I310" s="4"/>
      <c r="J310" s="28"/>
      <c r="K310" s="4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4"/>
      <c r="B311" s="4"/>
      <c r="C311" s="28"/>
      <c r="D311" s="28"/>
      <c r="E311" s="28"/>
      <c r="F311" s="30"/>
      <c r="G311" s="30"/>
      <c r="H311" s="4"/>
      <c r="I311" s="4"/>
      <c r="J311" s="28"/>
      <c r="K311" s="4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4"/>
      <c r="B312" s="4"/>
      <c r="C312" s="28"/>
      <c r="D312" s="28"/>
      <c r="E312" s="28"/>
      <c r="F312" s="30"/>
      <c r="G312" s="30"/>
      <c r="H312" s="4"/>
      <c r="I312" s="4"/>
      <c r="J312" s="28"/>
      <c r="K312" s="4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4"/>
      <c r="B313" s="4"/>
      <c r="C313" s="28"/>
      <c r="D313" s="28"/>
      <c r="E313" s="28"/>
      <c r="F313" s="30"/>
      <c r="G313" s="30"/>
      <c r="H313" s="4"/>
      <c r="I313" s="4"/>
      <c r="J313" s="28"/>
      <c r="K313" s="4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4"/>
      <c r="B314" s="4"/>
      <c r="C314" s="28"/>
      <c r="D314" s="28"/>
      <c r="E314" s="28"/>
      <c r="F314" s="30"/>
      <c r="G314" s="30"/>
      <c r="H314" s="4"/>
      <c r="I314" s="4"/>
      <c r="J314" s="28"/>
      <c r="K314" s="4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4"/>
      <c r="B315" s="4"/>
      <c r="C315" s="28"/>
      <c r="D315" s="28"/>
      <c r="E315" s="28"/>
      <c r="F315" s="30"/>
      <c r="G315" s="30"/>
      <c r="H315" s="4"/>
      <c r="I315" s="4"/>
      <c r="J315" s="28"/>
      <c r="K315" s="4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4"/>
      <c r="B316" s="4"/>
      <c r="C316" s="28"/>
      <c r="D316" s="28"/>
      <c r="E316" s="28"/>
      <c r="F316" s="30"/>
      <c r="G316" s="30"/>
      <c r="H316" s="4"/>
      <c r="I316" s="4"/>
      <c r="J316" s="28"/>
      <c r="K316" s="4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4"/>
      <c r="B317" s="4"/>
      <c r="C317" s="28"/>
      <c r="D317" s="28"/>
      <c r="E317" s="28"/>
      <c r="F317" s="30"/>
      <c r="G317" s="30"/>
      <c r="H317" s="4"/>
      <c r="I317" s="4"/>
      <c r="J317" s="28"/>
      <c r="K317" s="4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4"/>
      <c r="B318" s="4"/>
      <c r="C318" s="28"/>
      <c r="D318" s="28"/>
      <c r="E318" s="28"/>
      <c r="F318" s="30"/>
      <c r="G318" s="30"/>
      <c r="H318" s="4"/>
      <c r="I318" s="4"/>
      <c r="J318" s="28"/>
      <c r="K318" s="4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4"/>
      <c r="B319" s="4"/>
      <c r="C319" s="28"/>
      <c r="D319" s="28"/>
      <c r="E319" s="28"/>
      <c r="F319" s="30"/>
      <c r="G319" s="30"/>
      <c r="H319" s="4"/>
      <c r="I319" s="4"/>
      <c r="J319" s="28"/>
      <c r="K319" s="4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4"/>
      <c r="B320" s="4"/>
      <c r="C320" s="28"/>
      <c r="D320" s="28"/>
      <c r="E320" s="28"/>
      <c r="F320" s="30"/>
      <c r="G320" s="30"/>
      <c r="H320" s="4"/>
      <c r="I320" s="4"/>
      <c r="J320" s="28"/>
      <c r="K320" s="4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4"/>
      <c r="B321" s="4"/>
      <c r="C321" s="28"/>
      <c r="D321" s="28"/>
      <c r="E321" s="28"/>
      <c r="F321" s="30"/>
      <c r="G321" s="30"/>
      <c r="H321" s="4"/>
      <c r="I321" s="4"/>
      <c r="J321" s="28"/>
      <c r="K321" s="4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4"/>
      <c r="B322" s="4"/>
      <c r="C322" s="28"/>
      <c r="D322" s="28"/>
      <c r="E322" s="28"/>
      <c r="F322" s="30"/>
      <c r="G322" s="30"/>
      <c r="H322" s="4"/>
      <c r="I322" s="4"/>
      <c r="J322" s="28"/>
      <c r="K322" s="4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4"/>
      <c r="B323" s="4"/>
      <c r="C323" s="28"/>
      <c r="D323" s="28"/>
      <c r="E323" s="28"/>
      <c r="F323" s="30"/>
      <c r="G323" s="30"/>
      <c r="H323" s="4"/>
      <c r="I323" s="4"/>
      <c r="J323" s="28"/>
      <c r="K323" s="4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4"/>
      <c r="B324" s="4"/>
      <c r="C324" s="28"/>
      <c r="D324" s="28"/>
      <c r="E324" s="28"/>
      <c r="F324" s="30"/>
      <c r="G324" s="30"/>
      <c r="H324" s="4"/>
      <c r="I324" s="4"/>
      <c r="J324" s="28"/>
      <c r="K324" s="4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4"/>
      <c r="B325" s="4"/>
      <c r="C325" s="28"/>
      <c r="D325" s="28"/>
      <c r="E325" s="28"/>
      <c r="F325" s="30"/>
      <c r="G325" s="30"/>
      <c r="H325" s="4"/>
      <c r="I325" s="4"/>
      <c r="J325" s="28"/>
      <c r="K325" s="4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4"/>
      <c r="B326" s="4"/>
      <c r="C326" s="28"/>
      <c r="D326" s="28"/>
      <c r="E326" s="28"/>
      <c r="F326" s="30"/>
      <c r="G326" s="30"/>
      <c r="H326" s="4"/>
      <c r="I326" s="4"/>
      <c r="J326" s="28"/>
      <c r="K326" s="4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4"/>
      <c r="B327" s="4"/>
      <c r="C327" s="28"/>
      <c r="D327" s="28"/>
      <c r="E327" s="28"/>
      <c r="F327" s="30"/>
      <c r="G327" s="30"/>
      <c r="H327" s="4"/>
      <c r="I327" s="4"/>
      <c r="J327" s="28"/>
      <c r="K327" s="4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4"/>
      <c r="B328" s="4"/>
      <c r="C328" s="28"/>
      <c r="D328" s="28"/>
      <c r="E328" s="28"/>
      <c r="F328" s="30"/>
      <c r="G328" s="30"/>
      <c r="H328" s="4"/>
      <c r="I328" s="4"/>
      <c r="J328" s="28"/>
      <c r="K328" s="4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4"/>
      <c r="B329" s="4"/>
      <c r="C329" s="28"/>
      <c r="D329" s="28"/>
      <c r="E329" s="28"/>
      <c r="F329" s="30"/>
      <c r="G329" s="30"/>
      <c r="H329" s="4"/>
      <c r="I329" s="4"/>
      <c r="J329" s="28"/>
      <c r="K329" s="4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4"/>
      <c r="B330" s="4"/>
      <c r="C330" s="28"/>
      <c r="D330" s="28"/>
      <c r="E330" s="28"/>
      <c r="F330" s="30"/>
      <c r="G330" s="30"/>
      <c r="H330" s="4"/>
      <c r="I330" s="4"/>
      <c r="J330" s="28"/>
      <c r="K330" s="4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4"/>
      <c r="B331" s="4"/>
      <c r="C331" s="28"/>
      <c r="D331" s="28"/>
      <c r="E331" s="28"/>
      <c r="F331" s="30"/>
      <c r="G331" s="30"/>
      <c r="H331" s="4"/>
      <c r="I331" s="4"/>
      <c r="J331" s="28"/>
      <c r="K331" s="4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4"/>
      <c r="B332" s="4"/>
      <c r="C332" s="28"/>
      <c r="D332" s="28"/>
      <c r="E332" s="28"/>
      <c r="F332" s="30"/>
      <c r="G332" s="30"/>
      <c r="H332" s="4"/>
      <c r="I332" s="4"/>
      <c r="J332" s="28"/>
      <c r="K332" s="4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4"/>
      <c r="B333" s="4"/>
      <c r="C333" s="28"/>
      <c r="D333" s="28"/>
      <c r="E333" s="28"/>
      <c r="F333" s="30"/>
      <c r="G333" s="30"/>
      <c r="H333" s="4"/>
      <c r="I333" s="4"/>
      <c r="J333" s="28"/>
      <c r="K333" s="4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4"/>
      <c r="B334" s="4"/>
      <c r="C334" s="28"/>
      <c r="D334" s="28"/>
      <c r="E334" s="28"/>
      <c r="F334" s="30"/>
      <c r="G334" s="30"/>
      <c r="H334" s="4"/>
      <c r="I334" s="4"/>
      <c r="J334" s="28"/>
      <c r="K334" s="4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4"/>
      <c r="B335" s="4"/>
      <c r="C335" s="28"/>
      <c r="D335" s="28"/>
      <c r="E335" s="28"/>
      <c r="F335" s="30"/>
      <c r="G335" s="30"/>
      <c r="H335" s="4"/>
      <c r="I335" s="4"/>
      <c r="J335" s="28"/>
      <c r="K335" s="4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4"/>
      <c r="B336" s="4"/>
      <c r="C336" s="28"/>
      <c r="D336" s="28"/>
      <c r="E336" s="28"/>
      <c r="F336" s="30"/>
      <c r="G336" s="30"/>
      <c r="H336" s="4"/>
      <c r="I336" s="4"/>
      <c r="J336" s="28"/>
      <c r="K336" s="4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4"/>
      <c r="B337" s="4"/>
      <c r="C337" s="28"/>
      <c r="D337" s="28"/>
      <c r="E337" s="28"/>
      <c r="F337" s="30"/>
      <c r="G337" s="30"/>
      <c r="H337" s="4"/>
      <c r="I337" s="4"/>
      <c r="J337" s="28"/>
      <c r="K337" s="4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4"/>
      <c r="B338" s="4"/>
      <c r="C338" s="28"/>
      <c r="D338" s="28"/>
      <c r="E338" s="28"/>
      <c r="F338" s="30"/>
      <c r="G338" s="30"/>
      <c r="H338" s="4"/>
      <c r="I338" s="4"/>
      <c r="J338" s="28"/>
      <c r="K338" s="4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4"/>
      <c r="B339" s="4"/>
      <c r="C339" s="28"/>
      <c r="D339" s="28"/>
      <c r="E339" s="28"/>
      <c r="F339" s="30"/>
      <c r="G339" s="30"/>
      <c r="H339" s="4"/>
      <c r="I339" s="4"/>
      <c r="J339" s="28"/>
      <c r="K339" s="4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4"/>
      <c r="B340" s="4"/>
      <c r="C340" s="28"/>
      <c r="D340" s="28"/>
      <c r="E340" s="28"/>
      <c r="F340" s="30"/>
      <c r="G340" s="30"/>
      <c r="H340" s="4"/>
      <c r="I340" s="4"/>
      <c r="J340" s="28"/>
      <c r="K340" s="4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4"/>
      <c r="B341" s="4"/>
      <c r="C341" s="28"/>
      <c r="D341" s="28"/>
      <c r="E341" s="28"/>
      <c r="F341" s="30"/>
      <c r="G341" s="30"/>
      <c r="H341" s="4"/>
      <c r="I341" s="4"/>
      <c r="J341" s="28"/>
      <c r="K341" s="4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4"/>
      <c r="B342" s="4"/>
      <c r="C342" s="28"/>
      <c r="D342" s="28"/>
      <c r="E342" s="28"/>
      <c r="F342" s="30"/>
      <c r="G342" s="30"/>
      <c r="H342" s="4"/>
      <c r="I342" s="4"/>
      <c r="J342" s="28"/>
      <c r="K342" s="4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4"/>
      <c r="B343" s="4"/>
      <c r="C343" s="28"/>
      <c r="D343" s="28"/>
      <c r="E343" s="28"/>
      <c r="F343" s="30"/>
      <c r="G343" s="30"/>
      <c r="H343" s="4"/>
      <c r="I343" s="4"/>
      <c r="J343" s="28"/>
      <c r="K343" s="4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4"/>
      <c r="B344" s="4"/>
      <c r="C344" s="28"/>
      <c r="D344" s="28"/>
      <c r="E344" s="28"/>
      <c r="F344" s="30"/>
      <c r="G344" s="30"/>
      <c r="H344" s="4"/>
      <c r="I344" s="4"/>
      <c r="J344" s="28"/>
      <c r="K344" s="4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4"/>
      <c r="B345" s="4"/>
      <c r="C345" s="28"/>
      <c r="D345" s="28"/>
      <c r="E345" s="28"/>
      <c r="F345" s="30"/>
      <c r="G345" s="30"/>
      <c r="H345" s="4"/>
      <c r="I345" s="4"/>
      <c r="J345" s="28"/>
      <c r="K345" s="4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4"/>
      <c r="B346" s="4"/>
      <c r="C346" s="28"/>
      <c r="D346" s="28"/>
      <c r="E346" s="28"/>
      <c r="F346" s="30"/>
      <c r="G346" s="30"/>
      <c r="H346" s="4"/>
      <c r="I346" s="4"/>
      <c r="J346" s="28"/>
      <c r="K346" s="4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4"/>
      <c r="B347" s="4"/>
      <c r="C347" s="28"/>
      <c r="D347" s="28"/>
      <c r="E347" s="28"/>
      <c r="F347" s="30"/>
      <c r="G347" s="30"/>
      <c r="H347" s="4"/>
      <c r="I347" s="4"/>
      <c r="J347" s="28"/>
      <c r="K347" s="4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4"/>
      <c r="B348" s="4"/>
      <c r="C348" s="28"/>
      <c r="D348" s="28"/>
      <c r="E348" s="28"/>
      <c r="F348" s="30"/>
      <c r="G348" s="30"/>
      <c r="H348" s="4"/>
      <c r="I348" s="4"/>
      <c r="J348" s="28"/>
      <c r="K348" s="4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4"/>
      <c r="B349" s="4"/>
      <c r="C349" s="28"/>
      <c r="D349" s="28"/>
      <c r="E349" s="28"/>
      <c r="F349" s="30"/>
      <c r="G349" s="30"/>
      <c r="H349" s="4"/>
      <c r="I349" s="4"/>
      <c r="J349" s="28"/>
      <c r="K349" s="4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4"/>
      <c r="B350" s="4"/>
      <c r="C350" s="28"/>
      <c r="D350" s="28"/>
      <c r="E350" s="28"/>
      <c r="F350" s="30"/>
      <c r="G350" s="30"/>
      <c r="H350" s="4"/>
      <c r="I350" s="4"/>
      <c r="J350" s="28"/>
      <c r="K350" s="4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4"/>
      <c r="B351" s="4"/>
      <c r="C351" s="28"/>
      <c r="D351" s="28"/>
      <c r="E351" s="28"/>
      <c r="F351" s="30"/>
      <c r="G351" s="30"/>
      <c r="H351" s="4"/>
      <c r="I351" s="4"/>
      <c r="J351" s="28"/>
      <c r="K351" s="4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4"/>
      <c r="B352" s="4"/>
      <c r="C352" s="28"/>
      <c r="D352" s="28"/>
      <c r="E352" s="28"/>
      <c r="F352" s="30"/>
      <c r="G352" s="30"/>
      <c r="H352" s="4"/>
      <c r="I352" s="4"/>
      <c r="J352" s="28"/>
      <c r="K352" s="4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4"/>
      <c r="B353" s="4"/>
      <c r="C353" s="28"/>
      <c r="D353" s="28"/>
      <c r="E353" s="28"/>
      <c r="F353" s="30"/>
      <c r="G353" s="30"/>
      <c r="H353" s="4"/>
      <c r="I353" s="4"/>
      <c r="J353" s="28"/>
      <c r="K353" s="4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4"/>
      <c r="B354" s="4"/>
      <c r="C354" s="28"/>
      <c r="D354" s="28"/>
      <c r="E354" s="28"/>
      <c r="F354" s="30"/>
      <c r="G354" s="30"/>
      <c r="H354" s="4"/>
      <c r="I354" s="4"/>
      <c r="J354" s="28"/>
      <c r="K354" s="4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4"/>
      <c r="B355" s="4"/>
      <c r="C355" s="28"/>
      <c r="D355" s="28"/>
      <c r="E355" s="28"/>
      <c r="F355" s="30"/>
      <c r="G355" s="30"/>
      <c r="H355" s="4"/>
      <c r="I355" s="4"/>
      <c r="J355" s="28"/>
      <c r="K355" s="4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4"/>
      <c r="B356" s="4"/>
      <c r="C356" s="28"/>
      <c r="D356" s="28"/>
      <c r="E356" s="28"/>
      <c r="F356" s="30"/>
      <c r="G356" s="30"/>
      <c r="H356" s="4"/>
      <c r="I356" s="4"/>
      <c r="J356" s="28"/>
      <c r="K356" s="4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4"/>
      <c r="B357" s="4"/>
      <c r="C357" s="28"/>
      <c r="D357" s="28"/>
      <c r="E357" s="28"/>
      <c r="F357" s="30"/>
      <c r="G357" s="30"/>
      <c r="H357" s="4"/>
      <c r="I357" s="4"/>
      <c r="J357" s="28"/>
      <c r="K357" s="4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4"/>
      <c r="B358" s="4"/>
      <c r="C358" s="28"/>
      <c r="D358" s="28"/>
      <c r="E358" s="28"/>
      <c r="F358" s="30"/>
      <c r="G358" s="30"/>
      <c r="H358" s="4"/>
      <c r="I358" s="4"/>
      <c r="J358" s="28"/>
      <c r="K358" s="4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4"/>
      <c r="B359" s="4"/>
      <c r="C359" s="28"/>
      <c r="D359" s="28"/>
      <c r="E359" s="28"/>
      <c r="F359" s="30"/>
      <c r="G359" s="30"/>
      <c r="H359" s="4"/>
      <c r="I359" s="4"/>
      <c r="J359" s="28"/>
      <c r="K359" s="4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4"/>
      <c r="B360" s="4"/>
      <c r="C360" s="28"/>
      <c r="D360" s="28"/>
      <c r="E360" s="28"/>
      <c r="F360" s="30"/>
      <c r="G360" s="30"/>
      <c r="H360" s="4"/>
      <c r="I360" s="4"/>
      <c r="J360" s="28"/>
      <c r="K360" s="4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4"/>
      <c r="B361" s="4"/>
      <c r="C361" s="28"/>
      <c r="D361" s="28"/>
      <c r="E361" s="28"/>
      <c r="F361" s="30"/>
      <c r="G361" s="30"/>
      <c r="H361" s="4"/>
      <c r="I361" s="4"/>
      <c r="J361" s="28"/>
      <c r="K361" s="4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4"/>
      <c r="B362" s="4"/>
      <c r="C362" s="28"/>
      <c r="D362" s="28"/>
      <c r="E362" s="28"/>
      <c r="F362" s="30"/>
      <c r="G362" s="30"/>
      <c r="H362" s="4"/>
      <c r="I362" s="4"/>
      <c r="J362" s="28"/>
      <c r="K362" s="4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4"/>
      <c r="B363" s="4"/>
      <c r="C363" s="28"/>
      <c r="D363" s="28"/>
      <c r="E363" s="28"/>
      <c r="F363" s="30"/>
      <c r="G363" s="30"/>
      <c r="H363" s="4"/>
      <c r="I363" s="4"/>
      <c r="J363" s="28"/>
      <c r="K363" s="4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4"/>
      <c r="B364" s="4"/>
      <c r="C364" s="28"/>
      <c r="D364" s="28"/>
      <c r="E364" s="28"/>
      <c r="F364" s="30"/>
      <c r="G364" s="30"/>
      <c r="H364" s="4"/>
      <c r="I364" s="4"/>
      <c r="J364" s="28"/>
      <c r="K364" s="4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4"/>
      <c r="B365" s="4"/>
      <c r="C365" s="28"/>
      <c r="D365" s="28"/>
      <c r="E365" s="28"/>
      <c r="F365" s="30"/>
      <c r="G365" s="30"/>
      <c r="H365" s="4"/>
      <c r="I365" s="4"/>
      <c r="J365" s="28"/>
      <c r="K365" s="4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4"/>
      <c r="B366" s="4"/>
      <c r="C366" s="28"/>
      <c r="D366" s="28"/>
      <c r="E366" s="28"/>
      <c r="F366" s="30"/>
      <c r="G366" s="30"/>
      <c r="H366" s="4"/>
      <c r="I366" s="4"/>
      <c r="J366" s="28"/>
      <c r="K366" s="4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4"/>
      <c r="B367" s="4"/>
      <c r="C367" s="28"/>
      <c r="D367" s="28"/>
      <c r="E367" s="28"/>
      <c r="F367" s="30"/>
      <c r="G367" s="30"/>
      <c r="H367" s="4"/>
      <c r="I367" s="4"/>
      <c r="J367" s="28"/>
      <c r="K367" s="4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4"/>
      <c r="B368" s="4"/>
      <c r="C368" s="28"/>
      <c r="D368" s="28"/>
      <c r="E368" s="28"/>
      <c r="F368" s="30"/>
      <c r="G368" s="30"/>
      <c r="H368" s="4"/>
      <c r="I368" s="4"/>
      <c r="J368" s="28"/>
      <c r="K368" s="4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4"/>
      <c r="B369" s="4"/>
      <c r="C369" s="28"/>
      <c r="D369" s="28"/>
      <c r="E369" s="28"/>
      <c r="F369" s="30"/>
      <c r="G369" s="30"/>
      <c r="H369" s="4"/>
      <c r="I369" s="4"/>
      <c r="J369" s="28"/>
      <c r="K369" s="4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4"/>
      <c r="B370" s="4"/>
      <c r="C370" s="28"/>
      <c r="D370" s="28"/>
      <c r="E370" s="28"/>
      <c r="F370" s="30"/>
      <c r="G370" s="30"/>
      <c r="H370" s="4"/>
      <c r="I370" s="4"/>
      <c r="J370" s="28"/>
      <c r="K370" s="4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4"/>
      <c r="B371" s="4"/>
      <c r="C371" s="28"/>
      <c r="D371" s="28"/>
      <c r="E371" s="28"/>
      <c r="F371" s="30"/>
      <c r="G371" s="30"/>
      <c r="H371" s="4"/>
      <c r="I371" s="4"/>
      <c r="J371" s="28"/>
      <c r="K371" s="4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4"/>
      <c r="B372" s="4"/>
      <c r="C372" s="28"/>
      <c r="D372" s="28"/>
      <c r="E372" s="28"/>
      <c r="F372" s="30"/>
      <c r="G372" s="30"/>
      <c r="H372" s="4"/>
      <c r="I372" s="4"/>
      <c r="J372" s="28"/>
      <c r="K372" s="4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4"/>
      <c r="B373" s="4"/>
      <c r="C373" s="28"/>
      <c r="D373" s="28"/>
      <c r="E373" s="28"/>
      <c r="F373" s="30"/>
      <c r="G373" s="30"/>
      <c r="H373" s="4"/>
      <c r="I373" s="4"/>
      <c r="J373" s="28"/>
      <c r="K373" s="4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4"/>
      <c r="B374" s="4"/>
      <c r="C374" s="28"/>
      <c r="D374" s="28"/>
      <c r="E374" s="28"/>
      <c r="F374" s="30"/>
      <c r="G374" s="30"/>
      <c r="H374" s="4"/>
      <c r="I374" s="4"/>
      <c r="J374" s="28"/>
      <c r="K374" s="4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4"/>
      <c r="B375" s="4"/>
      <c r="C375" s="28"/>
      <c r="D375" s="28"/>
      <c r="E375" s="28"/>
      <c r="F375" s="30"/>
      <c r="G375" s="30"/>
      <c r="H375" s="4"/>
      <c r="I375" s="4"/>
      <c r="J375" s="28"/>
      <c r="K375" s="4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4"/>
      <c r="B376" s="4"/>
      <c r="C376" s="28"/>
      <c r="D376" s="28"/>
      <c r="E376" s="28"/>
      <c r="F376" s="30"/>
      <c r="G376" s="30"/>
      <c r="H376" s="4"/>
      <c r="I376" s="4"/>
      <c r="J376" s="28"/>
      <c r="K376" s="4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4"/>
      <c r="B377" s="4"/>
      <c r="C377" s="28"/>
      <c r="D377" s="28"/>
      <c r="E377" s="28"/>
      <c r="F377" s="30"/>
      <c r="G377" s="30"/>
      <c r="H377" s="4"/>
      <c r="I377" s="4"/>
      <c r="J377" s="28"/>
      <c r="K377" s="4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4"/>
      <c r="B378" s="4"/>
      <c r="C378" s="28"/>
      <c r="D378" s="28"/>
      <c r="E378" s="28"/>
      <c r="F378" s="30"/>
      <c r="G378" s="30"/>
      <c r="H378" s="4"/>
      <c r="I378" s="4"/>
      <c r="J378" s="28"/>
      <c r="K378" s="4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4"/>
      <c r="B379" s="4"/>
      <c r="C379" s="28"/>
      <c r="D379" s="28"/>
      <c r="E379" s="28"/>
      <c r="F379" s="30"/>
      <c r="G379" s="30"/>
      <c r="H379" s="4"/>
      <c r="I379" s="4"/>
      <c r="J379" s="28"/>
      <c r="K379" s="4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4"/>
      <c r="B380" s="4"/>
      <c r="C380" s="28"/>
      <c r="D380" s="28"/>
      <c r="E380" s="28"/>
      <c r="F380" s="30"/>
      <c r="G380" s="30"/>
      <c r="H380" s="4"/>
      <c r="I380" s="4"/>
      <c r="J380" s="28"/>
      <c r="K380" s="4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4"/>
      <c r="B381" s="4"/>
      <c r="C381" s="28"/>
      <c r="D381" s="28"/>
      <c r="E381" s="28"/>
      <c r="F381" s="30"/>
      <c r="G381" s="30"/>
      <c r="H381" s="4"/>
      <c r="I381" s="4"/>
      <c r="J381" s="28"/>
      <c r="K381" s="4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4"/>
      <c r="B382" s="4"/>
      <c r="C382" s="28"/>
      <c r="D382" s="28"/>
      <c r="E382" s="28"/>
      <c r="F382" s="30"/>
      <c r="G382" s="30"/>
      <c r="H382" s="4"/>
      <c r="I382" s="4"/>
      <c r="J382" s="28"/>
      <c r="K382" s="4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4"/>
      <c r="B383" s="4"/>
      <c r="C383" s="28"/>
      <c r="D383" s="28"/>
      <c r="E383" s="28"/>
      <c r="F383" s="30"/>
      <c r="G383" s="30"/>
      <c r="H383" s="4"/>
      <c r="I383" s="4"/>
      <c r="J383" s="28"/>
      <c r="K383" s="4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4"/>
      <c r="B384" s="4"/>
      <c r="C384" s="28"/>
      <c r="D384" s="28"/>
      <c r="E384" s="28"/>
      <c r="F384" s="30"/>
      <c r="G384" s="30"/>
      <c r="H384" s="4"/>
      <c r="I384" s="4"/>
      <c r="J384" s="28"/>
      <c r="K384" s="4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4"/>
      <c r="B385" s="4"/>
      <c r="C385" s="28"/>
      <c r="D385" s="28"/>
      <c r="E385" s="28"/>
      <c r="F385" s="30"/>
      <c r="G385" s="30"/>
      <c r="H385" s="4"/>
      <c r="I385" s="4"/>
      <c r="J385" s="28"/>
      <c r="K385" s="4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4"/>
      <c r="B386" s="4"/>
      <c r="C386" s="28"/>
      <c r="D386" s="28"/>
      <c r="E386" s="28"/>
      <c r="F386" s="30"/>
      <c r="G386" s="30"/>
      <c r="H386" s="4"/>
      <c r="I386" s="4"/>
      <c r="J386" s="28"/>
      <c r="K386" s="4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4"/>
      <c r="B387" s="4"/>
      <c r="C387" s="28"/>
      <c r="D387" s="28"/>
      <c r="E387" s="28"/>
      <c r="F387" s="30"/>
      <c r="G387" s="30"/>
      <c r="H387" s="4"/>
      <c r="I387" s="4"/>
      <c r="J387" s="28"/>
      <c r="K387" s="4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4"/>
      <c r="B388" s="4"/>
      <c r="C388" s="28"/>
      <c r="D388" s="28"/>
      <c r="E388" s="28"/>
      <c r="F388" s="30"/>
      <c r="G388" s="30"/>
      <c r="H388" s="4"/>
      <c r="I388" s="4"/>
      <c r="J388" s="28"/>
      <c r="K388" s="4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4"/>
      <c r="B389" s="4"/>
      <c r="C389" s="28"/>
      <c r="D389" s="28"/>
      <c r="E389" s="28"/>
      <c r="F389" s="30"/>
      <c r="G389" s="30"/>
      <c r="H389" s="4"/>
      <c r="I389" s="4"/>
      <c r="J389" s="28"/>
      <c r="K389" s="4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4"/>
      <c r="B390" s="4"/>
      <c r="C390" s="28"/>
      <c r="D390" s="28"/>
      <c r="E390" s="28"/>
      <c r="F390" s="30"/>
      <c r="G390" s="30"/>
      <c r="H390" s="4"/>
      <c r="I390" s="4"/>
      <c r="J390" s="28"/>
      <c r="K390" s="4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4"/>
      <c r="B391" s="4"/>
      <c r="C391" s="28"/>
      <c r="D391" s="28"/>
      <c r="E391" s="28"/>
      <c r="F391" s="30"/>
      <c r="G391" s="30"/>
      <c r="H391" s="4"/>
      <c r="I391" s="4"/>
      <c r="J391" s="28"/>
      <c r="K391" s="4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4"/>
      <c r="B392" s="4"/>
      <c r="C392" s="28"/>
      <c r="D392" s="28"/>
      <c r="E392" s="28"/>
      <c r="F392" s="30"/>
      <c r="G392" s="30"/>
      <c r="H392" s="4"/>
      <c r="I392" s="4"/>
      <c r="J392" s="28"/>
      <c r="K392" s="4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4"/>
      <c r="B393" s="4"/>
      <c r="C393" s="28"/>
      <c r="D393" s="28"/>
      <c r="E393" s="28"/>
      <c r="F393" s="30"/>
      <c r="G393" s="30"/>
      <c r="H393" s="4"/>
      <c r="I393" s="4"/>
      <c r="J393" s="28"/>
      <c r="K393" s="4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4"/>
      <c r="B394" s="4"/>
      <c r="C394" s="28"/>
      <c r="D394" s="28"/>
      <c r="E394" s="28"/>
      <c r="F394" s="30"/>
      <c r="G394" s="30"/>
      <c r="H394" s="4"/>
      <c r="I394" s="4"/>
      <c r="J394" s="28"/>
      <c r="K394" s="4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4"/>
      <c r="B395" s="4"/>
      <c r="C395" s="28"/>
      <c r="D395" s="28"/>
      <c r="E395" s="28"/>
      <c r="F395" s="30"/>
      <c r="G395" s="30"/>
      <c r="H395" s="4"/>
      <c r="I395" s="4"/>
      <c r="J395" s="28"/>
      <c r="K395" s="4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4"/>
      <c r="B396" s="4"/>
      <c r="C396" s="28"/>
      <c r="D396" s="28"/>
      <c r="E396" s="28"/>
      <c r="F396" s="30"/>
      <c r="G396" s="30"/>
      <c r="H396" s="4"/>
      <c r="I396" s="4"/>
      <c r="J396" s="28"/>
      <c r="K396" s="4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4"/>
      <c r="B397" s="4"/>
      <c r="C397" s="28"/>
      <c r="D397" s="28"/>
      <c r="E397" s="28"/>
      <c r="F397" s="30"/>
      <c r="G397" s="30"/>
      <c r="H397" s="4"/>
      <c r="I397" s="4"/>
      <c r="J397" s="28"/>
      <c r="K397" s="4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4"/>
      <c r="B398" s="4"/>
      <c r="C398" s="28"/>
      <c r="D398" s="28"/>
      <c r="E398" s="28"/>
      <c r="F398" s="30"/>
      <c r="G398" s="30"/>
      <c r="H398" s="4"/>
      <c r="I398" s="4"/>
      <c r="J398" s="28"/>
      <c r="K398" s="4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4"/>
      <c r="B399" s="4"/>
      <c r="C399" s="28"/>
      <c r="D399" s="28"/>
      <c r="E399" s="28"/>
      <c r="F399" s="30"/>
      <c r="G399" s="30"/>
      <c r="H399" s="4"/>
      <c r="I399" s="4"/>
      <c r="J399" s="28"/>
      <c r="K399" s="4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4"/>
      <c r="B400" s="4"/>
      <c r="C400" s="28"/>
      <c r="D400" s="28"/>
      <c r="E400" s="28"/>
      <c r="F400" s="30"/>
      <c r="G400" s="30"/>
      <c r="H400" s="4"/>
      <c r="I400" s="4"/>
      <c r="J400" s="28"/>
      <c r="K400" s="4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4"/>
      <c r="B401" s="4"/>
      <c r="C401" s="28"/>
      <c r="D401" s="28"/>
      <c r="E401" s="28"/>
      <c r="F401" s="30"/>
      <c r="G401" s="30"/>
      <c r="H401" s="4"/>
      <c r="I401" s="4"/>
      <c r="J401" s="28"/>
      <c r="K401" s="4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4"/>
      <c r="B402" s="4"/>
      <c r="C402" s="28"/>
      <c r="D402" s="28"/>
      <c r="E402" s="28"/>
      <c r="F402" s="30"/>
      <c r="G402" s="30"/>
      <c r="H402" s="4"/>
      <c r="I402" s="4"/>
      <c r="J402" s="28"/>
      <c r="K402" s="4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4"/>
      <c r="B403" s="4"/>
      <c r="C403" s="28"/>
      <c r="D403" s="28"/>
      <c r="E403" s="28"/>
      <c r="F403" s="30"/>
      <c r="G403" s="30"/>
      <c r="H403" s="4"/>
      <c r="I403" s="4"/>
      <c r="J403" s="28"/>
      <c r="K403" s="4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4"/>
      <c r="B404" s="4"/>
      <c r="C404" s="28"/>
      <c r="D404" s="28"/>
      <c r="E404" s="28"/>
      <c r="F404" s="30"/>
      <c r="G404" s="30"/>
      <c r="H404" s="4"/>
      <c r="I404" s="4"/>
      <c r="J404" s="28"/>
      <c r="K404" s="4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4"/>
      <c r="B405" s="4"/>
      <c r="C405" s="28"/>
      <c r="D405" s="28"/>
      <c r="E405" s="28"/>
      <c r="F405" s="30"/>
      <c r="G405" s="30"/>
      <c r="H405" s="4"/>
      <c r="I405" s="4"/>
      <c r="J405" s="28"/>
      <c r="K405" s="4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4"/>
      <c r="B406" s="4"/>
      <c r="C406" s="28"/>
      <c r="D406" s="28"/>
      <c r="E406" s="28"/>
      <c r="F406" s="30"/>
      <c r="G406" s="30"/>
      <c r="H406" s="4"/>
      <c r="I406" s="4"/>
      <c r="J406" s="28"/>
      <c r="K406" s="4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4"/>
      <c r="B407" s="4"/>
      <c r="C407" s="28"/>
      <c r="D407" s="28"/>
      <c r="E407" s="28"/>
      <c r="F407" s="30"/>
      <c r="G407" s="30"/>
      <c r="H407" s="4"/>
      <c r="I407" s="4"/>
      <c r="J407" s="28"/>
      <c r="K407" s="4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4"/>
      <c r="B408" s="4"/>
      <c r="C408" s="28"/>
      <c r="D408" s="28"/>
      <c r="E408" s="28"/>
      <c r="F408" s="30"/>
      <c r="G408" s="30"/>
      <c r="H408" s="4"/>
      <c r="I408" s="4"/>
      <c r="J408" s="28"/>
      <c r="K408" s="4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4"/>
      <c r="B409" s="4"/>
      <c r="C409" s="28"/>
      <c r="D409" s="28"/>
      <c r="E409" s="28"/>
      <c r="F409" s="30"/>
      <c r="G409" s="30"/>
      <c r="H409" s="4"/>
      <c r="I409" s="4"/>
      <c r="J409" s="28"/>
      <c r="K409" s="4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4"/>
      <c r="B410" s="4"/>
      <c r="C410" s="28"/>
      <c r="D410" s="28"/>
      <c r="E410" s="28"/>
      <c r="F410" s="30"/>
      <c r="G410" s="30"/>
      <c r="H410" s="4"/>
      <c r="I410" s="4"/>
      <c r="J410" s="28"/>
      <c r="K410" s="4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4"/>
      <c r="B411" s="4"/>
      <c r="C411" s="28"/>
      <c r="D411" s="28"/>
      <c r="E411" s="28"/>
      <c r="F411" s="30"/>
      <c r="G411" s="30"/>
      <c r="H411" s="4"/>
      <c r="I411" s="4"/>
      <c r="J411" s="28"/>
      <c r="K411" s="4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4"/>
      <c r="B412" s="4"/>
      <c r="C412" s="28"/>
      <c r="D412" s="28"/>
      <c r="E412" s="28"/>
      <c r="F412" s="30"/>
      <c r="G412" s="30"/>
      <c r="H412" s="4"/>
      <c r="I412" s="4"/>
      <c r="J412" s="28"/>
      <c r="K412" s="4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4"/>
      <c r="B413" s="4"/>
      <c r="C413" s="28"/>
      <c r="D413" s="28"/>
      <c r="E413" s="28"/>
      <c r="F413" s="30"/>
      <c r="G413" s="30"/>
      <c r="H413" s="4"/>
      <c r="I413" s="4"/>
      <c r="J413" s="28"/>
      <c r="K413" s="4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4"/>
      <c r="B414" s="4"/>
      <c r="C414" s="28"/>
      <c r="D414" s="28"/>
      <c r="E414" s="28"/>
      <c r="F414" s="30"/>
      <c r="G414" s="30"/>
      <c r="H414" s="4"/>
      <c r="I414" s="4"/>
      <c r="J414" s="28"/>
      <c r="K414" s="4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4"/>
      <c r="B415" s="4"/>
      <c r="C415" s="28"/>
      <c r="D415" s="28"/>
      <c r="E415" s="28"/>
      <c r="F415" s="30"/>
      <c r="G415" s="30"/>
      <c r="H415" s="4"/>
      <c r="I415" s="4"/>
      <c r="J415" s="28"/>
      <c r="K415" s="4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4"/>
      <c r="B416" s="4"/>
      <c r="C416" s="28"/>
      <c r="D416" s="28"/>
      <c r="E416" s="28"/>
      <c r="F416" s="30"/>
      <c r="G416" s="30"/>
      <c r="H416" s="4"/>
      <c r="I416" s="4"/>
      <c r="J416" s="28"/>
      <c r="K416" s="4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4"/>
      <c r="B417" s="4"/>
      <c r="C417" s="28"/>
      <c r="D417" s="28"/>
      <c r="E417" s="28"/>
      <c r="F417" s="30"/>
      <c r="G417" s="30"/>
      <c r="H417" s="4"/>
      <c r="I417" s="4"/>
      <c r="J417" s="28"/>
      <c r="K417" s="4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4"/>
      <c r="B418" s="4"/>
      <c r="C418" s="28"/>
      <c r="D418" s="28"/>
      <c r="E418" s="28"/>
      <c r="F418" s="30"/>
      <c r="G418" s="30"/>
      <c r="H418" s="4"/>
      <c r="I418" s="4"/>
      <c r="J418" s="28"/>
      <c r="K418" s="4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4"/>
      <c r="B419" s="4"/>
      <c r="C419" s="28"/>
      <c r="D419" s="28"/>
      <c r="E419" s="28"/>
      <c r="F419" s="30"/>
      <c r="G419" s="30"/>
      <c r="H419" s="4"/>
      <c r="I419" s="4"/>
      <c r="J419" s="28"/>
      <c r="K419" s="4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4"/>
      <c r="B420" s="4"/>
      <c r="C420" s="28"/>
      <c r="D420" s="28"/>
      <c r="E420" s="28"/>
      <c r="F420" s="30"/>
      <c r="G420" s="30"/>
      <c r="H420" s="4"/>
      <c r="I420" s="4"/>
      <c r="J420" s="28"/>
      <c r="K420" s="4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4"/>
      <c r="B421" s="4"/>
      <c r="C421" s="28"/>
      <c r="D421" s="28"/>
      <c r="E421" s="28"/>
      <c r="F421" s="30"/>
      <c r="G421" s="30"/>
      <c r="H421" s="4"/>
      <c r="I421" s="4"/>
      <c r="J421" s="28"/>
      <c r="K421" s="4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4"/>
      <c r="B422" s="4"/>
      <c r="C422" s="28"/>
      <c r="D422" s="28"/>
      <c r="E422" s="28"/>
      <c r="F422" s="30"/>
      <c r="G422" s="30"/>
      <c r="H422" s="4"/>
      <c r="I422" s="4"/>
      <c r="J422" s="28"/>
      <c r="K422" s="4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4"/>
      <c r="B423" s="4"/>
      <c r="C423" s="28"/>
      <c r="D423" s="28"/>
      <c r="E423" s="28"/>
      <c r="F423" s="30"/>
      <c r="G423" s="30"/>
      <c r="H423" s="4"/>
      <c r="I423" s="4"/>
      <c r="J423" s="28"/>
      <c r="K423" s="4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4"/>
      <c r="B424" s="4"/>
      <c r="C424" s="28"/>
      <c r="D424" s="28"/>
      <c r="E424" s="28"/>
      <c r="F424" s="30"/>
      <c r="G424" s="30"/>
      <c r="H424" s="4"/>
      <c r="I424" s="4"/>
      <c r="J424" s="28"/>
      <c r="K424" s="4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4"/>
      <c r="B425" s="4"/>
      <c r="C425" s="28"/>
      <c r="D425" s="28"/>
      <c r="E425" s="28"/>
      <c r="F425" s="30"/>
      <c r="G425" s="30"/>
      <c r="H425" s="4"/>
      <c r="I425" s="4"/>
      <c r="J425" s="28"/>
      <c r="K425" s="4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4"/>
      <c r="B426" s="4"/>
      <c r="C426" s="28"/>
      <c r="D426" s="28"/>
      <c r="E426" s="28"/>
      <c r="F426" s="30"/>
      <c r="G426" s="30"/>
      <c r="H426" s="4"/>
      <c r="I426" s="4"/>
      <c r="J426" s="28"/>
      <c r="K426" s="4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4"/>
      <c r="B427" s="4"/>
      <c r="C427" s="28"/>
      <c r="D427" s="28"/>
      <c r="E427" s="28"/>
      <c r="F427" s="30"/>
      <c r="G427" s="30"/>
      <c r="H427" s="4"/>
      <c r="I427" s="4"/>
      <c r="J427" s="28"/>
      <c r="K427" s="4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4"/>
      <c r="B428" s="4"/>
      <c r="C428" s="28"/>
      <c r="D428" s="28"/>
      <c r="E428" s="28"/>
      <c r="F428" s="30"/>
      <c r="G428" s="30"/>
      <c r="H428" s="4"/>
      <c r="I428" s="4"/>
      <c r="J428" s="28"/>
      <c r="K428" s="4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4"/>
      <c r="B429" s="4"/>
      <c r="C429" s="28"/>
      <c r="D429" s="28"/>
      <c r="E429" s="28"/>
      <c r="F429" s="30"/>
      <c r="G429" s="30"/>
      <c r="H429" s="4"/>
      <c r="I429" s="4"/>
      <c r="J429" s="28"/>
      <c r="K429" s="4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4"/>
      <c r="B430" s="4"/>
      <c r="C430" s="28"/>
      <c r="D430" s="28"/>
      <c r="E430" s="28"/>
      <c r="F430" s="30"/>
      <c r="G430" s="30"/>
      <c r="H430" s="4"/>
      <c r="I430" s="4"/>
      <c r="J430" s="28"/>
      <c r="K430" s="4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4"/>
      <c r="B431" s="4"/>
      <c r="C431" s="28"/>
      <c r="D431" s="28"/>
      <c r="E431" s="28"/>
      <c r="F431" s="30"/>
      <c r="G431" s="30"/>
      <c r="H431" s="4"/>
      <c r="I431" s="4"/>
      <c r="J431" s="28"/>
      <c r="K431" s="4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4"/>
      <c r="B432" s="4"/>
      <c r="C432" s="28"/>
      <c r="D432" s="28"/>
      <c r="E432" s="28"/>
      <c r="F432" s="30"/>
      <c r="G432" s="30"/>
      <c r="H432" s="4"/>
      <c r="I432" s="4"/>
      <c r="J432" s="28"/>
      <c r="K432" s="4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4"/>
      <c r="B433" s="4"/>
      <c r="C433" s="28"/>
      <c r="D433" s="28"/>
      <c r="E433" s="28"/>
      <c r="F433" s="30"/>
      <c r="G433" s="30"/>
      <c r="H433" s="4"/>
      <c r="I433" s="4"/>
      <c r="J433" s="28"/>
      <c r="K433" s="4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4"/>
      <c r="B434" s="4"/>
      <c r="C434" s="28"/>
      <c r="D434" s="28"/>
      <c r="E434" s="28"/>
      <c r="F434" s="30"/>
      <c r="G434" s="30"/>
      <c r="H434" s="4"/>
      <c r="I434" s="4"/>
      <c r="J434" s="28"/>
      <c r="K434" s="4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4"/>
      <c r="B435" s="4"/>
      <c r="C435" s="28"/>
      <c r="D435" s="28"/>
      <c r="E435" s="28"/>
      <c r="F435" s="30"/>
      <c r="G435" s="30"/>
      <c r="H435" s="4"/>
      <c r="I435" s="4"/>
      <c r="J435" s="28"/>
      <c r="K435" s="4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4"/>
      <c r="B436" s="4"/>
      <c r="C436" s="28"/>
      <c r="D436" s="28"/>
      <c r="E436" s="28"/>
      <c r="F436" s="30"/>
      <c r="G436" s="30"/>
      <c r="H436" s="4"/>
      <c r="I436" s="4"/>
      <c r="J436" s="28"/>
      <c r="K436" s="4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4"/>
      <c r="B437" s="4"/>
      <c r="C437" s="28"/>
      <c r="D437" s="28"/>
      <c r="E437" s="28"/>
      <c r="F437" s="30"/>
      <c r="G437" s="30"/>
      <c r="H437" s="4"/>
      <c r="I437" s="4"/>
      <c r="J437" s="28"/>
      <c r="K437" s="4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4"/>
      <c r="B438" s="4"/>
      <c r="C438" s="28"/>
      <c r="D438" s="28"/>
      <c r="E438" s="28"/>
      <c r="F438" s="30"/>
      <c r="G438" s="30"/>
      <c r="H438" s="4"/>
      <c r="I438" s="4"/>
      <c r="J438" s="28"/>
      <c r="K438" s="4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4"/>
      <c r="B439" s="4"/>
      <c r="C439" s="28"/>
      <c r="D439" s="28"/>
      <c r="E439" s="28"/>
      <c r="F439" s="30"/>
      <c r="G439" s="30"/>
      <c r="H439" s="4"/>
      <c r="I439" s="4"/>
      <c r="J439" s="28"/>
      <c r="K439" s="4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4"/>
      <c r="B440" s="4"/>
      <c r="C440" s="28"/>
      <c r="D440" s="28"/>
      <c r="E440" s="28"/>
      <c r="F440" s="30"/>
      <c r="G440" s="30"/>
      <c r="H440" s="4"/>
      <c r="I440" s="4"/>
      <c r="J440" s="28"/>
      <c r="K440" s="4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4"/>
      <c r="B441" s="4"/>
      <c r="C441" s="28"/>
      <c r="D441" s="28"/>
      <c r="E441" s="28"/>
      <c r="F441" s="30"/>
      <c r="G441" s="30"/>
      <c r="H441" s="4"/>
      <c r="I441" s="4"/>
      <c r="J441" s="28"/>
      <c r="K441" s="4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4"/>
      <c r="B442" s="4"/>
      <c r="C442" s="28"/>
      <c r="D442" s="28"/>
      <c r="E442" s="28"/>
      <c r="F442" s="30"/>
      <c r="G442" s="30"/>
      <c r="H442" s="4"/>
      <c r="I442" s="4"/>
      <c r="J442" s="28"/>
      <c r="K442" s="4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4"/>
      <c r="B443" s="4"/>
      <c r="C443" s="28"/>
      <c r="D443" s="28"/>
      <c r="E443" s="28"/>
      <c r="F443" s="30"/>
      <c r="G443" s="30"/>
      <c r="H443" s="4"/>
      <c r="I443" s="4"/>
      <c r="J443" s="28"/>
      <c r="K443" s="4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4"/>
      <c r="B444" s="4"/>
      <c r="C444" s="28"/>
      <c r="D444" s="28"/>
      <c r="E444" s="28"/>
      <c r="F444" s="30"/>
      <c r="G444" s="30"/>
      <c r="H444" s="4"/>
      <c r="I444" s="4"/>
      <c r="J444" s="28"/>
      <c r="K444" s="4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4"/>
      <c r="B445" s="4"/>
      <c r="C445" s="28"/>
      <c r="D445" s="28"/>
      <c r="E445" s="28"/>
      <c r="F445" s="30"/>
      <c r="G445" s="30"/>
      <c r="H445" s="4"/>
      <c r="I445" s="4"/>
      <c r="J445" s="28"/>
      <c r="K445" s="4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4"/>
      <c r="B446" s="4"/>
      <c r="C446" s="28"/>
      <c r="D446" s="28"/>
      <c r="E446" s="28"/>
      <c r="F446" s="30"/>
      <c r="G446" s="30"/>
      <c r="H446" s="4"/>
      <c r="I446" s="4"/>
      <c r="J446" s="28"/>
      <c r="K446" s="4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4"/>
      <c r="B447" s="4"/>
      <c r="C447" s="28"/>
      <c r="D447" s="28"/>
      <c r="E447" s="28"/>
      <c r="F447" s="30"/>
      <c r="G447" s="30"/>
      <c r="H447" s="4"/>
      <c r="I447" s="4"/>
      <c r="J447" s="28"/>
      <c r="K447" s="4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4"/>
      <c r="B448" s="4"/>
      <c r="C448" s="28"/>
      <c r="D448" s="28"/>
      <c r="E448" s="28"/>
      <c r="F448" s="30"/>
      <c r="G448" s="30"/>
      <c r="H448" s="4"/>
      <c r="I448" s="4"/>
      <c r="J448" s="28"/>
      <c r="K448" s="4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4"/>
      <c r="B449" s="4"/>
      <c r="C449" s="28"/>
      <c r="D449" s="28"/>
      <c r="E449" s="28"/>
      <c r="F449" s="30"/>
      <c r="G449" s="30"/>
      <c r="H449" s="4"/>
      <c r="I449" s="4"/>
      <c r="J449" s="28"/>
      <c r="K449" s="4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4"/>
      <c r="B450" s="4"/>
      <c r="C450" s="28"/>
      <c r="D450" s="28"/>
      <c r="E450" s="28"/>
      <c r="F450" s="30"/>
      <c r="G450" s="30"/>
      <c r="H450" s="4"/>
      <c r="I450" s="4"/>
      <c r="J450" s="28"/>
      <c r="K450" s="4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4"/>
      <c r="B451" s="4"/>
      <c r="C451" s="28"/>
      <c r="D451" s="28"/>
      <c r="E451" s="28"/>
      <c r="F451" s="30"/>
      <c r="G451" s="30"/>
      <c r="H451" s="4"/>
      <c r="I451" s="4"/>
      <c r="J451" s="28"/>
      <c r="K451" s="4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4"/>
      <c r="B452" s="4"/>
      <c r="C452" s="28"/>
      <c r="D452" s="28"/>
      <c r="E452" s="28"/>
      <c r="F452" s="30"/>
      <c r="G452" s="30"/>
      <c r="H452" s="4"/>
      <c r="I452" s="4"/>
      <c r="J452" s="28"/>
      <c r="K452" s="4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4"/>
      <c r="B453" s="4"/>
      <c r="C453" s="28"/>
      <c r="D453" s="28"/>
      <c r="E453" s="28"/>
      <c r="F453" s="30"/>
      <c r="G453" s="30"/>
      <c r="H453" s="4"/>
      <c r="I453" s="4"/>
      <c r="J453" s="28"/>
      <c r="K453" s="4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4"/>
      <c r="B454" s="4"/>
      <c r="C454" s="28"/>
      <c r="D454" s="28"/>
      <c r="E454" s="28"/>
      <c r="F454" s="30"/>
      <c r="G454" s="30"/>
      <c r="H454" s="4"/>
      <c r="I454" s="4"/>
      <c r="J454" s="28"/>
      <c r="K454" s="4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4"/>
      <c r="B455" s="4"/>
      <c r="C455" s="28"/>
      <c r="D455" s="28"/>
      <c r="E455" s="28"/>
      <c r="F455" s="30"/>
      <c r="G455" s="30"/>
      <c r="H455" s="4"/>
      <c r="I455" s="4"/>
      <c r="J455" s="28"/>
      <c r="K455" s="4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4"/>
      <c r="B456" s="4"/>
      <c r="C456" s="28"/>
      <c r="D456" s="28"/>
      <c r="E456" s="28"/>
      <c r="F456" s="30"/>
      <c r="G456" s="30"/>
      <c r="H456" s="4"/>
      <c r="I456" s="4"/>
      <c r="J456" s="28"/>
      <c r="K456" s="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4"/>
      <c r="B457" s="4"/>
      <c r="C457" s="28"/>
      <c r="D457" s="28"/>
      <c r="E457" s="28"/>
      <c r="F457" s="30"/>
      <c r="G457" s="30"/>
      <c r="H457" s="4"/>
      <c r="I457" s="4"/>
      <c r="J457" s="28"/>
      <c r="K457" s="4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4"/>
      <c r="B458" s="4"/>
      <c r="C458" s="28"/>
      <c r="D458" s="28"/>
      <c r="E458" s="28"/>
      <c r="F458" s="30"/>
      <c r="G458" s="30"/>
      <c r="H458" s="4"/>
      <c r="I458" s="4"/>
      <c r="J458" s="28"/>
      <c r="K458" s="4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4"/>
      <c r="B459" s="4"/>
      <c r="C459" s="28"/>
      <c r="D459" s="28"/>
      <c r="E459" s="28"/>
      <c r="F459" s="30"/>
      <c r="G459" s="30"/>
      <c r="H459" s="4"/>
      <c r="I459" s="4"/>
      <c r="J459" s="28"/>
      <c r="K459" s="4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4"/>
      <c r="B460" s="4"/>
      <c r="C460" s="28"/>
      <c r="D460" s="28"/>
      <c r="E460" s="28"/>
      <c r="F460" s="30"/>
      <c r="G460" s="30"/>
      <c r="H460" s="4"/>
      <c r="I460" s="4"/>
      <c r="J460" s="28"/>
      <c r="K460" s="4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4"/>
      <c r="B461" s="4"/>
      <c r="C461" s="28"/>
      <c r="D461" s="28"/>
      <c r="E461" s="28"/>
      <c r="F461" s="30"/>
      <c r="G461" s="30"/>
      <c r="H461" s="4"/>
      <c r="I461" s="4"/>
      <c r="J461" s="28"/>
      <c r="K461" s="4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4"/>
      <c r="B462" s="4"/>
      <c r="C462" s="28"/>
      <c r="D462" s="28"/>
      <c r="E462" s="28"/>
      <c r="F462" s="30"/>
      <c r="G462" s="30"/>
      <c r="H462" s="4"/>
      <c r="I462" s="4"/>
      <c r="J462" s="28"/>
      <c r="K462" s="4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4"/>
      <c r="B463" s="4"/>
      <c r="C463" s="28"/>
      <c r="D463" s="28"/>
      <c r="E463" s="28"/>
      <c r="F463" s="30"/>
      <c r="G463" s="30"/>
      <c r="H463" s="4"/>
      <c r="I463" s="4"/>
      <c r="J463" s="28"/>
      <c r="K463" s="4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4"/>
      <c r="B464" s="4"/>
      <c r="C464" s="28"/>
      <c r="D464" s="28"/>
      <c r="E464" s="28"/>
      <c r="F464" s="30"/>
      <c r="G464" s="30"/>
      <c r="H464" s="4"/>
      <c r="I464" s="4"/>
      <c r="J464" s="28"/>
      <c r="K464" s="4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4"/>
      <c r="B465" s="4"/>
      <c r="C465" s="28"/>
      <c r="D465" s="28"/>
      <c r="E465" s="28"/>
      <c r="F465" s="30"/>
      <c r="G465" s="30"/>
      <c r="H465" s="4"/>
      <c r="I465" s="4"/>
      <c r="J465" s="28"/>
      <c r="K465" s="4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4"/>
      <c r="B466" s="4"/>
      <c r="C466" s="28"/>
      <c r="D466" s="28"/>
      <c r="E466" s="28"/>
      <c r="F466" s="30"/>
      <c r="G466" s="30"/>
      <c r="H466" s="4"/>
      <c r="I466" s="4"/>
      <c r="J466" s="28"/>
      <c r="K466" s="4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4"/>
      <c r="B467" s="4"/>
      <c r="C467" s="28"/>
      <c r="D467" s="28"/>
      <c r="E467" s="28"/>
      <c r="F467" s="30"/>
      <c r="G467" s="30"/>
      <c r="H467" s="4"/>
      <c r="I467" s="4"/>
      <c r="J467" s="28"/>
      <c r="K467" s="4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4"/>
      <c r="B468" s="4"/>
      <c r="C468" s="28"/>
      <c r="D468" s="28"/>
      <c r="E468" s="28"/>
      <c r="F468" s="30"/>
      <c r="G468" s="30"/>
      <c r="H468" s="4"/>
      <c r="I468" s="4"/>
      <c r="J468" s="28"/>
      <c r="K468" s="4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4"/>
      <c r="B469" s="4"/>
      <c r="C469" s="28"/>
      <c r="D469" s="28"/>
      <c r="E469" s="28"/>
      <c r="F469" s="30"/>
      <c r="G469" s="30"/>
      <c r="H469" s="4"/>
      <c r="I469" s="4"/>
      <c r="J469" s="28"/>
      <c r="K469" s="4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4"/>
      <c r="B470" s="4"/>
      <c r="C470" s="28"/>
      <c r="D470" s="28"/>
      <c r="E470" s="28"/>
      <c r="F470" s="30"/>
      <c r="G470" s="30"/>
      <c r="H470" s="4"/>
      <c r="I470" s="4"/>
      <c r="J470" s="28"/>
      <c r="K470" s="4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4"/>
      <c r="B471" s="4"/>
      <c r="C471" s="28"/>
      <c r="D471" s="28"/>
      <c r="E471" s="28"/>
      <c r="F471" s="30"/>
      <c r="G471" s="30"/>
      <c r="H471" s="4"/>
      <c r="I471" s="4"/>
      <c r="J471" s="28"/>
      <c r="K471" s="4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4"/>
      <c r="B472" s="4"/>
      <c r="C472" s="28"/>
      <c r="D472" s="28"/>
      <c r="E472" s="28"/>
      <c r="F472" s="30"/>
      <c r="G472" s="30"/>
      <c r="H472" s="4"/>
      <c r="I472" s="4"/>
      <c r="J472" s="28"/>
      <c r="K472" s="4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4"/>
      <c r="B473" s="4"/>
      <c r="C473" s="28"/>
      <c r="D473" s="28"/>
      <c r="E473" s="28"/>
      <c r="F473" s="30"/>
      <c r="G473" s="30"/>
      <c r="H473" s="4"/>
      <c r="I473" s="4"/>
      <c r="J473" s="28"/>
      <c r="K473" s="4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4"/>
      <c r="B474" s="4"/>
      <c r="C474" s="28"/>
      <c r="D474" s="28"/>
      <c r="E474" s="28"/>
      <c r="F474" s="30"/>
      <c r="G474" s="30"/>
      <c r="H474" s="4"/>
      <c r="I474" s="4"/>
      <c r="J474" s="28"/>
      <c r="K474" s="4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4"/>
      <c r="B475" s="4"/>
      <c r="C475" s="28"/>
      <c r="D475" s="28"/>
      <c r="E475" s="28"/>
      <c r="F475" s="30"/>
      <c r="G475" s="30"/>
      <c r="H475" s="4"/>
      <c r="I475" s="4"/>
      <c r="J475" s="28"/>
      <c r="K475" s="4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4"/>
      <c r="B476" s="4"/>
      <c r="C476" s="28"/>
      <c r="D476" s="28"/>
      <c r="E476" s="28"/>
      <c r="F476" s="30"/>
      <c r="G476" s="30"/>
      <c r="H476" s="4"/>
      <c r="I476" s="4"/>
      <c r="J476" s="28"/>
      <c r="K476" s="4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4"/>
      <c r="B477" s="4"/>
      <c r="C477" s="28"/>
      <c r="D477" s="28"/>
      <c r="E477" s="28"/>
      <c r="F477" s="30"/>
      <c r="G477" s="30"/>
      <c r="H477" s="4"/>
      <c r="I477" s="4"/>
      <c r="J477" s="28"/>
      <c r="K477" s="4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4"/>
      <c r="B478" s="4"/>
      <c r="C478" s="28"/>
      <c r="D478" s="28"/>
      <c r="E478" s="28"/>
      <c r="F478" s="30"/>
      <c r="G478" s="30"/>
      <c r="H478" s="4"/>
      <c r="I478" s="4"/>
      <c r="J478" s="28"/>
      <c r="K478" s="4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4"/>
      <c r="B479" s="4"/>
      <c r="C479" s="28"/>
      <c r="D479" s="28"/>
      <c r="E479" s="28"/>
      <c r="F479" s="30"/>
      <c r="G479" s="30"/>
      <c r="H479" s="4"/>
      <c r="I479" s="4"/>
      <c r="J479" s="28"/>
      <c r="K479" s="4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4"/>
      <c r="B480" s="4"/>
      <c r="C480" s="28"/>
      <c r="D480" s="28"/>
      <c r="E480" s="28"/>
      <c r="F480" s="30"/>
      <c r="G480" s="30"/>
      <c r="H480" s="4"/>
      <c r="I480" s="4"/>
      <c r="J480" s="28"/>
      <c r="K480" s="4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4"/>
      <c r="B481" s="4"/>
      <c r="C481" s="28"/>
      <c r="D481" s="28"/>
      <c r="E481" s="28"/>
      <c r="F481" s="30"/>
      <c r="G481" s="30"/>
      <c r="H481" s="4"/>
      <c r="I481" s="4"/>
      <c r="J481" s="28"/>
      <c r="K481" s="4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4"/>
      <c r="B482" s="4"/>
      <c r="C482" s="28"/>
      <c r="D482" s="28"/>
      <c r="E482" s="28"/>
      <c r="F482" s="30"/>
      <c r="G482" s="30"/>
      <c r="H482" s="4"/>
      <c r="I482" s="4"/>
      <c r="J482" s="28"/>
      <c r="K482" s="4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4"/>
      <c r="B483" s="4"/>
      <c r="C483" s="28"/>
      <c r="D483" s="28"/>
      <c r="E483" s="28"/>
      <c r="F483" s="30"/>
      <c r="G483" s="30"/>
      <c r="H483" s="4"/>
      <c r="I483" s="4"/>
      <c r="J483" s="28"/>
      <c r="K483" s="4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4"/>
      <c r="B484" s="4"/>
      <c r="C484" s="28"/>
      <c r="D484" s="28"/>
      <c r="E484" s="28"/>
      <c r="F484" s="30"/>
      <c r="G484" s="30"/>
      <c r="H484" s="4"/>
      <c r="I484" s="4"/>
      <c r="J484" s="28"/>
      <c r="K484" s="4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4"/>
      <c r="B485" s="4"/>
      <c r="C485" s="28"/>
      <c r="D485" s="28"/>
      <c r="E485" s="28"/>
      <c r="F485" s="30"/>
      <c r="G485" s="30"/>
      <c r="H485" s="4"/>
      <c r="I485" s="4"/>
      <c r="J485" s="28"/>
      <c r="K485" s="4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4"/>
      <c r="B486" s="4"/>
      <c r="C486" s="28"/>
      <c r="D486" s="28"/>
      <c r="E486" s="28"/>
      <c r="F486" s="30"/>
      <c r="G486" s="30"/>
      <c r="H486" s="4"/>
      <c r="I486" s="4"/>
      <c r="J486" s="28"/>
      <c r="K486" s="4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4"/>
      <c r="B487" s="4"/>
      <c r="C487" s="28"/>
      <c r="D487" s="28"/>
      <c r="E487" s="28"/>
      <c r="F487" s="30"/>
      <c r="G487" s="30"/>
      <c r="H487" s="4"/>
      <c r="I487" s="4"/>
      <c r="J487" s="28"/>
      <c r="K487" s="4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4"/>
      <c r="B488" s="4"/>
      <c r="C488" s="28"/>
      <c r="D488" s="28"/>
      <c r="E488" s="28"/>
      <c r="F488" s="30"/>
      <c r="G488" s="30"/>
      <c r="H488" s="4"/>
      <c r="I488" s="4"/>
      <c r="J488" s="28"/>
      <c r="K488" s="4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4"/>
      <c r="B489" s="4"/>
      <c r="C489" s="28"/>
      <c r="D489" s="28"/>
      <c r="E489" s="28"/>
      <c r="F489" s="30"/>
      <c r="G489" s="30"/>
      <c r="H489" s="4"/>
      <c r="I489" s="4"/>
      <c r="J489" s="28"/>
      <c r="K489" s="4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4"/>
      <c r="B490" s="4"/>
      <c r="C490" s="28"/>
      <c r="D490" s="28"/>
      <c r="E490" s="28"/>
      <c r="F490" s="30"/>
      <c r="G490" s="30"/>
      <c r="H490" s="4"/>
      <c r="I490" s="4"/>
      <c r="J490" s="28"/>
      <c r="K490" s="4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4"/>
      <c r="B491" s="4"/>
      <c r="C491" s="28"/>
      <c r="D491" s="28"/>
      <c r="E491" s="28"/>
      <c r="F491" s="30"/>
      <c r="G491" s="30"/>
      <c r="H491" s="4"/>
      <c r="I491" s="4"/>
      <c r="J491" s="28"/>
      <c r="K491" s="4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4"/>
      <c r="B492" s="4"/>
      <c r="C492" s="28"/>
      <c r="D492" s="28"/>
      <c r="E492" s="28"/>
      <c r="F492" s="30"/>
      <c r="G492" s="30"/>
      <c r="H492" s="4"/>
      <c r="I492" s="4"/>
      <c r="J492" s="28"/>
      <c r="K492" s="4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4"/>
      <c r="B493" s="4"/>
      <c r="C493" s="28"/>
      <c r="D493" s="28"/>
      <c r="E493" s="28"/>
      <c r="F493" s="30"/>
      <c r="G493" s="30"/>
      <c r="H493" s="4"/>
      <c r="I493" s="4"/>
      <c r="J493" s="28"/>
      <c r="K493" s="4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4"/>
      <c r="B494" s="4"/>
      <c r="C494" s="28"/>
      <c r="D494" s="28"/>
      <c r="E494" s="28"/>
      <c r="F494" s="30"/>
      <c r="G494" s="30"/>
      <c r="H494" s="4"/>
      <c r="I494" s="4"/>
      <c r="J494" s="28"/>
      <c r="K494" s="4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4"/>
      <c r="B495" s="4"/>
      <c r="C495" s="28"/>
      <c r="D495" s="28"/>
      <c r="E495" s="28"/>
      <c r="F495" s="30"/>
      <c r="G495" s="30"/>
      <c r="H495" s="4"/>
      <c r="I495" s="4"/>
      <c r="J495" s="28"/>
      <c r="K495" s="4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4"/>
      <c r="B496" s="4"/>
      <c r="C496" s="28"/>
      <c r="D496" s="28"/>
      <c r="E496" s="28"/>
      <c r="F496" s="30"/>
      <c r="G496" s="30"/>
      <c r="H496" s="4"/>
      <c r="I496" s="4"/>
      <c r="J496" s="28"/>
      <c r="K496" s="4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4"/>
      <c r="B497" s="4"/>
      <c r="C497" s="28"/>
      <c r="D497" s="28"/>
      <c r="E497" s="28"/>
      <c r="F497" s="30"/>
      <c r="G497" s="30"/>
      <c r="H497" s="4"/>
      <c r="I497" s="4"/>
      <c r="J497" s="28"/>
      <c r="K497" s="4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4"/>
      <c r="B498" s="4"/>
      <c r="C498" s="28"/>
      <c r="D498" s="28"/>
      <c r="E498" s="28"/>
      <c r="F498" s="30"/>
      <c r="G498" s="30"/>
      <c r="H498" s="4"/>
      <c r="I498" s="4"/>
      <c r="J498" s="28"/>
      <c r="K498" s="4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4"/>
      <c r="B499" s="4"/>
      <c r="C499" s="28"/>
      <c r="D499" s="28"/>
      <c r="E499" s="28"/>
      <c r="F499" s="30"/>
      <c r="G499" s="30"/>
      <c r="H499" s="4"/>
      <c r="I499" s="4"/>
      <c r="J499" s="28"/>
      <c r="K499" s="4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4"/>
      <c r="B500" s="4"/>
      <c r="C500" s="28"/>
      <c r="D500" s="28"/>
      <c r="E500" s="28"/>
      <c r="F500" s="30"/>
      <c r="G500" s="30"/>
      <c r="H500" s="4"/>
      <c r="I500" s="4"/>
      <c r="J500" s="28"/>
      <c r="K500" s="4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4"/>
      <c r="B501" s="4"/>
      <c r="C501" s="28"/>
      <c r="D501" s="28"/>
      <c r="E501" s="28"/>
      <c r="F501" s="30"/>
      <c r="G501" s="30"/>
      <c r="H501" s="4"/>
      <c r="I501" s="4"/>
      <c r="J501" s="28"/>
      <c r="K501" s="4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4"/>
      <c r="B502" s="4"/>
      <c r="C502" s="28"/>
      <c r="D502" s="28"/>
      <c r="E502" s="28"/>
      <c r="F502" s="30"/>
      <c r="G502" s="30"/>
      <c r="H502" s="4"/>
      <c r="I502" s="4"/>
      <c r="J502" s="28"/>
      <c r="K502" s="4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4"/>
      <c r="B503" s="4"/>
      <c r="C503" s="28"/>
      <c r="D503" s="28"/>
      <c r="E503" s="28"/>
      <c r="F503" s="30"/>
      <c r="G503" s="30"/>
      <c r="H503" s="4"/>
      <c r="I503" s="4"/>
      <c r="J503" s="28"/>
      <c r="K503" s="4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3"/>
      <c r="B504" s="13"/>
      <c r="C504" s="29"/>
      <c r="D504" s="29"/>
      <c r="E504" s="29"/>
      <c r="F504" s="33"/>
      <c r="G504" s="33"/>
      <c r="H504" s="13"/>
      <c r="I504" s="13"/>
      <c r="J504" s="29"/>
      <c r="K504" s="1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2">
    <mergeCell ref="A1:K1"/>
    <mergeCell ref="A2:K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Lists!$G$5:$G$8</xm:f>
          </x14:formula1>
          <xm:sqref>H5:H504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600"/>
  <sheetViews>
    <sheetView showGridLines="0" workbookViewId="0">
      <selection activeCell="A12" sqref="A12"/>
    </sheetView>
  </sheetViews>
  <sheetFormatPr defaultRowHeight="14.25"/>
  <cols>
    <col min="1" max="1" width="18" customWidth="1"/>
    <col min="2" max="2" width="20" customWidth="1"/>
    <col min="3" max="4" width="18" customWidth="1"/>
    <col min="5" max="5" width="20" customWidth="1"/>
    <col min="6" max="7" width="18" customWidth="1"/>
    <col min="8" max="8" width="19" customWidth="1"/>
  </cols>
  <sheetData>
    <row r="1" spans="1:26" ht="24.95" customHeight="1">
      <c r="A1" s="42" t="s">
        <v>110</v>
      </c>
      <c r="B1" s="43"/>
      <c r="C1" s="43"/>
      <c r="D1" s="43"/>
      <c r="E1" s="43"/>
      <c r="F1" s="43"/>
      <c r="G1" s="43"/>
      <c r="H1" s="4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95" customHeight="1">
      <c r="A2" s="44" t="s">
        <v>111</v>
      </c>
      <c r="B2" s="43"/>
      <c r="C2" s="43"/>
      <c r="D2" s="43"/>
      <c r="E2" s="43"/>
      <c r="F2" s="43"/>
      <c r="G2" s="43"/>
      <c r="H2" s="4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38" t="s">
        <v>40</v>
      </c>
      <c r="B4" s="38" t="s">
        <v>41</v>
      </c>
      <c r="C4" s="38" t="s">
        <v>50</v>
      </c>
      <c r="D4" s="38" t="s">
        <v>52</v>
      </c>
      <c r="E4" s="38" t="s">
        <v>86</v>
      </c>
      <c r="F4" s="38" t="s">
        <v>94</v>
      </c>
      <c r="G4" s="38" t="s">
        <v>107</v>
      </c>
      <c r="H4" s="38" t="s">
        <v>98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>
      <c r="A5" s="4" t="s">
        <v>112</v>
      </c>
      <c r="B5" s="4" t="s">
        <v>113</v>
      </c>
      <c r="C5" s="4" t="s">
        <v>114</v>
      </c>
      <c r="D5" s="4" t="s">
        <v>115</v>
      </c>
      <c r="E5" s="4" t="s">
        <v>114</v>
      </c>
      <c r="F5" s="4" t="s">
        <v>112</v>
      </c>
      <c r="G5" s="4" t="s">
        <v>116</v>
      </c>
      <c r="H5" s="4" t="s">
        <v>117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 t="s">
        <v>118</v>
      </c>
      <c r="B6" s="4" t="s">
        <v>119</v>
      </c>
      <c r="C6" s="4" t="s">
        <v>120</v>
      </c>
      <c r="D6" s="4" t="s">
        <v>121</v>
      </c>
      <c r="E6" s="4" t="s">
        <v>122</v>
      </c>
      <c r="F6" s="4" t="s">
        <v>123</v>
      </c>
      <c r="G6" s="4" t="s">
        <v>122</v>
      </c>
      <c r="H6" s="4" t="s">
        <v>124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 t="s">
        <v>125</v>
      </c>
      <c r="B7" s="4" t="s">
        <v>126</v>
      </c>
      <c r="C7" s="4" t="s">
        <v>127</v>
      </c>
      <c r="D7" s="4" t="s">
        <v>128</v>
      </c>
      <c r="E7" s="4" t="s">
        <v>120</v>
      </c>
      <c r="F7" s="4" t="s">
        <v>125</v>
      </c>
      <c r="G7" s="4" t="s">
        <v>120</v>
      </c>
      <c r="H7" s="4" t="s">
        <v>129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3"/>
      <c r="B8" s="13" t="s">
        <v>130</v>
      </c>
      <c r="C8" s="13" t="s">
        <v>131</v>
      </c>
      <c r="D8" s="13"/>
      <c r="E8" s="13" t="s">
        <v>132</v>
      </c>
      <c r="F8" s="13"/>
      <c r="G8" s="13" t="s">
        <v>133</v>
      </c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Customers</vt:lpstr>
      <vt:lpstr>Enrollments</vt:lpstr>
      <vt:lpstr>Courses</vt:lpstr>
      <vt:lpstr>Sales</vt:lpstr>
      <vt:lpstr>Affiliates</vt:lpstr>
      <vt:lpstr>Payouts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2026-10-27T12:38:20Z</dcterms:modified>
</cp:coreProperties>
</file>